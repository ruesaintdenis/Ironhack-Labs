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4.xml" ContentType="application/vnd.openxmlformats-officedocument.drawing+xml"/>
  <Override PartName="/xl/worksheets/sheet1.xml" ContentType="application/vnd.openxmlformats-officedocument.spreadsheetml.worksheet+xml"/>
  <Override PartName="/xl/drawings/drawing2.xml" ContentType="application/vnd.openxmlformats-officedocument.drawing+xml"/>
  <Override PartName="/xl/sharedStrings.xml" ContentType="application/vnd.openxmlformats-officedocument.spreadsheetml.sharedStrings+xml"/>
  <Override PartName="/xl/drawings/drawing1.xml" ContentType="application/vnd.openxmlformats-officedocument.drawing+xml"/>
  <Override PartName="/xl/theme/theme1.xml" ContentType="application/vnd.openxmlformats-officedocument.theme+xml"/>
  <Override PartName="/xl/worksheets/sheet5.xml" ContentType="application/vnd.openxmlformats-officedocument.spreadsheetml.worksheet+xml"/>
  <Override PartName="/xl/styles.xml" ContentType="application/vnd.openxmlformats-officedocument.spreadsheetml.styles+xml"/>
  <Override PartName="/xl/drawings/drawing3.xml" ContentType="application/vnd.openxmlformats-officedocument.drawing+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ctrlProps/ctrlProp2.xml" ContentType="application/vnd.ms-excel.controlproperties+xml"/>
  <Override PartName="/xl/tables/table5.xml" ContentType="application/vnd.openxmlformats-officedocument.spreadsheetml.table+xml"/>
  <Override PartName="/xl/tables/table4.xml" ContentType="application/vnd.openxmlformats-officedocument.spreadsheetml.table+xml"/>
  <Override PartName="/xl/ctrlProps/ctrlProp1.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_xmlsignatures/sig1.xml" ContentType="application/vnd.openxmlformats-package.digital-signature-xmlsignature+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tschr\Dropbox (BCG)\BCG Active Projects\National Transit Database\FTA-2017-NTD\CLIN 5 - Apportionment Files &amp; Annual Data Products\Deliverables\2017 Final Draft\Data Tables\"/>
    </mc:Choice>
  </mc:AlternateContent>
  <xr:revisionPtr revIDLastSave="0" documentId="10_ncr:100000_{BCE7118D-D2BD-4039-806F-FEA1136D90EA}" xr6:coauthVersionLast="31" xr6:coauthVersionMax="31" xr10:uidLastSave="{00000000-0000-0000-0000-000000000000}"/>
  <bookViews>
    <workbookView xWindow="0" yWindow="465" windowWidth="25185" windowHeight="14385" tabRatio="353" xr2:uid="{00000000-000D-0000-FFFF-FFFF00000000}"/>
  </bookViews>
  <sheets>
    <sheet name="Read Me" sheetId="3" r:id="rId1"/>
    <sheet name="Data Dictionary" sheetId="5" r:id="rId2"/>
    <sheet name="Stations" sheetId="1" r:id="rId3"/>
    <sheet name="Agency Totals" sheetId="4" r:id="rId4"/>
    <sheet name="Summary Tables" sheetId="2" r:id="rId5"/>
  </sheets>
  <definedNames>
    <definedName name="_xlnm._FilterDatabase" localSheetId="3" hidden="1">'Agency Totals'!$A$1:$T$838</definedName>
    <definedName name="_xlnm._FilterDatabase" localSheetId="2" hidden="1">Stations!$A$1:$W$1010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k3.5">Table1[[#Headers],[VOMS]]</definedName>
    <definedName name="TitleRegion2.e6.k15.5">Table2[[#Headers],[Column1]]</definedName>
    <definedName name="TitleRegion3.c20.k44.5">Table3[[#Headers],[Description]]</definedName>
    <definedName name="TitleRegion4.e47.k56.5">Table4[[#Headers],[Column1]]</definedName>
    <definedName name="TitleRegion5.d60.k116.5">'Summary Tables'!$D$61</definedName>
  </definedNames>
  <calcPr calcId="17901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49" i="2" l="1"/>
  <c r="A8" i="2"/>
  <c r="T838" i="4"/>
  <c r="T837" i="4"/>
  <c r="T836" i="4"/>
  <c r="T835" i="4"/>
  <c r="T834" i="4"/>
  <c r="T833" i="4"/>
  <c r="T832" i="4"/>
  <c r="T831" i="4"/>
  <c r="T830" i="4"/>
  <c r="T829" i="4"/>
  <c r="T828" i="4"/>
  <c r="T827" i="4"/>
  <c r="T826" i="4"/>
  <c r="T825" i="4"/>
  <c r="T824" i="4"/>
  <c r="T823" i="4"/>
  <c r="T822" i="4"/>
  <c r="T821" i="4"/>
  <c r="T820" i="4"/>
  <c r="T819" i="4"/>
  <c r="T818" i="4"/>
  <c r="T817" i="4"/>
  <c r="T816" i="4"/>
  <c r="T815" i="4"/>
  <c r="T814" i="4"/>
  <c r="T813" i="4"/>
  <c r="T812" i="4"/>
  <c r="T811" i="4"/>
  <c r="T810" i="4"/>
  <c r="T809" i="4"/>
  <c r="T808" i="4"/>
  <c r="T807" i="4"/>
  <c r="T806" i="4"/>
  <c r="T805" i="4"/>
  <c r="T804" i="4"/>
  <c r="T803" i="4"/>
  <c r="T802" i="4"/>
  <c r="T801" i="4"/>
  <c r="T800" i="4"/>
  <c r="T799" i="4"/>
  <c r="T798" i="4"/>
  <c r="T797" i="4"/>
  <c r="T796" i="4"/>
  <c r="T795" i="4"/>
  <c r="T794" i="4"/>
  <c r="T793" i="4"/>
  <c r="T792" i="4"/>
  <c r="T791" i="4"/>
  <c r="T790" i="4"/>
  <c r="T789" i="4"/>
  <c r="T788" i="4"/>
  <c r="T787" i="4"/>
  <c r="T786" i="4"/>
  <c r="T785" i="4"/>
  <c r="T784" i="4"/>
  <c r="T783" i="4"/>
  <c r="T782" i="4"/>
  <c r="T781" i="4"/>
  <c r="T780" i="4"/>
  <c r="T779" i="4"/>
  <c r="T778" i="4"/>
  <c r="T777" i="4"/>
  <c r="T776" i="4"/>
  <c r="T775" i="4"/>
  <c r="T774" i="4"/>
  <c r="T773" i="4"/>
  <c r="T772" i="4"/>
  <c r="T771" i="4"/>
  <c r="T770" i="4"/>
  <c r="T769" i="4"/>
  <c r="T768" i="4"/>
  <c r="T767" i="4"/>
  <c r="T766" i="4"/>
  <c r="T765" i="4"/>
  <c r="T764" i="4"/>
  <c r="T763" i="4"/>
  <c r="T762" i="4"/>
  <c r="T761" i="4"/>
  <c r="T760" i="4"/>
  <c r="T759" i="4"/>
  <c r="T758" i="4"/>
  <c r="T757" i="4"/>
  <c r="T756" i="4"/>
  <c r="T755" i="4"/>
  <c r="T754" i="4"/>
  <c r="T753" i="4"/>
  <c r="T752" i="4"/>
  <c r="T751" i="4"/>
  <c r="T750" i="4"/>
  <c r="T749" i="4"/>
  <c r="T748" i="4"/>
  <c r="T747" i="4"/>
  <c r="T746" i="4"/>
  <c r="T745" i="4"/>
  <c r="T744" i="4"/>
  <c r="T743" i="4"/>
  <c r="T742" i="4"/>
  <c r="T741" i="4"/>
  <c r="T740" i="4"/>
  <c r="T739" i="4"/>
  <c r="T738" i="4"/>
  <c r="T737" i="4"/>
  <c r="T736" i="4"/>
  <c r="T735" i="4"/>
  <c r="T734" i="4"/>
  <c r="T733" i="4"/>
  <c r="T732" i="4"/>
  <c r="T731" i="4"/>
  <c r="T730" i="4"/>
  <c r="T729" i="4"/>
  <c r="T728" i="4"/>
  <c r="T727" i="4"/>
  <c r="T726" i="4"/>
  <c r="T725" i="4"/>
  <c r="T724" i="4"/>
  <c r="T723" i="4"/>
  <c r="T722" i="4"/>
  <c r="T721" i="4"/>
  <c r="T720" i="4"/>
  <c r="T719" i="4"/>
  <c r="T718" i="4"/>
  <c r="T717" i="4"/>
  <c r="T716" i="4"/>
  <c r="T715" i="4"/>
  <c r="T714" i="4"/>
  <c r="T713" i="4"/>
  <c r="T712" i="4"/>
  <c r="T711" i="4"/>
  <c r="T710" i="4"/>
  <c r="T709" i="4"/>
  <c r="T708" i="4"/>
  <c r="T707" i="4"/>
  <c r="T706" i="4"/>
  <c r="T705" i="4"/>
  <c r="T704" i="4"/>
  <c r="T703" i="4"/>
  <c r="T702" i="4"/>
  <c r="T701" i="4"/>
  <c r="T700" i="4"/>
  <c r="T699" i="4"/>
  <c r="T698" i="4"/>
  <c r="T697" i="4"/>
  <c r="T696" i="4"/>
  <c r="T695" i="4"/>
  <c r="T694" i="4"/>
  <c r="T693" i="4"/>
  <c r="T692" i="4"/>
  <c r="T691" i="4"/>
  <c r="T690" i="4"/>
  <c r="T689" i="4"/>
  <c r="T688" i="4"/>
  <c r="T687" i="4"/>
  <c r="T686" i="4"/>
  <c r="T685" i="4"/>
  <c r="T684" i="4"/>
  <c r="T683" i="4"/>
  <c r="T682" i="4"/>
  <c r="T681" i="4"/>
  <c r="T680" i="4"/>
  <c r="T679" i="4"/>
  <c r="T678" i="4"/>
  <c r="T677" i="4"/>
  <c r="T676" i="4"/>
  <c r="T675" i="4"/>
  <c r="T674" i="4"/>
  <c r="T673" i="4"/>
  <c r="T672" i="4"/>
  <c r="T671" i="4"/>
  <c r="T670" i="4"/>
  <c r="T669" i="4"/>
  <c r="T668" i="4"/>
  <c r="T667" i="4"/>
  <c r="T666" i="4"/>
  <c r="T665" i="4"/>
  <c r="T664" i="4"/>
  <c r="T663" i="4"/>
  <c r="T662" i="4"/>
  <c r="T661" i="4"/>
  <c r="T660" i="4"/>
  <c r="T659" i="4"/>
  <c r="T658" i="4"/>
  <c r="T657" i="4"/>
  <c r="T656" i="4"/>
  <c r="T655" i="4"/>
  <c r="T654" i="4"/>
  <c r="T653" i="4"/>
  <c r="T652" i="4"/>
  <c r="T651" i="4"/>
  <c r="T650" i="4"/>
  <c r="T649" i="4"/>
  <c r="T648" i="4"/>
  <c r="T647" i="4"/>
  <c r="T646" i="4"/>
  <c r="T645" i="4"/>
  <c r="T644" i="4"/>
  <c r="T643" i="4"/>
  <c r="T642" i="4"/>
  <c r="T641" i="4"/>
  <c r="T640" i="4"/>
  <c r="T639" i="4"/>
  <c r="T638" i="4"/>
  <c r="T637" i="4"/>
  <c r="T636" i="4"/>
  <c r="T635" i="4"/>
  <c r="T634" i="4"/>
  <c r="T633" i="4"/>
  <c r="T632" i="4"/>
  <c r="T631" i="4"/>
  <c r="T630" i="4"/>
  <c r="T629" i="4"/>
  <c r="T628" i="4"/>
  <c r="T627" i="4"/>
  <c r="T626" i="4"/>
  <c r="T625" i="4"/>
  <c r="T624" i="4"/>
  <c r="T623" i="4"/>
  <c r="T622" i="4"/>
  <c r="T621" i="4"/>
  <c r="T620" i="4"/>
  <c r="T619" i="4"/>
  <c r="T618" i="4"/>
  <c r="T617" i="4"/>
  <c r="T616" i="4"/>
  <c r="T615" i="4"/>
  <c r="T614" i="4"/>
  <c r="T613" i="4"/>
  <c r="T612" i="4"/>
  <c r="T611" i="4"/>
  <c r="T610" i="4"/>
  <c r="T609" i="4"/>
  <c r="T608" i="4"/>
  <c r="T607" i="4"/>
  <c r="T606" i="4"/>
  <c r="T605" i="4"/>
  <c r="T604" i="4"/>
  <c r="T603" i="4"/>
  <c r="T602" i="4"/>
  <c r="T601" i="4"/>
  <c r="T600" i="4"/>
  <c r="T599" i="4"/>
  <c r="T598" i="4"/>
  <c r="T597" i="4"/>
  <c r="T596" i="4"/>
  <c r="T595" i="4"/>
  <c r="T594" i="4"/>
  <c r="T593" i="4"/>
  <c r="T592" i="4"/>
  <c r="T591" i="4"/>
  <c r="T590" i="4"/>
  <c r="T589" i="4"/>
  <c r="T588" i="4"/>
  <c r="T587" i="4"/>
  <c r="T586" i="4"/>
  <c r="T585" i="4"/>
  <c r="T584" i="4"/>
  <c r="T583" i="4"/>
  <c r="T582" i="4"/>
  <c r="T581" i="4"/>
  <c r="T580" i="4"/>
  <c r="T579" i="4"/>
  <c r="T578" i="4"/>
  <c r="T577" i="4"/>
  <c r="T576" i="4"/>
  <c r="T575" i="4"/>
  <c r="T574" i="4"/>
  <c r="T573" i="4"/>
  <c r="T572" i="4"/>
  <c r="T571" i="4"/>
  <c r="T570" i="4"/>
  <c r="T569" i="4"/>
  <c r="T568" i="4"/>
  <c r="T567" i="4"/>
  <c r="T566" i="4"/>
  <c r="T565" i="4"/>
  <c r="T564" i="4"/>
  <c r="T563" i="4"/>
  <c r="T562" i="4"/>
  <c r="T561" i="4"/>
  <c r="T560" i="4"/>
  <c r="T559" i="4"/>
  <c r="T558" i="4"/>
  <c r="T557" i="4"/>
  <c r="T556" i="4"/>
  <c r="T555" i="4"/>
  <c r="T554" i="4"/>
  <c r="T553" i="4"/>
  <c r="T552" i="4"/>
  <c r="T551" i="4"/>
  <c r="T550" i="4"/>
  <c r="T549" i="4"/>
  <c r="T548" i="4"/>
  <c r="T547" i="4"/>
  <c r="T546" i="4"/>
  <c r="T545" i="4"/>
  <c r="T544" i="4"/>
  <c r="T543" i="4"/>
  <c r="T542" i="4"/>
  <c r="T541" i="4"/>
  <c r="T540" i="4"/>
  <c r="T539" i="4"/>
  <c r="T538" i="4"/>
  <c r="T537" i="4"/>
  <c r="T536" i="4"/>
  <c r="T535" i="4"/>
  <c r="T534" i="4"/>
  <c r="T533" i="4"/>
  <c r="T532" i="4"/>
  <c r="T531" i="4"/>
  <c r="T530" i="4"/>
  <c r="T529" i="4"/>
  <c r="T528" i="4"/>
  <c r="T527" i="4"/>
  <c r="T526" i="4"/>
  <c r="T525" i="4"/>
  <c r="T524" i="4"/>
  <c r="T523" i="4"/>
  <c r="T522" i="4"/>
  <c r="T521" i="4"/>
  <c r="T520" i="4"/>
  <c r="T519" i="4"/>
  <c r="T518" i="4"/>
  <c r="T517" i="4"/>
  <c r="T516" i="4"/>
  <c r="T515" i="4"/>
  <c r="T514" i="4"/>
  <c r="T513" i="4"/>
  <c r="T512" i="4"/>
  <c r="T511" i="4"/>
  <c r="T510" i="4"/>
  <c r="T509" i="4"/>
  <c r="T508" i="4"/>
  <c r="T507" i="4"/>
  <c r="T506" i="4"/>
  <c r="T505" i="4"/>
  <c r="T504" i="4"/>
  <c r="T503" i="4"/>
  <c r="T502" i="4"/>
  <c r="T501" i="4"/>
  <c r="T500" i="4"/>
  <c r="T499" i="4"/>
  <c r="T498" i="4"/>
  <c r="T497" i="4"/>
  <c r="T496" i="4"/>
  <c r="T495" i="4"/>
  <c r="T494" i="4"/>
  <c r="T493" i="4"/>
  <c r="T492" i="4"/>
  <c r="T491" i="4"/>
  <c r="T490" i="4"/>
  <c r="T489" i="4"/>
  <c r="T488" i="4"/>
  <c r="T487" i="4"/>
  <c r="T486" i="4"/>
  <c r="T485" i="4"/>
  <c r="T484" i="4"/>
  <c r="T483" i="4"/>
  <c r="T482" i="4"/>
  <c r="T481" i="4"/>
  <c r="T480" i="4"/>
  <c r="T479" i="4"/>
  <c r="T478" i="4"/>
  <c r="T477" i="4"/>
  <c r="T476" i="4"/>
  <c r="T475" i="4"/>
  <c r="T474" i="4"/>
  <c r="T473" i="4"/>
  <c r="T472" i="4"/>
  <c r="T471" i="4"/>
  <c r="T470" i="4"/>
  <c r="T469" i="4"/>
  <c r="T468" i="4"/>
  <c r="T467" i="4"/>
  <c r="T466" i="4"/>
  <c r="T465" i="4"/>
  <c r="T464" i="4"/>
  <c r="T463" i="4"/>
  <c r="T462" i="4"/>
  <c r="T461" i="4"/>
  <c r="T460" i="4"/>
  <c r="T459" i="4"/>
  <c r="T458" i="4"/>
  <c r="T457" i="4"/>
  <c r="T456" i="4"/>
  <c r="T455" i="4"/>
  <c r="T454" i="4"/>
  <c r="T453" i="4"/>
  <c r="T452" i="4"/>
  <c r="T451" i="4"/>
  <c r="T450" i="4"/>
  <c r="T449" i="4"/>
  <c r="T448" i="4"/>
  <c r="T447" i="4"/>
  <c r="T446" i="4"/>
  <c r="T445" i="4"/>
  <c r="T444" i="4"/>
  <c r="T443" i="4"/>
  <c r="T442" i="4"/>
  <c r="T441" i="4"/>
  <c r="T440" i="4"/>
  <c r="T439" i="4"/>
  <c r="T438" i="4"/>
  <c r="T437" i="4"/>
  <c r="T436" i="4"/>
  <c r="T435" i="4"/>
  <c r="T434" i="4"/>
  <c r="T433" i="4"/>
  <c r="T432" i="4"/>
  <c r="T431" i="4"/>
  <c r="T430" i="4"/>
  <c r="T429" i="4"/>
  <c r="T428" i="4"/>
  <c r="T427" i="4"/>
  <c r="T426" i="4"/>
  <c r="T425" i="4"/>
  <c r="T424" i="4"/>
  <c r="T423" i="4"/>
  <c r="T422" i="4"/>
  <c r="T421" i="4"/>
  <c r="T420" i="4"/>
  <c r="T419" i="4"/>
  <c r="T418" i="4"/>
  <c r="T417" i="4"/>
  <c r="T416" i="4"/>
  <c r="T415" i="4"/>
  <c r="T414" i="4"/>
  <c r="T413" i="4"/>
  <c r="T412" i="4"/>
  <c r="T411" i="4"/>
  <c r="T410" i="4"/>
  <c r="T409" i="4"/>
  <c r="T408" i="4"/>
  <c r="T407" i="4"/>
  <c r="T406" i="4"/>
  <c r="T405" i="4"/>
  <c r="T404" i="4"/>
  <c r="T403" i="4"/>
  <c r="T402" i="4"/>
  <c r="T401" i="4"/>
  <c r="T400" i="4"/>
  <c r="T399" i="4"/>
  <c r="T398" i="4"/>
  <c r="T397" i="4"/>
  <c r="T396" i="4"/>
  <c r="T395" i="4"/>
  <c r="T394" i="4"/>
  <c r="T393" i="4"/>
  <c r="T392" i="4"/>
  <c r="T391" i="4"/>
  <c r="T390" i="4"/>
  <c r="T389" i="4"/>
  <c r="T388" i="4"/>
  <c r="T387" i="4"/>
  <c r="T386" i="4"/>
  <c r="T385" i="4"/>
  <c r="T384" i="4"/>
  <c r="T383" i="4"/>
  <c r="T382" i="4"/>
  <c r="T381" i="4"/>
  <c r="T380" i="4"/>
  <c r="T379" i="4"/>
  <c r="T378" i="4"/>
  <c r="T377" i="4"/>
  <c r="T376" i="4"/>
  <c r="T375" i="4"/>
  <c r="T374" i="4"/>
  <c r="T373" i="4"/>
  <c r="T372" i="4"/>
  <c r="T371" i="4"/>
  <c r="T370" i="4"/>
  <c r="T369" i="4"/>
  <c r="T368" i="4"/>
  <c r="T367" i="4"/>
  <c r="T366" i="4"/>
  <c r="T365" i="4"/>
  <c r="T364" i="4"/>
  <c r="T363" i="4"/>
  <c r="T362" i="4"/>
  <c r="T361" i="4"/>
  <c r="T360" i="4"/>
  <c r="T359" i="4"/>
  <c r="T358" i="4"/>
  <c r="T357" i="4"/>
  <c r="T356" i="4"/>
  <c r="T355" i="4"/>
  <c r="T354" i="4"/>
  <c r="T353" i="4"/>
  <c r="T352" i="4"/>
  <c r="T351" i="4"/>
  <c r="T350" i="4"/>
  <c r="T349" i="4"/>
  <c r="T348" i="4"/>
  <c r="T347" i="4"/>
  <c r="T346" i="4"/>
  <c r="T345" i="4"/>
  <c r="T344" i="4"/>
  <c r="T343" i="4"/>
  <c r="T342" i="4"/>
  <c r="T341" i="4"/>
  <c r="T340" i="4"/>
  <c r="T339" i="4"/>
  <c r="T338" i="4"/>
  <c r="T337" i="4"/>
  <c r="T336" i="4"/>
  <c r="T335" i="4"/>
  <c r="T334" i="4"/>
  <c r="T333" i="4"/>
  <c r="T332" i="4"/>
  <c r="T331" i="4"/>
  <c r="T330" i="4"/>
  <c r="T329" i="4"/>
  <c r="T328" i="4"/>
  <c r="T327" i="4"/>
  <c r="T326" i="4"/>
  <c r="T325" i="4"/>
  <c r="T324" i="4"/>
  <c r="T323" i="4"/>
  <c r="T322" i="4"/>
  <c r="T321" i="4"/>
  <c r="T320" i="4"/>
  <c r="T319" i="4"/>
  <c r="T318" i="4"/>
  <c r="T317" i="4"/>
  <c r="T316" i="4"/>
  <c r="T315" i="4"/>
  <c r="T314" i="4"/>
  <c r="T313" i="4"/>
  <c r="T312" i="4"/>
  <c r="T311" i="4"/>
  <c r="T310" i="4"/>
  <c r="T309" i="4"/>
  <c r="T308" i="4"/>
  <c r="T307" i="4"/>
  <c r="T306" i="4"/>
  <c r="T305" i="4"/>
  <c r="T304" i="4"/>
  <c r="T303" i="4"/>
  <c r="T302" i="4"/>
  <c r="T301" i="4"/>
  <c r="T300" i="4"/>
  <c r="T299" i="4"/>
  <c r="T298" i="4"/>
  <c r="T297" i="4"/>
  <c r="T296" i="4"/>
  <c r="T295" i="4"/>
  <c r="T294" i="4"/>
  <c r="T293" i="4"/>
  <c r="T292" i="4"/>
  <c r="T291" i="4"/>
  <c r="T290" i="4"/>
  <c r="T289" i="4"/>
  <c r="T288" i="4"/>
  <c r="T287" i="4"/>
  <c r="T286" i="4"/>
  <c r="T285" i="4"/>
  <c r="T284" i="4"/>
  <c r="T283" i="4"/>
  <c r="T282" i="4"/>
  <c r="T281" i="4"/>
  <c r="T280" i="4"/>
  <c r="T279" i="4"/>
  <c r="T278" i="4"/>
  <c r="T277" i="4"/>
  <c r="T276" i="4"/>
  <c r="T275" i="4"/>
  <c r="T274" i="4"/>
  <c r="T273" i="4"/>
  <c r="T272" i="4"/>
  <c r="T271" i="4"/>
  <c r="T270" i="4"/>
  <c r="T269" i="4"/>
  <c r="T268" i="4"/>
  <c r="T267" i="4"/>
  <c r="T266" i="4"/>
  <c r="T265" i="4"/>
  <c r="T264" i="4"/>
  <c r="T263" i="4"/>
  <c r="T262" i="4"/>
  <c r="T261" i="4"/>
  <c r="T260" i="4"/>
  <c r="T259" i="4"/>
  <c r="T258" i="4"/>
  <c r="T257" i="4"/>
  <c r="T256" i="4"/>
  <c r="T255" i="4"/>
  <c r="T254" i="4"/>
  <c r="T253" i="4"/>
  <c r="T252" i="4"/>
  <c r="T251" i="4"/>
  <c r="T250" i="4"/>
  <c r="T249" i="4"/>
  <c r="T248" i="4"/>
  <c r="T247" i="4"/>
  <c r="T246" i="4"/>
  <c r="T245" i="4"/>
  <c r="T244" i="4"/>
  <c r="T243" i="4"/>
  <c r="T242" i="4"/>
  <c r="T241" i="4"/>
  <c r="T240" i="4"/>
  <c r="T239" i="4"/>
  <c r="T238" i="4"/>
  <c r="T237" i="4"/>
  <c r="T236" i="4"/>
  <c r="T235" i="4"/>
  <c r="T234" i="4"/>
  <c r="T233" i="4"/>
  <c r="T232" i="4"/>
  <c r="T231" i="4"/>
  <c r="T230" i="4"/>
  <c r="T229" i="4"/>
  <c r="T228" i="4"/>
  <c r="T227" i="4"/>
  <c r="T226" i="4"/>
  <c r="T225" i="4"/>
  <c r="T224" i="4"/>
  <c r="T223" i="4"/>
  <c r="T222" i="4"/>
  <c r="T221" i="4"/>
  <c r="T220" i="4"/>
  <c r="T219" i="4"/>
  <c r="T218" i="4"/>
  <c r="T217" i="4"/>
  <c r="T216" i="4"/>
  <c r="T215" i="4"/>
  <c r="T214" i="4"/>
  <c r="T213" i="4"/>
  <c r="T212" i="4"/>
  <c r="T211" i="4"/>
  <c r="T210" i="4"/>
  <c r="T209" i="4"/>
  <c r="T208" i="4"/>
  <c r="T207" i="4"/>
  <c r="T206" i="4"/>
  <c r="T205" i="4"/>
  <c r="T204" i="4"/>
  <c r="T203" i="4"/>
  <c r="T202" i="4"/>
  <c r="T201" i="4"/>
  <c r="T200" i="4"/>
  <c r="T199" i="4"/>
  <c r="T198" i="4"/>
  <c r="T197" i="4"/>
  <c r="T196" i="4"/>
  <c r="T195" i="4"/>
  <c r="T194" i="4"/>
  <c r="T193" i="4"/>
  <c r="T192" i="4"/>
  <c r="T191" i="4"/>
  <c r="T190" i="4"/>
  <c r="T189" i="4"/>
  <c r="T188" i="4"/>
  <c r="T187" i="4"/>
  <c r="T186" i="4"/>
  <c r="T185" i="4"/>
  <c r="T184" i="4"/>
  <c r="T183" i="4"/>
  <c r="T182" i="4"/>
  <c r="T181" i="4"/>
  <c r="T180" i="4"/>
  <c r="T179" i="4"/>
  <c r="T178" i="4"/>
  <c r="T177" i="4"/>
  <c r="T176" i="4"/>
  <c r="T175" i="4"/>
  <c r="T174" i="4"/>
  <c r="T173" i="4"/>
  <c r="T172" i="4"/>
  <c r="T171" i="4"/>
  <c r="T170" i="4"/>
  <c r="T169" i="4"/>
  <c r="T168" i="4"/>
  <c r="T167" i="4"/>
  <c r="T166" i="4"/>
  <c r="T165" i="4"/>
  <c r="T164" i="4"/>
  <c r="T163" i="4"/>
  <c r="T162" i="4"/>
  <c r="T161" i="4"/>
  <c r="T160" i="4"/>
  <c r="T159" i="4"/>
  <c r="T158" i="4"/>
  <c r="T157" i="4"/>
  <c r="T156" i="4"/>
  <c r="T155" i="4"/>
  <c r="T154" i="4"/>
  <c r="T153" i="4"/>
  <c r="T152" i="4"/>
  <c r="T151" i="4"/>
  <c r="T150" i="4"/>
  <c r="T149" i="4"/>
  <c r="T148" i="4"/>
  <c r="T147" i="4"/>
  <c r="T146" i="4"/>
  <c r="T145" i="4"/>
  <c r="T144" i="4"/>
  <c r="T143" i="4"/>
  <c r="T142" i="4"/>
  <c r="T141" i="4"/>
  <c r="T140" i="4"/>
  <c r="T139" i="4"/>
  <c r="T138" i="4"/>
  <c r="T137" i="4"/>
  <c r="T136" i="4"/>
  <c r="T135" i="4"/>
  <c r="T134" i="4"/>
  <c r="T133" i="4"/>
  <c r="T132" i="4"/>
  <c r="T131" i="4"/>
  <c r="T130" i="4"/>
  <c r="T129" i="4"/>
  <c r="T128" i="4"/>
  <c r="T127" i="4"/>
  <c r="T126" i="4"/>
  <c r="T125" i="4"/>
  <c r="T124" i="4"/>
  <c r="T123" i="4"/>
  <c r="T122" i="4"/>
  <c r="T121" i="4"/>
  <c r="T120" i="4"/>
  <c r="T119" i="4"/>
  <c r="T118" i="4"/>
  <c r="T117" i="4"/>
  <c r="T116" i="4"/>
  <c r="T115" i="4"/>
  <c r="T114" i="4"/>
  <c r="T113" i="4"/>
  <c r="T112" i="4"/>
  <c r="T111" i="4"/>
  <c r="T110" i="4"/>
  <c r="T109" i="4"/>
  <c r="T108" i="4"/>
  <c r="T107" i="4"/>
  <c r="T106" i="4"/>
  <c r="T105" i="4"/>
  <c r="T104" i="4"/>
  <c r="T103" i="4"/>
  <c r="T102" i="4"/>
  <c r="T101" i="4"/>
  <c r="T100" i="4"/>
  <c r="T99" i="4"/>
  <c r="T98" i="4"/>
  <c r="T97" i="4"/>
  <c r="T96" i="4"/>
  <c r="T95" i="4"/>
  <c r="T94" i="4"/>
  <c r="T93" i="4"/>
  <c r="T92" i="4"/>
  <c r="T91" i="4"/>
  <c r="T90" i="4"/>
  <c r="T89" i="4"/>
  <c r="T88" i="4"/>
  <c r="T87" i="4"/>
  <c r="T86" i="4"/>
  <c r="T85" i="4"/>
  <c r="T84" i="4"/>
  <c r="T83" i="4"/>
  <c r="T82" i="4"/>
  <c r="T81" i="4"/>
  <c r="T80" i="4"/>
  <c r="T79" i="4"/>
  <c r="T78" i="4"/>
  <c r="T77" i="4"/>
  <c r="T76" i="4"/>
  <c r="T75" i="4"/>
  <c r="T74" i="4"/>
  <c r="T73" i="4"/>
  <c r="T72" i="4"/>
  <c r="T71" i="4"/>
  <c r="T70" i="4"/>
  <c r="T69" i="4"/>
  <c r="T68" i="4"/>
  <c r="T67" i="4"/>
  <c r="T66" i="4"/>
  <c r="T65" i="4"/>
  <c r="T64" i="4"/>
  <c r="T63" i="4"/>
  <c r="T62" i="4"/>
  <c r="T61" i="4"/>
  <c r="T60" i="4"/>
  <c r="T59" i="4"/>
  <c r="T58" i="4"/>
  <c r="T57" i="4"/>
  <c r="T56" i="4"/>
  <c r="T55" i="4"/>
  <c r="T54" i="4"/>
  <c r="T53" i="4"/>
  <c r="T52" i="4"/>
  <c r="T51" i="4"/>
  <c r="T50" i="4"/>
  <c r="T49" i="4"/>
  <c r="T48" i="4"/>
  <c r="T47" i="4"/>
  <c r="T46" i="4"/>
  <c r="T45" i="4"/>
  <c r="T44" i="4"/>
  <c r="T43" i="4"/>
  <c r="T42" i="4"/>
  <c r="T41" i="4"/>
  <c r="T40" i="4"/>
  <c r="T39" i="4"/>
  <c r="T38" i="4"/>
  <c r="T37" i="4"/>
  <c r="T36" i="4"/>
  <c r="T35" i="4"/>
  <c r="T34" i="4"/>
  <c r="T33" i="4"/>
  <c r="T32" i="4"/>
  <c r="T31" i="4"/>
  <c r="T30" i="4"/>
  <c r="T29" i="4"/>
  <c r="T28" i="4"/>
  <c r="T27" i="4"/>
  <c r="T26" i="4"/>
  <c r="T25" i="4"/>
  <c r="T24" i="4"/>
  <c r="T23" i="4"/>
  <c r="T22" i="4"/>
  <c r="T21" i="4"/>
  <c r="T20" i="4"/>
  <c r="T19" i="4"/>
  <c r="T18" i="4"/>
  <c r="T17" i="4"/>
  <c r="T16" i="4"/>
  <c r="T15" i="4"/>
  <c r="T14" i="4"/>
  <c r="T13" i="4"/>
  <c r="T12" i="4"/>
  <c r="T11" i="4"/>
  <c r="T10" i="4"/>
  <c r="T9" i="4"/>
  <c r="T8" i="4"/>
  <c r="T7" i="4"/>
  <c r="T6" i="4"/>
  <c r="T5" i="4"/>
  <c r="T4" i="4"/>
  <c r="T3" i="4"/>
  <c r="T2" i="4"/>
  <c r="W1096" i="1"/>
  <c r="W1095" i="1"/>
  <c r="W1094" i="1"/>
  <c r="W1093" i="1"/>
  <c r="W1092" i="1"/>
  <c r="W1091" i="1"/>
  <c r="W1090" i="1"/>
  <c r="W1089" i="1"/>
  <c r="W1088" i="1"/>
  <c r="W1087" i="1"/>
  <c r="W1086" i="1"/>
  <c r="W1085" i="1"/>
  <c r="W1084" i="1"/>
  <c r="W1083" i="1"/>
  <c r="W1082" i="1"/>
  <c r="W1081" i="1"/>
  <c r="W1080" i="1"/>
  <c r="W1079" i="1"/>
  <c r="W1078" i="1"/>
  <c r="W1077" i="1"/>
  <c r="W1076" i="1"/>
  <c r="W1071" i="1"/>
  <c r="W1070" i="1"/>
  <c r="W1069" i="1"/>
  <c r="W1068" i="1"/>
  <c r="W1067" i="1"/>
  <c r="W1066" i="1"/>
  <c r="W1065" i="1"/>
  <c r="W1075" i="1"/>
  <c r="W1064" i="1"/>
  <c r="W1063" i="1"/>
  <c r="W1062" i="1"/>
  <c r="W1061" i="1"/>
  <c r="W1060" i="1"/>
  <c r="W1059" i="1"/>
  <c r="W1058" i="1"/>
  <c r="W1057" i="1"/>
  <c r="W1056" i="1"/>
  <c r="W1055" i="1"/>
  <c r="W1054" i="1"/>
  <c r="W1053" i="1"/>
  <c r="W1074" i="1"/>
  <c r="W1052" i="1"/>
  <c r="W1051" i="1"/>
  <c r="W1050" i="1"/>
  <c r="W1049" i="1"/>
  <c r="W1048" i="1"/>
  <c r="W1073" i="1"/>
  <c r="W1072" i="1"/>
  <c r="W1047" i="1"/>
  <c r="W1046" i="1"/>
  <c r="W1045" i="1"/>
  <c r="W1039" i="1"/>
  <c r="W1043" i="1"/>
  <c r="W1044" i="1"/>
  <c r="W1038" i="1"/>
  <c r="W1037" i="1"/>
  <c r="W1036" i="1"/>
  <c r="W1035" i="1"/>
  <c r="W1042" i="1"/>
  <c r="W1041" i="1"/>
  <c r="W1034" i="1"/>
  <c r="W1033" i="1"/>
  <c r="W1032" i="1"/>
  <c r="W1031" i="1"/>
  <c r="W1030" i="1"/>
  <c r="W1029" i="1"/>
  <c r="W1028" i="1"/>
  <c r="W1040" i="1"/>
  <c r="W1011" i="1"/>
  <c r="W1010" i="1"/>
  <c r="W1025" i="1"/>
  <c r="W1018" i="1"/>
  <c r="W1024" i="1"/>
  <c r="W1023" i="1"/>
  <c r="W1022" i="1"/>
  <c r="W1021" i="1"/>
  <c r="W1009" i="1"/>
  <c r="W1008" i="1"/>
  <c r="W1017" i="1"/>
  <c r="W1016" i="1"/>
  <c r="W1015" i="1"/>
  <c r="W1007" i="1"/>
  <c r="W1027" i="1"/>
  <c r="W1006" i="1"/>
  <c r="W1020" i="1"/>
  <c r="W1014" i="1"/>
  <c r="W1005" i="1"/>
  <c r="W1004" i="1"/>
  <c r="W1013" i="1"/>
  <c r="W1019" i="1"/>
  <c r="W1026" i="1"/>
  <c r="W1003" i="1"/>
  <c r="W1002" i="1"/>
  <c r="W1012" i="1"/>
  <c r="W995" i="1"/>
  <c r="W989" i="1"/>
  <c r="W988" i="1"/>
  <c r="W1001" i="1"/>
  <c r="W987" i="1"/>
  <c r="W986" i="1"/>
  <c r="W991" i="1"/>
  <c r="W990" i="1"/>
  <c r="W998" i="1"/>
  <c r="W1000" i="1"/>
  <c r="W994" i="1"/>
  <c r="W993" i="1"/>
  <c r="W997" i="1"/>
  <c r="W999" i="1"/>
  <c r="W992" i="1"/>
  <c r="W996" i="1"/>
  <c r="W975" i="1"/>
  <c r="W965" i="1"/>
  <c r="W974" i="1"/>
  <c r="W973" i="1"/>
  <c r="W969" i="1"/>
  <c r="W977" i="1"/>
  <c r="W964" i="1"/>
  <c r="W968" i="1"/>
  <c r="W985" i="1"/>
  <c r="W963" i="1"/>
  <c r="W981" i="1"/>
  <c r="W980" i="1"/>
  <c r="W984" i="1"/>
  <c r="W972" i="1"/>
  <c r="W967" i="1"/>
  <c r="W962" i="1"/>
  <c r="W976" i="1"/>
  <c r="W966" i="1"/>
  <c r="W979" i="1"/>
  <c r="W983" i="1"/>
  <c r="W971" i="1"/>
  <c r="W982" i="1"/>
  <c r="W970" i="1"/>
  <c r="W978" i="1"/>
  <c r="W943" i="1"/>
  <c r="W942" i="1"/>
  <c r="W960" i="1"/>
  <c r="W961" i="1"/>
  <c r="W949" i="1"/>
  <c r="W945" i="1"/>
  <c r="W958" i="1"/>
  <c r="W948" i="1"/>
  <c r="W954" i="1"/>
  <c r="W947" i="1"/>
  <c r="W953" i="1"/>
  <c r="W946" i="1"/>
  <c r="W941" i="1"/>
  <c r="W940" i="1"/>
  <c r="W957" i="1"/>
  <c r="W944" i="1"/>
  <c r="W952" i="1"/>
  <c r="W956" i="1"/>
  <c r="W955" i="1"/>
  <c r="W939" i="1"/>
  <c r="W938" i="1"/>
  <c r="W951" i="1"/>
  <c r="W937" i="1"/>
  <c r="W936" i="1"/>
  <c r="W950" i="1"/>
  <c r="W959" i="1"/>
  <c r="W923" i="1"/>
  <c r="W916" i="1"/>
  <c r="W918" i="1"/>
  <c r="W931" i="1"/>
  <c r="W930" i="1"/>
  <c r="W915" i="1"/>
  <c r="W914" i="1"/>
  <c r="W913" i="1"/>
  <c r="W912" i="1"/>
  <c r="W922" i="1"/>
  <c r="W929" i="1"/>
  <c r="W928" i="1"/>
  <c r="W935" i="1"/>
  <c r="W911" i="1"/>
  <c r="W927" i="1"/>
  <c r="W921" i="1"/>
  <c r="W933" i="1"/>
  <c r="W926" i="1"/>
  <c r="W934" i="1"/>
  <c r="W910" i="1"/>
  <c r="W932" i="1"/>
  <c r="W920" i="1"/>
  <c r="W925" i="1"/>
  <c r="W919" i="1"/>
  <c r="W924" i="1"/>
  <c r="W917" i="1"/>
  <c r="W895" i="1"/>
  <c r="W906" i="1"/>
  <c r="W907" i="1"/>
  <c r="W905" i="1"/>
  <c r="W909" i="1"/>
  <c r="W908" i="1"/>
  <c r="W893" i="1"/>
  <c r="W900" i="1"/>
  <c r="W894" i="1"/>
  <c r="W892" i="1"/>
  <c r="W899" i="1"/>
  <c r="W891" i="1"/>
  <c r="W904" i="1"/>
  <c r="W898" i="1"/>
  <c r="W903" i="1"/>
  <c r="W902" i="1"/>
  <c r="W897" i="1"/>
  <c r="W901" i="1"/>
  <c r="W896" i="1"/>
  <c r="W875" i="1"/>
  <c r="W880" i="1"/>
  <c r="W887" i="1"/>
  <c r="W883" i="1"/>
  <c r="W874" i="1"/>
  <c r="W879" i="1"/>
  <c r="W882" i="1"/>
  <c r="W873" i="1"/>
  <c r="W878" i="1"/>
  <c r="W872" i="1"/>
  <c r="W890" i="1"/>
  <c r="W885" i="1"/>
  <c r="W877" i="1"/>
  <c r="W881" i="1"/>
  <c r="W871" i="1"/>
  <c r="W884" i="1"/>
  <c r="W886" i="1"/>
  <c r="W889" i="1"/>
  <c r="W876" i="1"/>
  <c r="W888" i="1"/>
  <c r="W870" i="1"/>
  <c r="W863" i="1"/>
  <c r="W858" i="1"/>
  <c r="W860" i="1"/>
  <c r="W868" i="1"/>
  <c r="W867" i="1"/>
  <c r="W859" i="1"/>
  <c r="W862" i="1"/>
  <c r="W857" i="1"/>
  <c r="W865" i="1"/>
  <c r="W861" i="1"/>
  <c r="W856" i="1"/>
  <c r="W864" i="1"/>
  <c r="W866" i="1"/>
  <c r="W869" i="1"/>
  <c r="W855" i="1"/>
  <c r="W852" i="1"/>
  <c r="W841" i="1"/>
  <c r="W854" i="1"/>
  <c r="W848" i="1"/>
  <c r="W846" i="1"/>
  <c r="W847" i="1"/>
  <c r="W853" i="1"/>
  <c r="W844" i="1"/>
  <c r="W845" i="1"/>
  <c r="W840" i="1"/>
  <c r="W851" i="1"/>
  <c r="W843" i="1"/>
  <c r="W839" i="1"/>
  <c r="W849" i="1"/>
  <c r="W842" i="1"/>
  <c r="W850" i="1"/>
  <c r="W834" i="1"/>
  <c r="W829" i="1"/>
  <c r="W827" i="1"/>
  <c r="W837" i="1"/>
  <c r="W835" i="1"/>
  <c r="W826" i="1"/>
  <c r="W828" i="1"/>
  <c r="W825" i="1"/>
  <c r="W836" i="1"/>
  <c r="W832" i="1"/>
  <c r="W831" i="1"/>
  <c r="W838" i="1"/>
  <c r="W830" i="1"/>
  <c r="W833" i="1"/>
  <c r="W813" i="1"/>
  <c r="W816" i="1"/>
  <c r="W815" i="1"/>
  <c r="W812" i="1"/>
  <c r="W824" i="1"/>
  <c r="W818" i="1"/>
  <c r="W811" i="1"/>
  <c r="W810" i="1"/>
  <c r="W814" i="1"/>
  <c r="W823" i="1"/>
  <c r="W809" i="1"/>
  <c r="W819" i="1"/>
  <c r="W808" i="1"/>
  <c r="W822" i="1"/>
  <c r="W821" i="1"/>
  <c r="W817" i="1"/>
  <c r="W807" i="1"/>
  <c r="W820" i="1"/>
  <c r="W803" i="1"/>
  <c r="W802" i="1"/>
  <c r="W806" i="1"/>
  <c r="W804" i="1"/>
  <c r="W801" i="1"/>
  <c r="W805" i="1"/>
  <c r="W800" i="1"/>
  <c r="W799" i="1"/>
  <c r="W779" i="1"/>
  <c r="W788" i="1"/>
  <c r="W791" i="1"/>
  <c r="W790" i="1"/>
  <c r="W793" i="1"/>
  <c r="W784" i="1"/>
  <c r="W787" i="1"/>
  <c r="W786" i="1"/>
  <c r="W782" i="1"/>
  <c r="W778" i="1"/>
  <c r="W785" i="1"/>
  <c r="W776" i="1"/>
  <c r="W775" i="1"/>
  <c r="W794" i="1"/>
  <c r="W781" i="1"/>
  <c r="W780" i="1"/>
  <c r="W774" i="1"/>
  <c r="W773" i="1"/>
  <c r="W783" i="1"/>
  <c r="W796" i="1"/>
  <c r="W789" i="1"/>
  <c r="W798" i="1"/>
  <c r="W772" i="1"/>
  <c r="W797" i="1"/>
  <c r="W792" i="1"/>
  <c r="W777" i="1"/>
  <c r="W795" i="1"/>
  <c r="W766" i="1"/>
  <c r="W771" i="1"/>
  <c r="W768" i="1"/>
  <c r="W762" i="1"/>
  <c r="W759" i="1"/>
  <c r="W770" i="1"/>
  <c r="W763" i="1"/>
  <c r="W769" i="1"/>
  <c r="W760" i="1"/>
  <c r="W765" i="1"/>
  <c r="W758" i="1"/>
  <c r="W764" i="1"/>
  <c r="W767" i="1"/>
  <c r="W761" i="1"/>
  <c r="W754" i="1"/>
  <c r="W753" i="1"/>
  <c r="W751" i="1"/>
  <c r="W757" i="1"/>
  <c r="W748" i="1"/>
  <c r="W750" i="1"/>
  <c r="W747" i="1"/>
  <c r="W746" i="1"/>
  <c r="W756" i="1"/>
  <c r="W749" i="1"/>
  <c r="W752" i="1"/>
  <c r="W755" i="1"/>
  <c r="W738" i="1"/>
  <c r="W742" i="1"/>
  <c r="W740" i="1"/>
  <c r="W739" i="1"/>
  <c r="W734" i="1"/>
  <c r="W733" i="1"/>
  <c r="W745" i="1"/>
  <c r="W741" i="1"/>
  <c r="W735" i="1"/>
  <c r="W743" i="1"/>
  <c r="W737" i="1"/>
  <c r="W744" i="1"/>
  <c r="W736" i="1"/>
  <c r="W726" i="1"/>
  <c r="W724" i="1"/>
  <c r="W731" i="1"/>
  <c r="W729" i="1"/>
  <c r="W730" i="1"/>
  <c r="W727" i="1"/>
  <c r="W723" i="1"/>
  <c r="W728" i="1"/>
  <c r="W732" i="1"/>
  <c r="W725" i="1"/>
  <c r="W719" i="1"/>
  <c r="W711" i="1"/>
  <c r="W718" i="1"/>
  <c r="W715" i="1"/>
  <c r="W713" i="1"/>
  <c r="W721" i="1"/>
  <c r="W714" i="1"/>
  <c r="W720" i="1"/>
  <c r="W710" i="1"/>
  <c r="W709" i="1"/>
  <c r="W717" i="1"/>
  <c r="W716" i="1"/>
  <c r="W722" i="1"/>
  <c r="W712" i="1"/>
  <c r="W708" i="1"/>
  <c r="W706" i="1"/>
  <c r="W707" i="1"/>
  <c r="W703" i="1"/>
  <c r="W705" i="1"/>
  <c r="W704" i="1"/>
  <c r="W701" i="1"/>
  <c r="W700" i="1"/>
  <c r="W702" i="1"/>
  <c r="W693" i="1"/>
  <c r="W691" i="1"/>
  <c r="W680" i="1"/>
  <c r="W696" i="1"/>
  <c r="W687" i="1"/>
  <c r="W686" i="1"/>
  <c r="W692" i="1"/>
  <c r="W684" i="1"/>
  <c r="W699" i="1"/>
  <c r="W689" i="1"/>
  <c r="W695" i="1"/>
  <c r="W681" i="1"/>
  <c r="W688" i="1"/>
  <c r="W683" i="1"/>
  <c r="W697" i="1"/>
  <c r="W682" i="1"/>
  <c r="W678" i="1"/>
  <c r="W690" i="1"/>
  <c r="W698" i="1"/>
  <c r="W685" i="1"/>
  <c r="W694" i="1"/>
  <c r="W679" i="1"/>
  <c r="W673" i="1"/>
  <c r="W677" i="1"/>
  <c r="W669" i="1"/>
  <c r="W667" i="1"/>
  <c r="W676" i="1"/>
  <c r="W666" i="1"/>
  <c r="W665" i="1"/>
  <c r="W671" i="1"/>
  <c r="W672" i="1"/>
  <c r="W670" i="1"/>
  <c r="W674" i="1"/>
  <c r="W668" i="1"/>
  <c r="W675" i="1"/>
  <c r="W662" i="1"/>
  <c r="W658" i="1"/>
  <c r="W663" i="1"/>
  <c r="W659" i="1"/>
  <c r="W656" i="1"/>
  <c r="W655" i="1"/>
  <c r="W664" i="1"/>
  <c r="W660" i="1"/>
  <c r="W661" i="1"/>
  <c r="W657" i="1"/>
  <c r="W651" i="1"/>
  <c r="W645" i="1"/>
  <c r="W653" i="1"/>
  <c r="W649" i="1"/>
  <c r="W648" i="1"/>
  <c r="W644" i="1"/>
  <c r="W654" i="1"/>
  <c r="W643" i="1"/>
  <c r="W646" i="1"/>
  <c r="W650" i="1"/>
  <c r="W642" i="1"/>
  <c r="W652" i="1"/>
  <c r="W647" i="1"/>
  <c r="W627" i="1"/>
  <c r="W633" i="1"/>
  <c r="W637" i="1"/>
  <c r="W640" i="1"/>
  <c r="W639" i="1"/>
  <c r="W631" i="1"/>
  <c r="W636" i="1"/>
  <c r="W632" i="1"/>
  <c r="W630" i="1"/>
  <c r="W638" i="1"/>
  <c r="W635" i="1"/>
  <c r="W628" i="1"/>
  <c r="W629" i="1"/>
  <c r="W634" i="1"/>
  <c r="W641" i="1"/>
  <c r="W616" i="1"/>
  <c r="W615" i="1"/>
  <c r="W614" i="1"/>
  <c r="W618" i="1"/>
  <c r="W617" i="1"/>
  <c r="W624" i="1"/>
  <c r="W619" i="1"/>
  <c r="W625" i="1"/>
  <c r="W622" i="1"/>
  <c r="W613" i="1"/>
  <c r="W623" i="1"/>
  <c r="W626" i="1"/>
  <c r="W620" i="1"/>
  <c r="W612" i="1"/>
  <c r="W621" i="1"/>
  <c r="W609" i="1"/>
  <c r="W611" i="1"/>
  <c r="W603" i="1"/>
  <c r="W604" i="1"/>
  <c r="W607" i="1"/>
  <c r="W608" i="1"/>
  <c r="W606" i="1"/>
  <c r="W610" i="1"/>
  <c r="W605" i="1"/>
  <c r="W601" i="1"/>
  <c r="W595" i="1"/>
  <c r="W599" i="1"/>
  <c r="W594" i="1"/>
  <c r="W596" i="1"/>
  <c r="W600" i="1"/>
  <c r="W593" i="1"/>
  <c r="W597" i="1"/>
  <c r="W602" i="1"/>
  <c r="W598" i="1"/>
  <c r="W591" i="1"/>
  <c r="W592" i="1"/>
  <c r="W590" i="1"/>
  <c r="W589" i="1"/>
  <c r="W582" i="1"/>
  <c r="W583" i="1"/>
  <c r="W586" i="1"/>
  <c r="W581" i="1"/>
  <c r="W584" i="1"/>
  <c r="W587" i="1"/>
  <c r="W580" i="1"/>
  <c r="W585" i="1"/>
  <c r="W588" i="1"/>
  <c r="W579" i="1"/>
  <c r="W575" i="1"/>
  <c r="W574" i="1"/>
  <c r="W577" i="1"/>
  <c r="W576" i="1"/>
  <c r="W578" i="1"/>
  <c r="W570" i="1"/>
  <c r="W566" i="1"/>
  <c r="W569" i="1"/>
  <c r="W567" i="1"/>
  <c r="W568" i="1"/>
  <c r="W572" i="1"/>
  <c r="W573" i="1"/>
  <c r="W571" i="1"/>
  <c r="W564" i="1"/>
  <c r="W565" i="1"/>
  <c r="W559" i="1"/>
  <c r="W563" i="1"/>
  <c r="W562" i="1"/>
  <c r="W560" i="1"/>
  <c r="W561" i="1"/>
  <c r="W558" i="1"/>
  <c r="W552" i="1"/>
  <c r="W551" i="1"/>
  <c r="W550" i="1"/>
  <c r="W553" i="1"/>
  <c r="W548" i="1"/>
  <c r="W555" i="1"/>
  <c r="W554" i="1"/>
  <c r="W556" i="1"/>
  <c r="W549" i="1"/>
  <c r="W557" i="1"/>
  <c r="W544" i="1"/>
  <c r="W538" i="1"/>
  <c r="W543" i="1"/>
  <c r="W546" i="1"/>
  <c r="W539" i="1"/>
  <c r="W542" i="1"/>
  <c r="W545" i="1"/>
  <c r="W540" i="1"/>
  <c r="W541" i="1"/>
  <c r="W547" i="1"/>
  <c r="W537" i="1"/>
  <c r="W531" i="1"/>
  <c r="W534" i="1"/>
  <c r="W529" i="1"/>
  <c r="W532" i="1"/>
  <c r="W536" i="1"/>
  <c r="W533" i="1"/>
  <c r="W535" i="1"/>
  <c r="W530" i="1"/>
  <c r="W524" i="1"/>
  <c r="W523" i="1"/>
  <c r="W528" i="1"/>
  <c r="W525" i="1"/>
  <c r="W526" i="1"/>
  <c r="W527" i="1"/>
  <c r="W520" i="1"/>
  <c r="W518" i="1"/>
  <c r="W516" i="1"/>
  <c r="W521" i="1"/>
  <c r="W517" i="1"/>
  <c r="W522" i="1"/>
  <c r="W519" i="1"/>
  <c r="W515" i="1"/>
  <c r="W514" i="1"/>
  <c r="W513" i="1"/>
  <c r="W512" i="1"/>
  <c r="W506" i="1"/>
  <c r="W505" i="1"/>
  <c r="W509" i="1"/>
  <c r="W508" i="1"/>
  <c r="W507" i="1"/>
  <c r="W511" i="1"/>
  <c r="W510" i="1"/>
  <c r="W498" i="1"/>
  <c r="W501" i="1"/>
  <c r="W499" i="1"/>
  <c r="W504" i="1"/>
  <c r="W503" i="1"/>
  <c r="W502" i="1"/>
  <c r="W495" i="1"/>
  <c r="W494" i="1"/>
  <c r="W497" i="1"/>
  <c r="W500" i="1"/>
  <c r="W496" i="1"/>
  <c r="W492" i="1"/>
  <c r="W489" i="1"/>
  <c r="W493" i="1"/>
  <c r="W491" i="1"/>
  <c r="W490" i="1"/>
  <c r="W488" i="1"/>
  <c r="W487" i="1"/>
  <c r="W483" i="1"/>
  <c r="W484" i="1"/>
  <c r="W485" i="1"/>
  <c r="W482" i="1"/>
  <c r="W486" i="1"/>
  <c r="W480" i="1"/>
  <c r="W479" i="1"/>
  <c r="W477" i="1"/>
  <c r="W481" i="1"/>
  <c r="W476" i="1"/>
  <c r="W478" i="1"/>
  <c r="W472" i="1"/>
  <c r="W473" i="1"/>
  <c r="W474" i="1"/>
  <c r="W475" i="1"/>
  <c r="W471" i="1"/>
  <c r="W468" i="1"/>
  <c r="W467" i="1"/>
  <c r="W470" i="1"/>
  <c r="W469" i="1"/>
  <c r="W466" i="1"/>
  <c r="W465" i="1"/>
  <c r="W463" i="1"/>
  <c r="W461" i="1"/>
  <c r="W464" i="1"/>
  <c r="W462" i="1"/>
  <c r="W459" i="1"/>
  <c r="W458" i="1"/>
  <c r="W460" i="1"/>
  <c r="W457" i="1"/>
  <c r="W455" i="1"/>
  <c r="W456" i="1"/>
  <c r="W454" i="1"/>
  <c r="W452" i="1"/>
  <c r="W451" i="1"/>
  <c r="W453" i="1"/>
  <c r="W447" i="1"/>
  <c r="W445" i="1"/>
  <c r="W450" i="1"/>
  <c r="W444" i="1"/>
  <c r="W442" i="1"/>
  <c r="W448" i="1"/>
  <c r="W440" i="1"/>
  <c r="W446" i="1"/>
  <c r="W443" i="1"/>
  <c r="W449" i="1"/>
  <c r="W441" i="1"/>
  <c r="W436" i="1"/>
  <c r="W437" i="1"/>
  <c r="W439" i="1"/>
  <c r="W438" i="1"/>
  <c r="W433" i="1"/>
  <c r="W435" i="1"/>
  <c r="W434" i="1"/>
  <c r="W432" i="1"/>
  <c r="W431" i="1"/>
  <c r="W429" i="1"/>
  <c r="W430" i="1"/>
  <c r="W427" i="1"/>
  <c r="W428" i="1"/>
  <c r="W424" i="1"/>
  <c r="W426" i="1"/>
  <c r="W423" i="1"/>
  <c r="W425" i="1"/>
  <c r="W422" i="1"/>
  <c r="W419" i="1"/>
  <c r="W418" i="1"/>
  <c r="W417" i="1"/>
  <c r="W420" i="1"/>
  <c r="W421" i="1"/>
  <c r="W415" i="1"/>
  <c r="W416" i="1"/>
  <c r="W409" i="1"/>
  <c r="W414" i="1"/>
  <c r="W412" i="1"/>
  <c r="W410" i="1"/>
  <c r="W411" i="1"/>
  <c r="W408" i="1"/>
  <c r="W413" i="1"/>
  <c r="W404" i="1"/>
  <c r="W405" i="1"/>
  <c r="W403" i="1"/>
  <c r="W407" i="1"/>
  <c r="W406" i="1"/>
  <c r="W402" i="1"/>
  <c r="W400" i="1"/>
  <c r="W401" i="1"/>
  <c r="W398" i="1"/>
  <c r="W397" i="1"/>
  <c r="W399" i="1"/>
  <c r="W393" i="1"/>
  <c r="W391" i="1"/>
  <c r="W396" i="1"/>
  <c r="W395" i="1"/>
  <c r="W392" i="1"/>
  <c r="W394" i="1"/>
  <c r="W390" i="1"/>
  <c r="W389" i="1"/>
  <c r="W387" i="1"/>
  <c r="W388" i="1"/>
  <c r="W385" i="1"/>
  <c r="W386" i="1"/>
  <c r="W384" i="1"/>
  <c r="W381" i="1"/>
  <c r="W383" i="1"/>
  <c r="W382" i="1"/>
  <c r="W378" i="1"/>
  <c r="W377" i="1"/>
  <c r="W379" i="1"/>
  <c r="W380" i="1"/>
  <c r="W374" i="1"/>
  <c r="W376" i="1"/>
  <c r="W373" i="1"/>
  <c r="W375" i="1"/>
  <c r="W370" i="1"/>
  <c r="W372" i="1"/>
  <c r="W368" i="1"/>
  <c r="W371" i="1"/>
  <c r="W369" i="1"/>
  <c r="W367" i="1"/>
  <c r="W366" i="1"/>
  <c r="W360" i="1"/>
  <c r="W362" i="1"/>
  <c r="W361" i="1"/>
  <c r="W363" i="1"/>
  <c r="W365" i="1"/>
  <c r="W364" i="1"/>
  <c r="W357" i="1"/>
  <c r="W356" i="1"/>
  <c r="W358" i="1"/>
  <c r="W359" i="1"/>
  <c r="W354" i="1"/>
  <c r="W355" i="1"/>
  <c r="W353" i="1"/>
  <c r="W352" i="1"/>
  <c r="W351" i="1"/>
  <c r="W350" i="1"/>
  <c r="W349" i="1"/>
  <c r="W348" i="1"/>
  <c r="W343" i="1"/>
  <c r="W345" i="1"/>
  <c r="W347" i="1"/>
  <c r="W344" i="1"/>
  <c r="W346" i="1"/>
  <c r="W342" i="1"/>
  <c r="W341" i="1"/>
  <c r="W339" i="1"/>
  <c r="W340" i="1"/>
  <c r="W338" i="1"/>
  <c r="W337" i="1"/>
  <c r="W335" i="1"/>
  <c r="W334" i="1"/>
  <c r="W336" i="1"/>
  <c r="W333" i="1"/>
  <c r="W332" i="1"/>
  <c r="W331" i="1"/>
  <c r="W330" i="1"/>
  <c r="W328" i="1"/>
  <c r="W329" i="1"/>
  <c r="W327" i="1"/>
  <c r="W326" i="1"/>
  <c r="W324" i="1"/>
  <c r="W325" i="1"/>
  <c r="W323" i="1"/>
  <c r="W321" i="1"/>
  <c r="W322" i="1"/>
  <c r="W318" i="1"/>
  <c r="W319" i="1"/>
  <c r="W317" i="1"/>
  <c r="W320" i="1"/>
  <c r="W315" i="1"/>
  <c r="W316" i="1"/>
  <c r="W314" i="1"/>
  <c r="W313" i="1"/>
  <c r="W312" i="1"/>
  <c r="W311" i="1"/>
  <c r="W310" i="1"/>
  <c r="W308" i="1"/>
  <c r="W309" i="1"/>
  <c r="W305" i="1"/>
  <c r="W304" i="1"/>
  <c r="W306" i="1"/>
  <c r="W307" i="1"/>
  <c r="W299" i="1"/>
  <c r="W301" i="1"/>
  <c r="W303" i="1"/>
  <c r="W302" i="1"/>
  <c r="W300" i="1"/>
  <c r="W298" i="1"/>
  <c r="W297" i="1"/>
  <c r="W296" i="1"/>
  <c r="W294" i="1"/>
  <c r="W295" i="1"/>
  <c r="W293" i="1"/>
  <c r="W292" i="1"/>
  <c r="W291" i="1"/>
  <c r="W290" i="1"/>
  <c r="W289" i="1"/>
  <c r="W285" i="1"/>
  <c r="W287" i="1"/>
  <c r="W286" i="1"/>
  <c r="W284" i="1"/>
  <c r="W288" i="1"/>
  <c r="W283" i="1"/>
  <c r="W281" i="1"/>
  <c r="W282" i="1"/>
  <c r="W280" i="1"/>
  <c r="W279" i="1"/>
  <c r="W278" i="1"/>
  <c r="W277" i="1"/>
  <c r="W276" i="1"/>
  <c r="W275" i="1"/>
  <c r="W274" i="1"/>
  <c r="W273" i="1"/>
  <c r="W272" i="1"/>
  <c r="W271" i="1"/>
  <c r="W270" i="1"/>
  <c r="W269" i="1"/>
  <c r="W268" i="1"/>
  <c r="W267" i="1"/>
  <c r="W266" i="1"/>
  <c r="W265" i="1"/>
  <c r="W263" i="1"/>
  <c r="W262" i="1"/>
  <c r="W264" i="1"/>
  <c r="W261" i="1"/>
  <c r="W260" i="1"/>
  <c r="W259" i="1"/>
  <c r="W258" i="1"/>
  <c r="W257" i="1"/>
  <c r="W256" i="1"/>
  <c r="W253" i="1"/>
  <c r="W254" i="1"/>
  <c r="W255" i="1"/>
  <c r="W252" i="1"/>
  <c r="W251" i="1"/>
  <c r="W250" i="1"/>
  <c r="W249" i="1"/>
  <c r="W248" i="1"/>
  <c r="W247" i="1"/>
  <c r="W246" i="1"/>
  <c r="W245" i="1"/>
  <c r="W244" i="1"/>
  <c r="W243" i="1"/>
  <c r="W242" i="1"/>
  <c r="W241" i="1"/>
  <c r="W240" i="1"/>
  <c r="W238" i="1"/>
  <c r="W239" i="1"/>
  <c r="W237" i="1"/>
  <c r="W236" i="1"/>
  <c r="W235" i="1"/>
  <c r="W233" i="1"/>
  <c r="W234" i="1"/>
  <c r="W232" i="1"/>
  <c r="W231" i="1"/>
  <c r="W230" i="1"/>
  <c r="W229" i="1"/>
  <c r="W228" i="1"/>
  <c r="W227" i="1"/>
  <c r="W226" i="1"/>
  <c r="W224" i="1"/>
  <c r="W225" i="1"/>
  <c r="W223" i="1"/>
  <c r="W222" i="1"/>
  <c r="W220" i="1"/>
  <c r="W221" i="1"/>
  <c r="W217" i="1"/>
  <c r="W219" i="1"/>
  <c r="W218" i="1"/>
  <c r="W213" i="1"/>
  <c r="W214" i="1"/>
  <c r="W216" i="1"/>
  <c r="W215" i="1"/>
  <c r="W212" i="1"/>
  <c r="W211" i="1"/>
  <c r="W208" i="1"/>
  <c r="W209" i="1"/>
  <c r="W210" i="1"/>
  <c r="W207" i="1"/>
  <c r="W206" i="1"/>
  <c r="W204" i="1"/>
  <c r="W205" i="1"/>
  <c r="W202" i="1"/>
  <c r="W203" i="1"/>
  <c r="W201" i="1"/>
  <c r="W200" i="1"/>
  <c r="W198" i="1"/>
  <c r="W199" i="1"/>
  <c r="W195" i="1"/>
  <c r="W194" i="1"/>
  <c r="W196" i="1"/>
  <c r="W197" i="1"/>
  <c r="W193" i="1"/>
  <c r="W192" i="1"/>
  <c r="W191" i="1"/>
  <c r="W189" i="1"/>
  <c r="W190" i="1"/>
  <c r="W188" i="1"/>
  <c r="W187" i="1"/>
  <c r="W186" i="1"/>
  <c r="W185" i="1"/>
  <c r="W184" i="1"/>
  <c r="W182" i="1"/>
  <c r="W183" i="1"/>
  <c r="W180" i="1"/>
  <c r="W179" i="1"/>
  <c r="W181" i="1"/>
  <c r="W178" i="1"/>
  <c r="W177" i="1"/>
  <c r="W176" i="1"/>
  <c r="W175" i="1"/>
  <c r="W173" i="1"/>
  <c r="W174" i="1"/>
  <c r="W171" i="1"/>
  <c r="W172" i="1"/>
  <c r="W170" i="1"/>
  <c r="W169" i="1"/>
  <c r="W168" i="1"/>
  <c r="W167" i="1"/>
  <c r="W165" i="1"/>
  <c r="W166" i="1"/>
  <c r="W164" i="1"/>
  <c r="W161" i="1"/>
  <c r="W163" i="1"/>
  <c r="W162" i="1"/>
  <c r="W159" i="1"/>
  <c r="W160" i="1"/>
  <c r="W157" i="1"/>
  <c r="W158" i="1"/>
  <c r="W156" i="1"/>
  <c r="W155" i="1"/>
  <c r="W154" i="1"/>
  <c r="W153" i="1"/>
  <c r="W152" i="1"/>
  <c r="W151" i="1"/>
  <c r="W150" i="1"/>
  <c r="W149" i="1"/>
  <c r="W144" i="1"/>
  <c r="W143" i="1"/>
  <c r="W148" i="1"/>
  <c r="W145" i="1"/>
  <c r="W147" i="1"/>
  <c r="W146" i="1"/>
  <c r="W142" i="1"/>
  <c r="W139" i="1"/>
  <c r="W140" i="1"/>
  <c r="W141" i="1"/>
  <c r="W138" i="1"/>
  <c r="W137" i="1"/>
  <c r="W136" i="1"/>
  <c r="W135" i="1"/>
  <c r="W134" i="1"/>
  <c r="W133" i="1"/>
  <c r="W132" i="1"/>
  <c r="W130" i="1"/>
  <c r="W131" i="1"/>
  <c r="W128" i="1"/>
  <c r="W129" i="1"/>
  <c r="W126" i="1"/>
  <c r="W127" i="1"/>
  <c r="W125" i="1"/>
  <c r="W124" i="1"/>
  <c r="W121" i="1"/>
  <c r="W122" i="1"/>
  <c r="W119" i="1"/>
  <c r="W123" i="1"/>
  <c r="W120" i="1"/>
  <c r="W118" i="1"/>
  <c r="W116" i="1"/>
  <c r="W114" i="1"/>
  <c r="W117" i="1"/>
  <c r="W115" i="1"/>
  <c r="W112" i="1"/>
  <c r="W111" i="1"/>
  <c r="W113" i="1"/>
  <c r="W110" i="1"/>
  <c r="W109" i="1"/>
  <c r="W106" i="1"/>
  <c r="W107" i="1"/>
  <c r="W108" i="1"/>
  <c r="W105" i="1"/>
  <c r="W103" i="1"/>
  <c r="W104" i="1"/>
  <c r="W101" i="1"/>
  <c r="W102" i="1"/>
  <c r="W100" i="1"/>
  <c r="W99" i="1"/>
  <c r="W97" i="1"/>
  <c r="W96" i="1"/>
  <c r="W98" i="1"/>
  <c r="W95" i="1"/>
  <c r="W94" i="1"/>
  <c r="W92" i="1"/>
  <c r="W93" i="1"/>
  <c r="W91" i="1"/>
  <c r="W88" i="1"/>
  <c r="W89" i="1"/>
  <c r="W90" i="1"/>
  <c r="W87" i="1"/>
  <c r="W85" i="1"/>
  <c r="W86" i="1"/>
  <c r="W81" i="1"/>
  <c r="W83" i="1"/>
  <c r="W84" i="1"/>
  <c r="W80" i="1"/>
  <c r="W82" i="1"/>
  <c r="W78" i="1"/>
  <c r="W79" i="1"/>
  <c r="W77" i="1"/>
  <c r="W76" i="1"/>
  <c r="W73" i="1"/>
  <c r="W75" i="1"/>
  <c r="W72" i="1"/>
  <c r="W74" i="1"/>
  <c r="W71" i="1"/>
  <c r="W68" i="1"/>
  <c r="W67" i="1"/>
  <c r="W69" i="1"/>
  <c r="W70" i="1"/>
  <c r="W66" i="1"/>
  <c r="W65" i="1"/>
  <c r="W63" i="1"/>
  <c r="W64" i="1"/>
  <c r="W62" i="1"/>
  <c r="W60" i="1"/>
  <c r="W61" i="1"/>
  <c r="W59" i="1"/>
  <c r="W56" i="1"/>
  <c r="W55" i="1"/>
  <c r="W58" i="1"/>
  <c r="W57" i="1"/>
  <c r="W51" i="1"/>
  <c r="W53" i="1"/>
  <c r="W54" i="1"/>
  <c r="W52" i="1"/>
  <c r="W49" i="1"/>
  <c r="W50" i="1"/>
  <c r="W44" i="1"/>
  <c r="W45" i="1"/>
  <c r="W47" i="1"/>
  <c r="W46" i="1"/>
  <c r="W48" i="1"/>
  <c r="W40" i="1"/>
  <c r="W42" i="1"/>
  <c r="W39" i="1"/>
  <c r="W41" i="1"/>
  <c r="W43" i="1"/>
  <c r="W34" i="1"/>
  <c r="W35" i="1"/>
  <c r="W38" i="1"/>
  <c r="W36" i="1"/>
  <c r="W37" i="1"/>
  <c r="W28" i="1"/>
  <c r="W31" i="1"/>
  <c r="W33" i="1"/>
  <c r="W29" i="1"/>
  <c r="W26" i="1"/>
  <c r="W27" i="1"/>
  <c r="W30" i="1"/>
  <c r="W32" i="1"/>
  <c r="W24" i="1"/>
  <c r="W25" i="1"/>
  <c r="W21" i="1"/>
  <c r="W20" i="1"/>
  <c r="W23" i="1"/>
  <c r="W19" i="1"/>
  <c r="W22" i="1"/>
  <c r="W17" i="1"/>
  <c r="W18" i="1"/>
  <c r="W13" i="1"/>
  <c r="W16" i="1"/>
  <c r="W14" i="1"/>
  <c r="W15" i="1"/>
  <c r="W12" i="1"/>
  <c r="W9" i="1"/>
  <c r="W11" i="1"/>
  <c r="W6" i="1"/>
  <c r="W10" i="1"/>
  <c r="W8" i="1"/>
  <c r="W7" i="1"/>
  <c r="W3" i="1"/>
  <c r="W4" i="1"/>
  <c r="W2" i="1"/>
  <c r="W5" i="1"/>
  <c r="A9" i="2" l="1"/>
  <c r="A10" i="2" s="1"/>
  <c r="A11" i="2" s="1"/>
  <c r="A12" i="2" s="1"/>
  <c r="A13" i="2" s="1"/>
  <c r="A14" i="2" s="1"/>
  <c r="A15" i="2" s="1"/>
  <c r="A50" i="2"/>
  <c r="A51" i="2" s="1"/>
  <c r="A52" i="2" s="1"/>
  <c r="A53" i="2" s="1"/>
  <c r="A54" i="2" s="1"/>
  <c r="A55" i="2" s="1"/>
  <c r="A56" i="2" s="1"/>
  <c r="N1" i="2"/>
  <c r="I22" i="2" s="1"/>
  <c r="B49" i="2"/>
  <c r="E49" i="2" s="1"/>
  <c r="B56" i="2"/>
  <c r="B51" i="2"/>
  <c r="B52" i="2"/>
  <c r="B53" i="2"/>
  <c r="B54" i="2"/>
  <c r="B55" i="2"/>
  <c r="B50" i="2"/>
  <c r="K29" i="2"/>
  <c r="B10" i="2"/>
  <c r="B9" i="2"/>
  <c r="E9" i="2" s="1"/>
  <c r="B8" i="2"/>
  <c r="C56" i="2"/>
  <c r="C55" i="2"/>
  <c r="C54" i="2"/>
  <c r="C53" i="2"/>
  <c r="C52" i="2"/>
  <c r="C51" i="2"/>
  <c r="C50" i="2"/>
  <c r="C49" i="2"/>
  <c r="B48" i="2"/>
  <c r="E48" i="2" s="1"/>
  <c r="C15" i="2"/>
  <c r="B15" i="2"/>
  <c r="C14" i="2"/>
  <c r="B14" i="2"/>
  <c r="C13" i="2"/>
  <c r="B13" i="2"/>
  <c r="C12" i="2"/>
  <c r="B12" i="2"/>
  <c r="C11" i="2"/>
  <c r="B11" i="2"/>
  <c r="C10" i="2"/>
  <c r="C9" i="2"/>
  <c r="C8" i="2"/>
  <c r="B7" i="2"/>
  <c r="E7" i="2" s="1"/>
  <c r="W1" i="4"/>
  <c r="Z1" i="1"/>
  <c r="J75" i="2"/>
  <c r="F73" i="2"/>
  <c r="J67" i="2"/>
  <c r="F65" i="2"/>
  <c r="H62" i="2"/>
  <c r="K112" i="2"/>
  <c r="G110" i="2"/>
  <c r="I107" i="2"/>
  <c r="K104" i="2"/>
  <c r="G102" i="2"/>
  <c r="I99" i="2"/>
  <c r="K96" i="2"/>
  <c r="G94" i="2"/>
  <c r="I91" i="2"/>
  <c r="K88" i="2"/>
  <c r="G86" i="2"/>
  <c r="I83" i="2"/>
  <c r="K80" i="2"/>
  <c r="G78" i="2"/>
  <c r="I75" i="2"/>
  <c r="K72" i="2"/>
  <c r="G70" i="2"/>
  <c r="I67" i="2"/>
  <c r="K64" i="2"/>
  <c r="G62" i="2"/>
  <c r="F116" i="2"/>
  <c r="H113" i="2"/>
  <c r="J110" i="2"/>
  <c r="F108" i="2"/>
  <c r="F106" i="2"/>
  <c r="H105" i="2"/>
  <c r="J102" i="2"/>
  <c r="J100" i="2"/>
  <c r="F100" i="2"/>
  <c r="H97" i="2"/>
  <c r="H95" i="2"/>
  <c r="J94" i="2"/>
  <c r="J92" i="2"/>
  <c r="F92" i="2"/>
  <c r="H91" i="2"/>
  <c r="F90" i="2"/>
  <c r="H89" i="2"/>
  <c r="J88" i="2"/>
  <c r="H87" i="2"/>
  <c r="J86" i="2"/>
  <c r="F86" i="2"/>
  <c r="J84" i="2"/>
  <c r="F84" i="2"/>
  <c r="H83" i="2"/>
  <c r="F82" i="2"/>
  <c r="H81" i="2"/>
  <c r="J80" i="2"/>
  <c r="H79" i="2"/>
  <c r="J78" i="2"/>
  <c r="F78" i="2"/>
  <c r="J76" i="2"/>
  <c r="F76" i="2"/>
  <c r="H75" i="2"/>
  <c r="F74" i="2"/>
  <c r="H73" i="2"/>
  <c r="J72" i="2"/>
  <c r="H71" i="2"/>
  <c r="J70" i="2"/>
  <c r="F70" i="2"/>
  <c r="J68" i="2"/>
  <c r="F68" i="2"/>
  <c r="H67" i="2"/>
  <c r="F66" i="2"/>
  <c r="H65" i="2"/>
  <c r="J64" i="2"/>
  <c r="H63" i="2"/>
  <c r="J62" i="2"/>
  <c r="F89" i="2" l="1"/>
  <c r="F97" i="2"/>
  <c r="H78" i="2"/>
  <c r="J99" i="2"/>
  <c r="I115" i="2"/>
  <c r="H70" i="2"/>
  <c r="H86" i="2"/>
  <c r="F113" i="2"/>
  <c r="F81" i="2"/>
  <c r="J91" i="2"/>
  <c r="H102" i="2"/>
  <c r="F7" i="2"/>
  <c r="K44" i="2"/>
  <c r="J83" i="2"/>
  <c r="H94" i="2"/>
  <c r="H110" i="2"/>
  <c r="H39" i="2"/>
  <c r="J107" i="2"/>
  <c r="K40" i="2"/>
  <c r="G33" i="2"/>
  <c r="J61" i="2"/>
  <c r="I43" i="2"/>
  <c r="I37" i="2"/>
  <c r="J25" i="2"/>
  <c r="F105" i="2"/>
  <c r="J115" i="2"/>
  <c r="G42" i="2"/>
  <c r="H35" i="2"/>
  <c r="F9" i="2"/>
  <c r="J8" i="2"/>
  <c r="F64" i="2"/>
  <c r="J66" i="2"/>
  <c r="H69" i="2"/>
  <c r="F72" i="2"/>
  <c r="J74" i="2"/>
  <c r="H77" i="2"/>
  <c r="F80" i="2"/>
  <c r="J82" i="2"/>
  <c r="H85" i="2"/>
  <c r="F88" i="2"/>
  <c r="J90" i="2"/>
  <c r="H93" i="2"/>
  <c r="F98" i="2"/>
  <c r="H103" i="2"/>
  <c r="J108" i="2"/>
  <c r="F114" i="2"/>
  <c r="K62" i="2"/>
  <c r="G68" i="2"/>
  <c r="I73" i="2"/>
  <c r="K78" i="2"/>
  <c r="G84" i="2"/>
  <c r="I89" i="2"/>
  <c r="K94" i="2"/>
  <c r="G100" i="2"/>
  <c r="I105" i="2"/>
  <c r="K110" i="2"/>
  <c r="G116" i="2"/>
  <c r="J65" i="2"/>
  <c r="F71" i="2"/>
  <c r="H76" i="2"/>
  <c r="J81" i="2"/>
  <c r="F87" i="2"/>
  <c r="H92" i="2"/>
  <c r="J97" i="2"/>
  <c r="F103" i="2"/>
  <c r="H108" i="2"/>
  <c r="J113" i="2"/>
  <c r="I3" i="2"/>
  <c r="I7" i="2"/>
  <c r="J44" i="2"/>
  <c r="H43" i="2"/>
  <c r="F42" i="2"/>
  <c r="J40" i="2"/>
  <c r="F39" i="2"/>
  <c r="H37" i="2"/>
  <c r="G35" i="2"/>
  <c r="I32" i="2"/>
  <c r="I29" i="2"/>
  <c r="G25" i="2"/>
  <c r="G22" i="2"/>
  <c r="I116" i="2"/>
  <c r="G49" i="2"/>
  <c r="K9" i="2"/>
  <c r="H3" i="2"/>
  <c r="H7" i="2"/>
  <c r="I21" i="2"/>
  <c r="G44" i="2"/>
  <c r="K42" i="2"/>
  <c r="I41" i="2"/>
  <c r="G40" i="2"/>
  <c r="H38" i="2"/>
  <c r="J36" i="2"/>
  <c r="H34" i="2"/>
  <c r="H31" i="2"/>
  <c r="I28" i="2"/>
  <c r="G24" i="2"/>
  <c r="F48" i="2"/>
  <c r="I108" i="2"/>
  <c r="F49" i="2"/>
  <c r="H111" i="2"/>
  <c r="J116" i="2"/>
  <c r="I65" i="2"/>
  <c r="K70" i="2"/>
  <c r="G76" i="2"/>
  <c r="I81" i="2"/>
  <c r="K86" i="2"/>
  <c r="G92" i="2"/>
  <c r="I97" i="2"/>
  <c r="K102" i="2"/>
  <c r="G108" i="2"/>
  <c r="I113" i="2"/>
  <c r="F63" i="2"/>
  <c r="H68" i="2"/>
  <c r="J73" i="2"/>
  <c r="F79" i="2"/>
  <c r="H84" i="2"/>
  <c r="J89" i="2"/>
  <c r="F95" i="2"/>
  <c r="H100" i="2"/>
  <c r="J105" i="2"/>
  <c r="F111" i="2"/>
  <c r="H116" i="2"/>
  <c r="K3" i="2"/>
  <c r="H21" i="2"/>
  <c r="F44" i="2"/>
  <c r="J42" i="2"/>
  <c r="H41" i="2"/>
  <c r="F40" i="2"/>
  <c r="G38" i="2"/>
  <c r="H36" i="2"/>
  <c r="F34" i="2"/>
  <c r="G31" i="2"/>
  <c r="K26" i="2"/>
  <c r="K23" i="2"/>
  <c r="I48" i="2"/>
  <c r="K107" i="2"/>
  <c r="E8" i="2"/>
  <c r="K8" i="2"/>
  <c r="I62" i="2"/>
  <c r="I9" i="2"/>
  <c r="H49" i="2"/>
  <c r="I49" i="2"/>
  <c r="J49" i="2"/>
  <c r="K97" i="2"/>
  <c r="K111" i="2"/>
  <c r="K61" i="2"/>
  <c r="I27" i="2"/>
  <c r="F23" i="2"/>
  <c r="H24" i="2"/>
  <c r="G26" i="2"/>
  <c r="J28" i="2"/>
  <c r="G30" i="2"/>
  <c r="F32" i="2"/>
  <c r="H33" i="2"/>
  <c r="I34" i="2"/>
  <c r="K35" i="2"/>
  <c r="K36" i="2"/>
  <c r="J37" i="2"/>
  <c r="J38" i="2"/>
  <c r="I39" i="2"/>
  <c r="H40" i="2"/>
  <c r="F41" i="2"/>
  <c r="J41" i="2"/>
  <c r="H42" i="2"/>
  <c r="F43" i="2"/>
  <c r="J43" i="2"/>
  <c r="H44" i="2"/>
  <c r="K21" i="2"/>
  <c r="J21" i="2"/>
  <c r="J7" i="2"/>
  <c r="J3" i="2"/>
  <c r="F3" i="2"/>
  <c r="F115" i="2"/>
  <c r="H112" i="2"/>
  <c r="J109" i="2"/>
  <c r="F107" i="2"/>
  <c r="H104" i="2"/>
  <c r="J101" i="2"/>
  <c r="F99" i="2"/>
  <c r="H96" i="2"/>
  <c r="J93" i="2"/>
  <c r="F91" i="2"/>
  <c r="H88" i="2"/>
  <c r="J85" i="2"/>
  <c r="F83" i="2"/>
  <c r="H80" i="2"/>
  <c r="J77" i="2"/>
  <c r="F75" i="2"/>
  <c r="H72" i="2"/>
  <c r="J69" i="2"/>
  <c r="F67" i="2"/>
  <c r="H64" i="2"/>
  <c r="I61" i="2"/>
  <c r="K114" i="2"/>
  <c r="G112" i="2"/>
  <c r="I109" i="2"/>
  <c r="K106" i="2"/>
  <c r="G104" i="2"/>
  <c r="I101" i="2"/>
  <c r="K98" i="2"/>
  <c r="G96" i="2"/>
  <c r="I93" i="2"/>
  <c r="K90" i="2"/>
  <c r="G88" i="2"/>
  <c r="I85" i="2"/>
  <c r="K82" i="2"/>
  <c r="G80" i="2"/>
  <c r="I77" i="2"/>
  <c r="K74" i="2"/>
  <c r="G72" i="2"/>
  <c r="I69" i="2"/>
  <c r="K66" i="2"/>
  <c r="G64" i="2"/>
  <c r="F61" i="2"/>
  <c r="H115" i="2"/>
  <c r="J112" i="2"/>
  <c r="F110" i="2"/>
  <c r="H107" i="2"/>
  <c r="J104" i="2"/>
  <c r="F102" i="2"/>
  <c r="H99" i="2"/>
  <c r="J96" i="2"/>
  <c r="F94" i="2"/>
  <c r="K49" i="2"/>
  <c r="H9" i="2"/>
  <c r="J9" i="2"/>
  <c r="F8" i="2"/>
  <c r="G8" i="2"/>
  <c r="H8" i="2"/>
  <c r="G103" i="2"/>
  <c r="G113" i="2"/>
  <c r="H48" i="2"/>
  <c r="J27" i="2"/>
  <c r="G23" i="2"/>
  <c r="F25" i="2"/>
  <c r="I26" i="2"/>
  <c r="K28" i="2"/>
  <c r="J30" i="2"/>
  <c r="G32" i="2"/>
  <c r="J33" i="2"/>
  <c r="F35" i="2"/>
  <c r="F36" i="2"/>
  <c r="F37" i="2"/>
  <c r="F38" i="2"/>
  <c r="K38" i="2"/>
  <c r="J39" i="2"/>
  <c r="I40" i="2"/>
  <c r="G41" i="2"/>
  <c r="K41" i="2"/>
  <c r="I42" i="2"/>
  <c r="G43" i="2"/>
  <c r="K43" i="2"/>
  <c r="I44" i="2"/>
  <c r="G21" i="2"/>
  <c r="F21" i="2"/>
  <c r="G7" i="2"/>
  <c r="K7" i="2"/>
  <c r="G3" i="2"/>
  <c r="H114" i="2"/>
  <c r="J111" i="2"/>
  <c r="F109" i="2"/>
  <c r="H106" i="2"/>
  <c r="J103" i="2"/>
  <c r="F101" i="2"/>
  <c r="H98" i="2"/>
  <c r="J95" i="2"/>
  <c r="F93" i="2"/>
  <c r="H90" i="2"/>
  <c r="J87" i="2"/>
  <c r="F85" i="2"/>
  <c r="H82" i="2"/>
  <c r="J79" i="2"/>
  <c r="F77" i="2"/>
  <c r="H74" i="2"/>
  <c r="J71" i="2"/>
  <c r="F69" i="2"/>
  <c r="H66" i="2"/>
  <c r="J63" i="2"/>
  <c r="K116" i="2"/>
  <c r="G114" i="2"/>
  <c r="I111" i="2"/>
  <c r="K108" i="2"/>
  <c r="G106" i="2"/>
  <c r="I103" i="2"/>
  <c r="K100" i="2"/>
  <c r="G98" i="2"/>
  <c r="I95" i="2"/>
  <c r="K92" i="2"/>
  <c r="G90" i="2"/>
  <c r="I87" i="2"/>
  <c r="K84" i="2"/>
  <c r="G82" i="2"/>
  <c r="I79" i="2"/>
  <c r="K76" i="2"/>
  <c r="G74" i="2"/>
  <c r="I71" i="2"/>
  <c r="K68" i="2"/>
  <c r="G66" i="2"/>
  <c r="I63" i="2"/>
  <c r="H61" i="2"/>
  <c r="J114" i="2"/>
  <c r="F112" i="2"/>
  <c r="H109" i="2"/>
  <c r="J106" i="2"/>
  <c r="F104" i="2"/>
  <c r="H101" i="2"/>
  <c r="J98" i="2"/>
  <c r="F96" i="2"/>
  <c r="G9" i="2"/>
  <c r="I8" i="2"/>
  <c r="K50" i="2"/>
  <c r="G50" i="2"/>
  <c r="J50" i="2"/>
  <c r="F50" i="2"/>
  <c r="I50" i="2"/>
  <c r="E50" i="2"/>
  <c r="H50" i="2"/>
  <c r="H10" i="2"/>
  <c r="K10" i="2"/>
  <c r="G10" i="2"/>
  <c r="E10" i="2"/>
  <c r="J10" i="2"/>
  <c r="F10" i="2"/>
  <c r="I10" i="2"/>
  <c r="K39" i="2"/>
  <c r="G39" i="2"/>
  <c r="I38" i="2"/>
  <c r="K37" i="2"/>
  <c r="G37" i="2"/>
  <c r="I36" i="2"/>
  <c r="J35" i="2"/>
  <c r="J34" i="2"/>
  <c r="K33" i="2"/>
  <c r="K32" i="2"/>
  <c r="I31" i="2"/>
  <c r="I30" i="2"/>
  <c r="H29" i="2"/>
  <c r="F28" i="2"/>
  <c r="K25" i="2"/>
  <c r="K24" i="2"/>
  <c r="I23" i="2"/>
  <c r="H22" i="2"/>
  <c r="G27" i="2"/>
  <c r="K115" i="2"/>
  <c r="G111" i="2"/>
  <c r="K105" i="2"/>
  <c r="G97" i="2"/>
  <c r="I114" i="2"/>
  <c r="G109" i="2"/>
  <c r="G105" i="2"/>
  <c r="G87" i="2"/>
  <c r="G36" i="2"/>
  <c r="I35" i="2"/>
  <c r="K34" i="2"/>
  <c r="G34" i="2"/>
  <c r="I33" i="2"/>
  <c r="J32" i="2"/>
  <c r="K31" i="2"/>
  <c r="K30" i="2"/>
  <c r="F30" i="2"/>
  <c r="G29" i="2"/>
  <c r="G28" i="2"/>
  <c r="H26" i="2"/>
  <c r="I25" i="2"/>
  <c r="I24" i="2"/>
  <c r="J23" i="2"/>
  <c r="K22" i="2"/>
  <c r="K27" i="2"/>
  <c r="F27" i="2"/>
  <c r="G48" i="2"/>
  <c r="F62" i="2"/>
  <c r="K113" i="2"/>
  <c r="I110" i="2"/>
  <c r="I106" i="2"/>
  <c r="I100" i="2"/>
  <c r="I86" i="2"/>
  <c r="I102" i="2"/>
  <c r="I92" i="2"/>
  <c r="K81" i="2"/>
  <c r="K91" i="2"/>
  <c r="G81" i="2"/>
  <c r="G95" i="2"/>
  <c r="K89" i="2"/>
  <c r="I84" i="2"/>
  <c r="I76" i="2"/>
  <c r="K99" i="2"/>
  <c r="I94" i="2"/>
  <c r="G89" i="2"/>
  <c r="K83" i="2"/>
  <c r="K75" i="2"/>
  <c r="G79" i="2"/>
  <c r="I72" i="2"/>
  <c r="I78" i="2"/>
  <c r="K71" i="2"/>
  <c r="F33" i="2"/>
  <c r="H32" i="2"/>
  <c r="J31" i="2"/>
  <c r="F31" i="2"/>
  <c r="H30" i="2"/>
  <c r="J29" i="2"/>
  <c r="F29" i="2"/>
  <c r="H28" i="2"/>
  <c r="J26" i="2"/>
  <c r="F26" i="2"/>
  <c r="H25" i="2"/>
  <c r="J24" i="2"/>
  <c r="F24" i="2"/>
  <c r="H23" i="2"/>
  <c r="J22" i="2"/>
  <c r="F22" i="2"/>
  <c r="H27" i="2"/>
  <c r="J48" i="2"/>
  <c r="K48" i="2"/>
  <c r="G61" i="2"/>
  <c r="G115" i="2"/>
  <c r="I112" i="2"/>
  <c r="K109" i="2"/>
  <c r="G107" i="2"/>
  <c r="I104" i="2"/>
  <c r="K101" i="2"/>
  <c r="G99" i="2"/>
  <c r="I96" i="2"/>
  <c r="K93" i="2"/>
  <c r="G91" i="2"/>
  <c r="I88" i="2"/>
  <c r="K85" i="2"/>
  <c r="G83" i="2"/>
  <c r="I80" i="2"/>
  <c r="K77" i="2"/>
  <c r="G75" i="2"/>
  <c r="G67" i="2"/>
  <c r="K103" i="2"/>
  <c r="G101" i="2"/>
  <c r="I98" i="2"/>
  <c r="K95" i="2"/>
  <c r="G93" i="2"/>
  <c r="I90" i="2"/>
  <c r="K87" i="2"/>
  <c r="G85" i="2"/>
  <c r="I82" i="2"/>
  <c r="K79" i="2"/>
  <c r="G77" i="2"/>
  <c r="I74" i="2"/>
  <c r="I66" i="2"/>
  <c r="K73" i="2"/>
  <c r="K69" i="2"/>
  <c r="I64" i="2"/>
  <c r="G73" i="2"/>
  <c r="G69" i="2"/>
  <c r="K63" i="2"/>
  <c r="G71" i="2"/>
  <c r="I68" i="2"/>
  <c r="K65" i="2"/>
  <c r="G63" i="2"/>
  <c r="I70" i="2"/>
  <c r="K67" i="2"/>
  <c r="G65" i="2"/>
  <c r="H11" i="2" l="1"/>
  <c r="K11" i="2"/>
  <c r="G11" i="2"/>
  <c r="E11" i="2"/>
  <c r="J11" i="2"/>
  <c r="F11" i="2"/>
  <c r="I11" i="2"/>
  <c r="K51" i="2"/>
  <c r="G51" i="2"/>
  <c r="J51" i="2"/>
  <c r="F51" i="2"/>
  <c r="I51" i="2"/>
  <c r="E51" i="2"/>
  <c r="H51" i="2"/>
  <c r="K52" i="2" l="1"/>
  <c r="G52" i="2"/>
  <c r="J52" i="2"/>
  <c r="F52" i="2"/>
  <c r="I52" i="2"/>
  <c r="E52" i="2"/>
  <c r="H52" i="2"/>
  <c r="H12" i="2"/>
  <c r="K12" i="2"/>
  <c r="G12" i="2"/>
  <c r="E12" i="2"/>
  <c r="J12" i="2"/>
  <c r="F12" i="2"/>
  <c r="I12" i="2"/>
  <c r="K53" i="2" l="1"/>
  <c r="G53" i="2"/>
  <c r="J53" i="2"/>
  <c r="F53" i="2"/>
  <c r="I53" i="2"/>
  <c r="E53" i="2"/>
  <c r="H53" i="2"/>
  <c r="H13" i="2"/>
  <c r="K13" i="2"/>
  <c r="G13" i="2"/>
  <c r="I13" i="2"/>
  <c r="J13" i="2"/>
  <c r="F13" i="2"/>
  <c r="E13" i="2"/>
  <c r="K54" i="2" l="1"/>
  <c r="G54" i="2"/>
  <c r="J54" i="2"/>
  <c r="F54" i="2"/>
  <c r="I54" i="2"/>
  <c r="E54" i="2"/>
  <c r="H54" i="2"/>
  <c r="H14" i="2"/>
  <c r="K14" i="2"/>
  <c r="G14" i="2"/>
  <c r="J14" i="2"/>
  <c r="F14" i="2"/>
  <c r="I14" i="2"/>
  <c r="E14" i="2"/>
  <c r="K55" i="2" l="1"/>
  <c r="G55" i="2"/>
  <c r="J55" i="2"/>
  <c r="F55" i="2"/>
  <c r="I55" i="2"/>
  <c r="E55" i="2"/>
  <c r="H55" i="2"/>
  <c r="H15" i="2"/>
  <c r="K15" i="2"/>
  <c r="G15" i="2"/>
  <c r="J15" i="2"/>
  <c r="F15" i="2"/>
  <c r="I15" i="2"/>
  <c r="E15" i="2"/>
  <c r="K56" i="2" l="1"/>
  <c r="G56" i="2"/>
  <c r="J56" i="2"/>
  <c r="F56" i="2"/>
  <c r="I56" i="2"/>
  <c r="E56" i="2"/>
  <c r="H56" i="2"/>
</calcChain>
</file>

<file path=xl/sharedStrings.xml><?xml version="1.0" encoding="utf-8"?>
<sst xmlns="http://schemas.openxmlformats.org/spreadsheetml/2006/main" count="12408" uniqueCount="1893">
  <si>
    <t>State</t>
  </si>
  <si>
    <t>Name</t>
  </si>
  <si>
    <t>ID</t>
  </si>
  <si>
    <t>Mode</t>
  </si>
  <si>
    <t>TOS</t>
  </si>
  <si>
    <t>VOMS</t>
  </si>
  <si>
    <t>ADA Accessible</t>
  </si>
  <si>
    <t>Non-ADA Accessible</t>
  </si>
  <si>
    <t>Total Stations</t>
  </si>
  <si>
    <t>AK</t>
  </si>
  <si>
    <t>AR</t>
  </si>
  <si>
    <t>DO</t>
  </si>
  <si>
    <t>MB</t>
  </si>
  <si>
    <t>AL</t>
  </si>
  <si>
    <t>City of Huntsville, Alabama - Public Transportation Division</t>
  </si>
  <si>
    <t>PT</t>
  </si>
  <si>
    <t>AZ</t>
  </si>
  <si>
    <t>City of Sierra Vista</t>
  </si>
  <si>
    <t>LR</t>
  </si>
  <si>
    <t>CA</t>
  </si>
  <si>
    <t>CR</t>
  </si>
  <si>
    <t>CB</t>
  </si>
  <si>
    <t>FB</t>
  </si>
  <si>
    <t>Foothill Transit</t>
  </si>
  <si>
    <t>HR</t>
  </si>
  <si>
    <t>RB</t>
  </si>
  <si>
    <t>YR</t>
  </si>
  <si>
    <t>Roseville Transit</t>
  </si>
  <si>
    <t>CO</t>
  </si>
  <si>
    <t>CT</t>
  </si>
  <si>
    <t>Norwalk Transit District</t>
  </si>
  <si>
    <t>DC</t>
  </si>
  <si>
    <t>FL</t>
  </si>
  <si>
    <t>SR</t>
  </si>
  <si>
    <t>MG</t>
  </si>
  <si>
    <t>GA</t>
  </si>
  <si>
    <t>HI</t>
  </si>
  <si>
    <t>IA</t>
  </si>
  <si>
    <t>Ames Transit Agency dba CyRide</t>
  </si>
  <si>
    <t>IL</t>
  </si>
  <si>
    <t>IN</t>
  </si>
  <si>
    <t>City of Valparaiso</t>
  </si>
  <si>
    <t>KS</t>
  </si>
  <si>
    <t>KY</t>
  </si>
  <si>
    <t>LA</t>
  </si>
  <si>
    <t>MA</t>
  </si>
  <si>
    <t>TB</t>
  </si>
  <si>
    <t>MD</t>
  </si>
  <si>
    <t>Ride-On Montgomery County Transit</t>
  </si>
  <si>
    <t>Transit Services of Frederick County</t>
  </si>
  <si>
    <t>ME</t>
  </si>
  <si>
    <t>MI</t>
  </si>
  <si>
    <t>MN</t>
  </si>
  <si>
    <t>Metropolitan Council</t>
  </si>
  <si>
    <t>MO</t>
  </si>
  <si>
    <t>MS</t>
  </si>
  <si>
    <t>MT</t>
  </si>
  <si>
    <t>NC</t>
  </si>
  <si>
    <t>ND</t>
  </si>
  <si>
    <t>NE</t>
  </si>
  <si>
    <t>StarTran</t>
  </si>
  <si>
    <t>NH</t>
  </si>
  <si>
    <t>NJ</t>
  </si>
  <si>
    <t>Academy Lines, Inc.</t>
  </si>
  <si>
    <t>Lakeland Bus Lines, Inc.</t>
  </si>
  <si>
    <t>Port Imperial Ferry Corporation dba NY Waterway</t>
  </si>
  <si>
    <t>Rockland Coaches, Inc.</t>
  </si>
  <si>
    <t>NM</t>
  </si>
  <si>
    <t>NV</t>
  </si>
  <si>
    <t>NY</t>
  </si>
  <si>
    <t>BillyBey Ferry Company, LLC</t>
  </si>
  <si>
    <t>OH</t>
  </si>
  <si>
    <t>Laketran</t>
  </si>
  <si>
    <t>OK</t>
  </si>
  <si>
    <t>OR</t>
  </si>
  <si>
    <t>PA</t>
  </si>
  <si>
    <t>IP</t>
  </si>
  <si>
    <t>PR</t>
  </si>
  <si>
    <t>Municipality of Barceloneta</t>
  </si>
  <si>
    <t>Municipality of Dorado</t>
  </si>
  <si>
    <t>RI</t>
  </si>
  <si>
    <t>SC</t>
  </si>
  <si>
    <t>SD</t>
  </si>
  <si>
    <t>TN</t>
  </si>
  <si>
    <t>TX</t>
  </si>
  <si>
    <t>UT</t>
  </si>
  <si>
    <t>VA</t>
  </si>
  <si>
    <t>VT</t>
  </si>
  <si>
    <t>WA</t>
  </si>
  <si>
    <t>Kitsap Transit</t>
  </si>
  <si>
    <t>Link Transit</t>
  </si>
  <si>
    <t>Skagit Transit</t>
  </si>
  <si>
    <t>WI</t>
  </si>
  <si>
    <t>GO Transit</t>
  </si>
  <si>
    <t>Shoreline Metro</t>
  </si>
  <si>
    <t>WV</t>
  </si>
  <si>
    <t>National Totals</t>
  </si>
  <si>
    <t>City</t>
  </si>
  <si>
    <t>University</t>
  </si>
  <si>
    <t>Alaska Railroad - Directly Operated</t>
  </si>
  <si>
    <t>Commuter Bus - Directly Operated</t>
  </si>
  <si>
    <t>Commuter Bus - Purchased Transportation</t>
  </si>
  <si>
    <t>Commuter Rail - Directly Operated</t>
  </si>
  <si>
    <t>Commuter Rail - Purchased Transportation</t>
  </si>
  <si>
    <t>Ferryboat - Directly Operated</t>
  </si>
  <si>
    <t>Ferryboat - Purchased Transportation</t>
  </si>
  <si>
    <t>Heavy Rail - Directly Operated</t>
  </si>
  <si>
    <t>Heavy Rail - Purchased Transportation</t>
  </si>
  <si>
    <t>Inclined Plane - Directly Operated</t>
  </si>
  <si>
    <t>Light Rail - Directly Operated</t>
  </si>
  <si>
    <t>Light Rail - Purchased Transportation</t>
  </si>
  <si>
    <t>Bus - Directly Operated</t>
  </si>
  <si>
    <t>Bus - Purchased Transportation</t>
  </si>
  <si>
    <t>Monorail/Automated Guideway - Directly Operated</t>
  </si>
  <si>
    <t>Monorail/Automated Guideway - Purchased Transportation</t>
  </si>
  <si>
    <t>Bus Rapid Transit - Directly Operated</t>
  </si>
  <si>
    <t>Street Car Rail - Directly Operated</t>
  </si>
  <si>
    <t>Street Car Rail - Purchased Transportation</t>
  </si>
  <si>
    <t>Trolleybus - Directly Operated</t>
  </si>
  <si>
    <t>Hybrid Rail - Purchased Transportation</t>
  </si>
  <si>
    <t>DE</t>
  </si>
  <si>
    <t>Gaston County</t>
  </si>
  <si>
    <t>TR</t>
  </si>
  <si>
    <t>Municipality of Guaynabo</t>
  </si>
  <si>
    <t>Municipality of Toa Baja</t>
  </si>
  <si>
    <t>Wichita Falls Transit System</t>
  </si>
  <si>
    <t>Aerial Tramway - Purchased Transportation</t>
  </si>
  <si>
    <t>Bus Rapid Transit - Purchased Transportation</t>
  </si>
  <si>
    <t>Reporter Type</t>
  </si>
  <si>
    <t>City of Manteca</t>
  </si>
  <si>
    <t>Marin County Transit District</t>
  </si>
  <si>
    <t>City of Fort Lauderdale</t>
  </si>
  <si>
    <t>City of Gastonia</t>
  </si>
  <si>
    <t>Research Triangle Regional Public Transportation Authority</t>
  </si>
  <si>
    <t>City of Milton-Freewater</t>
  </si>
  <si>
    <t>Altoona Metro Transit</t>
  </si>
  <si>
    <t>Southeast Missouri State University</t>
  </si>
  <si>
    <t>City of Appleton - Valley Transit</t>
  </si>
  <si>
    <t>West Virginia University - Morgantown Personal Rapid Transit</t>
  </si>
  <si>
    <t>Primary UZA Population</t>
  </si>
  <si>
    <t>Elevators</t>
  </si>
  <si>
    <t>Escalators</t>
  </si>
  <si>
    <t>Agency VOMS</t>
  </si>
  <si>
    <t>Mode VOMS</t>
  </si>
  <si>
    <t>ADA Accessible Stations</t>
  </si>
  <si>
    <t>Non-ADA Accessible Stations</t>
  </si>
  <si>
    <t>Monroe Bus Corporation</t>
  </si>
  <si>
    <t>Brooklyn</t>
  </si>
  <si>
    <t>Private-For-Profit Corporation</t>
  </si>
  <si>
    <t>Full Reporter</t>
  </si>
  <si>
    <t>City of St. George</t>
  </si>
  <si>
    <t>St. George</t>
  </si>
  <si>
    <t>City, County or Local Government Unit or Department of Transportation</t>
  </si>
  <si>
    <t>City of Corvallis</t>
  </si>
  <si>
    <t>Corvallis</t>
  </si>
  <si>
    <t>Westminster</t>
  </si>
  <si>
    <t>City of Hazleton -- Hazleton Public Transit</t>
  </si>
  <si>
    <t>Hazleton</t>
  </si>
  <si>
    <t>Texarkana Urban Transit District</t>
  </si>
  <si>
    <t>Texarkana</t>
  </si>
  <si>
    <t>Independent Public Agency or Authority of Transit Service</t>
  </si>
  <si>
    <t>The Lawton Area Transit System</t>
  </si>
  <si>
    <t>Lawton</t>
  </si>
  <si>
    <t>County Commissioners of Charles County, MD</t>
  </si>
  <si>
    <t>Monongalia County Urban Mass Transit Authority</t>
  </si>
  <si>
    <t>Morgantown</t>
  </si>
  <si>
    <t>City of Harrisonburg Department of Public Transportation</t>
  </si>
  <si>
    <t>Harrisonburg</t>
  </si>
  <si>
    <t>Town of Cary</t>
  </si>
  <si>
    <t>Cary</t>
  </si>
  <si>
    <t>County of Lebanon Transit Authority</t>
  </si>
  <si>
    <t>Lebanon</t>
  </si>
  <si>
    <t>City of Loveland Transit</t>
  </si>
  <si>
    <t>Loveland</t>
  </si>
  <si>
    <t>South Portland Bus Service</t>
  </si>
  <si>
    <t>South Portland</t>
  </si>
  <si>
    <t>Eastern Panhandle Transit Authority</t>
  </si>
  <si>
    <t>Martinsburg</t>
  </si>
  <si>
    <t>Blacksburg Transit</t>
  </si>
  <si>
    <t>Blacksburg</t>
  </si>
  <si>
    <t>City of Jefferson</t>
  </si>
  <si>
    <t>Jefferson City</t>
  </si>
  <si>
    <t>Cleveland Area Rapid Transit</t>
  </si>
  <si>
    <t xml:space="preserve"> Norman</t>
  </si>
  <si>
    <t>Collier Area Transit</t>
  </si>
  <si>
    <t>Naples</t>
  </si>
  <si>
    <t>Golden Crescent Regional Planning Commission</t>
  </si>
  <si>
    <t>Victoria</t>
  </si>
  <si>
    <t>MPO, COG or Other Planning Agency</t>
  </si>
  <si>
    <t>Auburn</t>
  </si>
  <si>
    <t>City of Tracy</t>
  </si>
  <si>
    <t>Tracy</t>
  </si>
  <si>
    <t>Monroe</t>
  </si>
  <si>
    <t>Fond du Lac Area Transit</t>
  </si>
  <si>
    <t>Fond du Lac</t>
  </si>
  <si>
    <t>Hall Area Transit</t>
  </si>
  <si>
    <t>Gainesville</t>
  </si>
  <si>
    <t>Private-Non-Profit Corporation</t>
  </si>
  <si>
    <t>Gadsden</t>
  </si>
  <si>
    <t>Huntsville</t>
  </si>
  <si>
    <t>Camden</t>
  </si>
  <si>
    <t>Birmingham</t>
  </si>
  <si>
    <t>Pine Bluff</t>
  </si>
  <si>
    <t>Jonesboro</t>
  </si>
  <si>
    <t>Fort Smith</t>
  </si>
  <si>
    <t>Municipality of Manati</t>
  </si>
  <si>
    <t>Manati</t>
  </si>
  <si>
    <t>Miami</t>
  </si>
  <si>
    <t>Sacramento</t>
  </si>
  <si>
    <t>Jackson</t>
  </si>
  <si>
    <t>Madera</t>
  </si>
  <si>
    <t>Fresno</t>
  </si>
  <si>
    <t>Visalia</t>
  </si>
  <si>
    <t>Bakersfield</t>
  </si>
  <si>
    <t>Pueblo</t>
  </si>
  <si>
    <t>Denver</t>
  </si>
  <si>
    <t>Midland-Odessa Urban Transit District</t>
  </si>
  <si>
    <t>Midland</t>
  </si>
  <si>
    <t>Torrington</t>
  </si>
  <si>
    <t>Hernando County Board of County Commissioners</t>
  </si>
  <si>
    <t>Brooksville</t>
  </si>
  <si>
    <t>Bristol</t>
  </si>
  <si>
    <t>Tallahassee</t>
  </si>
  <si>
    <t>Pensacola</t>
  </si>
  <si>
    <t>Franklin</t>
  </si>
  <si>
    <t>Louisville</t>
  </si>
  <si>
    <t>LaGrange</t>
  </si>
  <si>
    <t>Greensboro</t>
  </si>
  <si>
    <t>Madison</t>
  </si>
  <si>
    <t>Washington</t>
  </si>
  <si>
    <t>Dallas</t>
  </si>
  <si>
    <t>City of Danville/Danville Mass Transit</t>
  </si>
  <si>
    <t>Danville</t>
  </si>
  <si>
    <t>Waterloo</t>
  </si>
  <si>
    <t>Des Moines</t>
  </si>
  <si>
    <t>Sioux City</t>
  </si>
  <si>
    <t>Dubuque</t>
  </si>
  <si>
    <t>City of Porterville</t>
  </si>
  <si>
    <t>Porterville</t>
  </si>
  <si>
    <t>North Carolina State University Transportation Department</t>
  </si>
  <si>
    <t>Raleigh</t>
  </si>
  <si>
    <t>City of Madera</t>
  </si>
  <si>
    <t>Dover</t>
  </si>
  <si>
    <t>Lewiston</t>
  </si>
  <si>
    <t>Preston</t>
  </si>
  <si>
    <t>Greenville</t>
  </si>
  <si>
    <t>Urbana</t>
  </si>
  <si>
    <t>Peoria</t>
  </si>
  <si>
    <t>Bloomington</t>
  </si>
  <si>
    <t>Lincoln</t>
  </si>
  <si>
    <t>Jacksonville</t>
  </si>
  <si>
    <t>Charleston</t>
  </si>
  <si>
    <t>Biddeford-Saco-Old Orchard Beach Transit Committee Shuttle Bus</t>
  </si>
  <si>
    <t>Biddeford</t>
  </si>
  <si>
    <t>Richmond</t>
  </si>
  <si>
    <t>Anderson</t>
  </si>
  <si>
    <t>Huntington</t>
  </si>
  <si>
    <t>Lafayette</t>
  </si>
  <si>
    <t>Rochester</t>
  </si>
  <si>
    <t>Terre Haute</t>
  </si>
  <si>
    <t>Garden City</t>
  </si>
  <si>
    <t>Abilene</t>
  </si>
  <si>
    <t>Minneapolis</t>
  </si>
  <si>
    <t>Syracuse</t>
  </si>
  <si>
    <t>Lawrence</t>
  </si>
  <si>
    <t>Marysville</t>
  </si>
  <si>
    <t>Independence</t>
  </si>
  <si>
    <t>Burlington</t>
  </si>
  <si>
    <t>Columbus</t>
  </si>
  <si>
    <t>State Government Unit or Department of Transportation</t>
  </si>
  <si>
    <t>Beloit</t>
  </si>
  <si>
    <t>Manchester</t>
  </si>
  <si>
    <t>Lexington</t>
  </si>
  <si>
    <t>Owensboro</t>
  </si>
  <si>
    <t>Lake Charles</t>
  </si>
  <si>
    <t>Columbia</t>
  </si>
  <si>
    <t>Houma</t>
  </si>
  <si>
    <t>Mansfield</t>
  </si>
  <si>
    <t>Kings County Area Public Transit Agency</t>
  </si>
  <si>
    <t>Hanford</t>
  </si>
  <si>
    <t>Oakland</t>
  </si>
  <si>
    <t>Lewiston Transit System</t>
  </si>
  <si>
    <t>Bangor</t>
  </si>
  <si>
    <t>Bay City</t>
  </si>
  <si>
    <t>St. Joseph</t>
  </si>
  <si>
    <t>Charlotte</t>
  </si>
  <si>
    <t>Austin</t>
  </si>
  <si>
    <t>Martin County</t>
  </si>
  <si>
    <t>Houston</t>
  </si>
  <si>
    <t>Macon</t>
  </si>
  <si>
    <t>Northern New England Passenger Rail Authority</t>
  </si>
  <si>
    <t>Portland</t>
  </si>
  <si>
    <t>Ashland</t>
  </si>
  <si>
    <t>Canton</t>
  </si>
  <si>
    <t>Cleveland</t>
  </si>
  <si>
    <t>Hattiesburg</t>
  </si>
  <si>
    <t>Hamilton</t>
  </si>
  <si>
    <t>Hot Springs</t>
  </si>
  <si>
    <t>Missoula</t>
  </si>
  <si>
    <t>The Tri-County Council for the Lower Eastern Shore of Maryland</t>
  </si>
  <si>
    <t>Salisbury</t>
  </si>
  <si>
    <t>City of McAllen - McAllen Express Transit</t>
  </si>
  <si>
    <t>McAllen</t>
  </si>
  <si>
    <t>City of Turlock</t>
  </si>
  <si>
    <t>Turlock</t>
  </si>
  <si>
    <t>Henderson</t>
  </si>
  <si>
    <t>Sanford</t>
  </si>
  <si>
    <t>Elizabethtown</t>
  </si>
  <si>
    <t>Bismarck</t>
  </si>
  <si>
    <t>Hyannis</t>
  </si>
  <si>
    <t>Omaha</t>
  </si>
  <si>
    <t>Bridgeport</t>
  </si>
  <si>
    <t>York</t>
  </si>
  <si>
    <t>Concord</t>
  </si>
  <si>
    <t>Berlin</t>
  </si>
  <si>
    <t>Barceloneta</t>
  </si>
  <si>
    <t>Municipality of Hatillo</t>
  </si>
  <si>
    <t>Hatillo</t>
  </si>
  <si>
    <t>Salem</t>
  </si>
  <si>
    <t>Las Vegas</t>
  </si>
  <si>
    <t>Reno</t>
  </si>
  <si>
    <t>Batavia</t>
  </si>
  <si>
    <t>Rome</t>
  </si>
  <si>
    <t>Private Provider Reporting on Behalf of a Public Entity</t>
  </si>
  <si>
    <t>Atlanta</t>
  </si>
  <si>
    <t>Anchorage</t>
  </si>
  <si>
    <t>Subsidiary Unit of a Transit Agency, Reporting Separately</t>
  </si>
  <si>
    <t>Athens</t>
  </si>
  <si>
    <t>Bowling Green</t>
  </si>
  <si>
    <t>Wilmington</t>
  </si>
  <si>
    <t>Norwalk</t>
  </si>
  <si>
    <t>Portsmouth</t>
  </si>
  <si>
    <t>Lancaster</t>
  </si>
  <si>
    <t>Logan</t>
  </si>
  <si>
    <t>Frederick</t>
  </si>
  <si>
    <t>City of Farmington dba: Red Apple Transit</t>
  </si>
  <si>
    <t>Farmington</t>
  </si>
  <si>
    <t>Las Vegas Monorail Company</t>
  </si>
  <si>
    <t>Florence</t>
  </si>
  <si>
    <t>Pendleton</t>
  </si>
  <si>
    <t>Marietta</t>
  </si>
  <si>
    <t>City of Elk Grove</t>
  </si>
  <si>
    <t>Elk Grove</t>
  </si>
  <si>
    <t>San Luis Obispo Regional Transit Authority</t>
  </si>
  <si>
    <t>San Luis Obispo</t>
  </si>
  <si>
    <t>Watertown</t>
  </si>
  <si>
    <t>Village of Kiryas Joel</t>
  </si>
  <si>
    <t>Johnson City</t>
  </si>
  <si>
    <t>Other Publicly-Owned or Privately Chartered Corporation</t>
  </si>
  <si>
    <t>ColumBUS Transit</t>
  </si>
  <si>
    <t>MTA Bus Company</t>
  </si>
  <si>
    <t>New York</t>
  </si>
  <si>
    <t>City of Winchester</t>
  </si>
  <si>
    <t>Winchester</t>
  </si>
  <si>
    <t>Olympia</t>
  </si>
  <si>
    <t>Yakima</t>
  </si>
  <si>
    <t>Island Transit</t>
  </si>
  <si>
    <t>Port Angeles</t>
  </si>
  <si>
    <t>Shelton</t>
  </si>
  <si>
    <t>Longview</t>
  </si>
  <si>
    <t>Dayton</t>
  </si>
  <si>
    <t>Valparaiso</t>
  </si>
  <si>
    <t>Butte County Association of Governments</t>
  </si>
  <si>
    <t>Chico</t>
  </si>
  <si>
    <t>Kenosha</t>
  </si>
  <si>
    <t>Petersburg</t>
  </si>
  <si>
    <t>WY</t>
  </si>
  <si>
    <t>Buffalo</t>
  </si>
  <si>
    <t>Intracity Transit</t>
  </si>
  <si>
    <t>St. Augustine</t>
  </si>
  <si>
    <t>Valley Metro Rail, Inc.</t>
  </si>
  <si>
    <t>Phoenix</t>
  </si>
  <si>
    <t>Denton County Transportation Authority</t>
  </si>
  <si>
    <t>Lewisville</t>
  </si>
  <si>
    <t>Roanoke</t>
  </si>
  <si>
    <t>Lake County Board of County Commissioners</t>
  </si>
  <si>
    <t>Tavares</t>
  </si>
  <si>
    <t>Concho Valley Transit District</t>
  </si>
  <si>
    <t>San Angelo</t>
  </si>
  <si>
    <t>Fort Bend County Public Transportation</t>
  </si>
  <si>
    <t>Sugar Land</t>
  </si>
  <si>
    <t>Michigan City Transit</t>
  </si>
  <si>
    <t>Michigan City</t>
  </si>
  <si>
    <t>Jonesboro Economical Transportation System</t>
  </si>
  <si>
    <t>Municipality of Cayey</t>
  </si>
  <si>
    <t>Cayey</t>
  </si>
  <si>
    <t>Regional Transportation Authority</t>
  </si>
  <si>
    <t>Nashville</t>
  </si>
  <si>
    <t>Arlington Heights</t>
  </si>
  <si>
    <t>Anaheim Transportation Network</t>
  </si>
  <si>
    <t>Anaheim</t>
  </si>
  <si>
    <t>Municipality of Camuy</t>
  </si>
  <si>
    <t>Camuy</t>
  </si>
  <si>
    <t>City of Petaluma</t>
  </si>
  <si>
    <t>Petaluma</t>
  </si>
  <si>
    <t>City of Redondo Beach - Beach Cities Transit</t>
  </si>
  <si>
    <t>Redondo Beach</t>
  </si>
  <si>
    <t>Tribe</t>
  </si>
  <si>
    <t>Eastern Band of Cherokee Indians</t>
  </si>
  <si>
    <t>Cherokee</t>
  </si>
  <si>
    <t>4T02</t>
  </si>
  <si>
    <t>Gulkana Village Council</t>
  </si>
  <si>
    <t>Gakona</t>
  </si>
  <si>
    <t>0T08</t>
  </si>
  <si>
    <t>Kalispel Tribe of Indians</t>
  </si>
  <si>
    <t>Usk</t>
  </si>
  <si>
    <t>0T09</t>
  </si>
  <si>
    <t>Lummi Nation</t>
  </si>
  <si>
    <t>Bellingham</t>
  </si>
  <si>
    <t>0T11</t>
  </si>
  <si>
    <t>Menominee Indian Tribe of Wisconsin</t>
  </si>
  <si>
    <t>Keshena</t>
  </si>
  <si>
    <t>5T03</t>
  </si>
  <si>
    <t>Northern Cheyenne Tribe</t>
  </si>
  <si>
    <t>Lame Deer</t>
  </si>
  <si>
    <t>8T07</t>
  </si>
  <si>
    <t>Oglala Sioux Tribe</t>
  </si>
  <si>
    <t>Pine Ridge</t>
  </si>
  <si>
    <t>8T08</t>
  </si>
  <si>
    <t>Pueblo of Santa Ana</t>
  </si>
  <si>
    <t>Santa Ana Pueblo</t>
  </si>
  <si>
    <t>6T11</t>
  </si>
  <si>
    <t>Sitka Tribe of Alaska</t>
  </si>
  <si>
    <t>Sitka</t>
  </si>
  <si>
    <t>0T14</t>
  </si>
  <si>
    <t>Squaxin Island Tribe</t>
  </si>
  <si>
    <t>0T16</t>
  </si>
  <si>
    <t>Susanville Indian Rancheria</t>
  </si>
  <si>
    <t>Susanville</t>
  </si>
  <si>
    <t>9T08</t>
  </si>
  <si>
    <t>Confederated Salish and Kootenai Tribes</t>
  </si>
  <si>
    <t>Pablo</t>
  </si>
  <si>
    <t>8T04</t>
  </si>
  <si>
    <t>Confederated Tribes of the Colville Indian Reservation</t>
  </si>
  <si>
    <t>Nespelem</t>
  </si>
  <si>
    <t>0T04</t>
  </si>
  <si>
    <t>Confederated Tribes and Bands of The Yakama Nation</t>
  </si>
  <si>
    <t>Toppenish</t>
  </si>
  <si>
    <t>0T03</t>
  </si>
  <si>
    <t>Navajo Nation</t>
  </si>
  <si>
    <t>Window Rock</t>
  </si>
  <si>
    <t>9T05</t>
  </si>
  <si>
    <t>Cache Valley Transit District</t>
  </si>
  <si>
    <t>Carson Area Metropolitan Planning Organization</t>
  </si>
  <si>
    <t>Carson City</t>
  </si>
  <si>
    <t>Cherokee County Board of Commissioners</t>
  </si>
  <si>
    <t>Asotin County PTBA</t>
  </si>
  <si>
    <t>Clarkston</t>
  </si>
  <si>
    <t>Franklin Transit Authority</t>
  </si>
  <si>
    <t>Weehawken</t>
  </si>
  <si>
    <t>Municipality of Juncos</t>
  </si>
  <si>
    <t>Juncos</t>
  </si>
  <si>
    <t>City of Jacksonville</t>
  </si>
  <si>
    <t>Concord Kannapolis Area Transit</t>
  </si>
  <si>
    <t>MetroWest Regional Transit Authority</t>
  </si>
  <si>
    <t>Framingham</t>
  </si>
  <si>
    <t>Winnebago Tribe of Nebraska</t>
  </si>
  <si>
    <t>Winnebago</t>
  </si>
  <si>
    <t>7T04</t>
  </si>
  <si>
    <t>Southeast Tennessee Human Resource Agency -Cleveland Urban Area Transit System Division</t>
  </si>
  <si>
    <t>Knoxville</t>
  </si>
  <si>
    <t>Macatawa Area Express Transportation Authority</t>
  </si>
  <si>
    <t>Holland</t>
  </si>
  <si>
    <t>Harris County Community Services Department, Office of Transit Services</t>
  </si>
  <si>
    <t>Manteca</t>
  </si>
  <si>
    <t>Conover</t>
  </si>
  <si>
    <t>Charlottesville</t>
  </si>
  <si>
    <t>Iowa City</t>
  </si>
  <si>
    <t>Fredericksburg</t>
  </si>
  <si>
    <t>Northern Arizona Intergovernmental Public Transportation Authority</t>
  </si>
  <si>
    <t>Flagstaff</t>
  </si>
  <si>
    <t>Piedmont Authority for Regional Transportation</t>
  </si>
  <si>
    <t>Lewiston-Auburn Transit Committee</t>
  </si>
  <si>
    <t>Municipality of Yauco</t>
  </si>
  <si>
    <t>Yauco</t>
  </si>
  <si>
    <t>Confederated Tribes of the Umatilla Indian Reservation</t>
  </si>
  <si>
    <t>0T06</t>
  </si>
  <si>
    <t>Klamath Tribes</t>
  </si>
  <si>
    <t>Chiloquin</t>
  </si>
  <si>
    <t>0T10</t>
  </si>
  <si>
    <t>Nez Perce Tribe</t>
  </si>
  <si>
    <t>Lapwai</t>
  </si>
  <si>
    <t>0T12</t>
  </si>
  <si>
    <t>San Carlos Apache Tribe</t>
  </si>
  <si>
    <t>Peridot</t>
  </si>
  <si>
    <t>9T07</t>
  </si>
  <si>
    <t>Arlington</t>
  </si>
  <si>
    <t>Turtle Mountain Band of Chippewa Indian</t>
  </si>
  <si>
    <t>Belcourt</t>
  </si>
  <si>
    <t>8T13</t>
  </si>
  <si>
    <t>Municipality of San Sebastian</t>
  </si>
  <si>
    <t>San Sebastian</t>
  </si>
  <si>
    <t>Bay County Transportation Planning Organization</t>
  </si>
  <si>
    <t>Panama City</t>
  </si>
  <si>
    <t>University Of New Hampshire - University Transportation Services</t>
  </si>
  <si>
    <t>Durham</t>
  </si>
  <si>
    <t>Fort Collins</t>
  </si>
  <si>
    <t>Plantation</t>
  </si>
  <si>
    <t>University of Georgia Transit System</t>
  </si>
  <si>
    <t>The University of Montana - ASUM Transportation</t>
  </si>
  <si>
    <t>City of Folsom</t>
  </si>
  <si>
    <t>Folsom</t>
  </si>
  <si>
    <t>Toa Baja</t>
  </si>
  <si>
    <t>City of Independence</t>
  </si>
  <si>
    <t>The City of Bowling Green/Community Action of Southern Kentucky</t>
  </si>
  <si>
    <t>Coeur d'Alene Tribe dba Citylink Transit</t>
  </si>
  <si>
    <t>Worley</t>
  </si>
  <si>
    <t>City of Murfreesboro</t>
  </si>
  <si>
    <t>Murfreesboro</t>
  </si>
  <si>
    <t>Seattle</t>
  </si>
  <si>
    <t>Blue Lake Rancheria</t>
  </si>
  <si>
    <t>Blue Lake</t>
  </si>
  <si>
    <t>9T02</t>
  </si>
  <si>
    <t>Central Midlands Transit</t>
  </si>
  <si>
    <t>Chippewa Cree Tribe</t>
  </si>
  <si>
    <t>Box Elder</t>
  </si>
  <si>
    <t>8T03</t>
  </si>
  <si>
    <t>Fort Belknap Indian Community</t>
  </si>
  <si>
    <t>Harlem</t>
  </si>
  <si>
    <t>8T05</t>
  </si>
  <si>
    <t>Tetlin Village Council</t>
  </si>
  <si>
    <t>Tok</t>
  </si>
  <si>
    <t>0T18</t>
  </si>
  <si>
    <t>Rio Metro Regional Transit District</t>
  </si>
  <si>
    <t>Albuquerque</t>
  </si>
  <si>
    <t>Unified Government Transit Department</t>
  </si>
  <si>
    <t>Kansas City</t>
  </si>
  <si>
    <t>Virgin Islands Department of Public Works</t>
  </si>
  <si>
    <t>St. Thomas</t>
  </si>
  <si>
    <t>VI</t>
  </si>
  <si>
    <t>CityLink Transit</t>
  </si>
  <si>
    <t>City of Cleburne</t>
  </si>
  <si>
    <t>Cleburne</t>
  </si>
  <si>
    <t>STAR Transit</t>
  </si>
  <si>
    <t>Terrell</t>
  </si>
  <si>
    <t>Hoboken</t>
  </si>
  <si>
    <t>Public Transit Services</t>
  </si>
  <si>
    <t>Mineral Wells</t>
  </si>
  <si>
    <t>City of Kingston Citibus</t>
  </si>
  <si>
    <t>Kingston</t>
  </si>
  <si>
    <t>City of Lawrence</t>
  </si>
  <si>
    <t>Greater Derry Salem Cooperative Alliance for Regional Transportation</t>
  </si>
  <si>
    <t>City of Edmond</t>
  </si>
  <si>
    <t>Edmond</t>
  </si>
  <si>
    <t>Albany Transit System</t>
  </si>
  <si>
    <t>Albany</t>
  </si>
  <si>
    <t>Stuart</t>
  </si>
  <si>
    <t>Allegany County Transit</t>
  </si>
  <si>
    <t>Cumberland</t>
  </si>
  <si>
    <t>Transit Authority of Central Kentucky</t>
  </si>
  <si>
    <t>Lima Allen County Regional Transit Authority</t>
  </si>
  <si>
    <t>Lima</t>
  </si>
  <si>
    <t>Altamont Corridor Express</t>
  </si>
  <si>
    <t>Stockton</t>
  </si>
  <si>
    <t>Liberty Transit</t>
  </si>
  <si>
    <t>Hinesville</t>
  </si>
  <si>
    <t>Altoona</t>
  </si>
  <si>
    <t>Bergen County Community Transportation</t>
  </si>
  <si>
    <t>Lodi</t>
  </si>
  <si>
    <t>Amarillo City Transit</t>
  </si>
  <si>
    <t>Amarillo</t>
  </si>
  <si>
    <t>Bridgeton</t>
  </si>
  <si>
    <t>East Windsor Township</t>
  </si>
  <si>
    <t>East Windsor</t>
  </si>
  <si>
    <t>Middlesex County Area Transit</t>
  </si>
  <si>
    <t>New Brunswick</t>
  </si>
  <si>
    <t>Wood Ridge</t>
  </si>
  <si>
    <t>Anderson Transit Authority</t>
  </si>
  <si>
    <t>South Jersey Transportation Authority</t>
  </si>
  <si>
    <t>Ann Arbor Area Transportation Authority</t>
  </si>
  <si>
    <t>Ann Arbor</t>
  </si>
  <si>
    <t>County of Cumberland</t>
  </si>
  <si>
    <t>Annapolis Department of Transportation</t>
  </si>
  <si>
    <t>Annapolis</t>
  </si>
  <si>
    <t>Antelope Valley Transit Authority</t>
  </si>
  <si>
    <t>Cape May County Fare Free Transportation</t>
  </si>
  <si>
    <t>Cape May Court House</t>
  </si>
  <si>
    <t>ART (Asheville Redefines Transit)</t>
  </si>
  <si>
    <t>Asheville</t>
  </si>
  <si>
    <t>Tampa</t>
  </si>
  <si>
    <t>Ashland Bus System</t>
  </si>
  <si>
    <t>Athens Transit System</t>
  </si>
  <si>
    <t>Municipality of Mayaguez</t>
  </si>
  <si>
    <t>Mayaguez</t>
  </si>
  <si>
    <t>Augusta Richmond County Transit Department</t>
  </si>
  <si>
    <t>Augusta</t>
  </si>
  <si>
    <t>Battle Creek Transit</t>
  </si>
  <si>
    <t>Battle Creek</t>
  </si>
  <si>
    <t>Bay Metropolitan Transit Authority</t>
  </si>
  <si>
    <t>Beaumont Municipal Transit System</t>
  </si>
  <si>
    <t>Beaumont</t>
  </si>
  <si>
    <t>Beaver County Transit Authority</t>
  </si>
  <si>
    <t>Belle Urban System - Racine</t>
  </si>
  <si>
    <t>Racine</t>
  </si>
  <si>
    <t>Manley Village Council</t>
  </si>
  <si>
    <t>Manley Hot Springs</t>
  </si>
  <si>
    <t>0T20</t>
  </si>
  <si>
    <t>Quinault Tribe of the Quinault Reservation</t>
  </si>
  <si>
    <t>Taholah</t>
  </si>
  <si>
    <t>0T21</t>
  </si>
  <si>
    <t>Fond du Lac Reservation</t>
  </si>
  <si>
    <t>Cloquet</t>
  </si>
  <si>
    <t>5T05</t>
  </si>
  <si>
    <t>Concho</t>
  </si>
  <si>
    <t>6T14</t>
  </si>
  <si>
    <t>Pueblo of Laguna</t>
  </si>
  <si>
    <t>Laguna</t>
  </si>
  <si>
    <t>6T15</t>
  </si>
  <si>
    <t>Ben Franklin Transit</t>
  </si>
  <si>
    <t>Richland</t>
  </si>
  <si>
    <t>Berkshire Regional Transit Authority</t>
  </si>
  <si>
    <t>Pittsfield</t>
  </si>
  <si>
    <t>Bettendorf Transit System</t>
  </si>
  <si>
    <t>Bettendorf</t>
  </si>
  <si>
    <t>Municipality of Lares</t>
  </si>
  <si>
    <t>Lares</t>
  </si>
  <si>
    <t>Dorado</t>
  </si>
  <si>
    <t>Bi-State Development Agency of the Missouri-Illinois Metropolitan District, d.b.a.(St. Louis) Metro</t>
  </si>
  <si>
    <t>St. Louis</t>
  </si>
  <si>
    <t>Autonomous Municipality of Vega Alta</t>
  </si>
  <si>
    <t>Vega Alta</t>
  </si>
  <si>
    <t>Billings Metropolitan Transit</t>
  </si>
  <si>
    <t>Billings</t>
  </si>
  <si>
    <t>Birmingham-Jefferson County Transit Authority</t>
  </si>
  <si>
    <t>Bis-Man Transit Board</t>
  </si>
  <si>
    <t>San Francisco Bay Area Water Emergency Transportation Authority</t>
  </si>
  <si>
    <t>San Francisco</t>
  </si>
  <si>
    <t>Bloomington Public Transportation Corporation</t>
  </si>
  <si>
    <t>Yuma County Intergovernmental Public Transportation Authority</t>
  </si>
  <si>
    <t>Yuma</t>
  </si>
  <si>
    <t>Bloomington-Normal Public Transit System</t>
  </si>
  <si>
    <t>Normal</t>
  </si>
  <si>
    <t>Blue Water Area Transportation Commission</t>
  </si>
  <si>
    <t>Port Huron</t>
  </si>
  <si>
    <t>Worcester</t>
  </si>
  <si>
    <t>Valley Regional Transit</t>
  </si>
  <si>
    <t>Meridian</t>
  </si>
  <si>
    <t>Imperial County Transportation Commission</t>
  </si>
  <si>
    <t>El Centro</t>
  </si>
  <si>
    <t>Borough of Pottstown - Pottstown Area Rapid Transit</t>
  </si>
  <si>
    <t>Pottstown</t>
  </si>
  <si>
    <t>Brazos Transit District</t>
  </si>
  <si>
    <t>Bryan</t>
  </si>
  <si>
    <t>Bristol Tennessee Transit System</t>
  </si>
  <si>
    <t>Connecticut Department of Transportation- CTTransit Waterbury- NET</t>
  </si>
  <si>
    <t>Waterbury</t>
  </si>
  <si>
    <t>Bristol Virginia Transit</t>
  </si>
  <si>
    <t>Brockton Area Transit Authority</t>
  </si>
  <si>
    <t>Brockton</t>
  </si>
  <si>
    <t>Broome County Department of Public Transportation</t>
  </si>
  <si>
    <t>Vestal</t>
  </si>
  <si>
    <t>Broward County Transit Division</t>
  </si>
  <si>
    <t>Guaynabo</t>
  </si>
  <si>
    <t>River Bend Transit</t>
  </si>
  <si>
    <t>Davenport</t>
  </si>
  <si>
    <t>Council on Aging of St. Lucie, Inc.</t>
  </si>
  <si>
    <t>Fort Pierce</t>
  </si>
  <si>
    <t>Camarillo Area Transit</t>
  </si>
  <si>
    <t>Camarillo</t>
  </si>
  <si>
    <t>Cambria County Transit Authority</t>
  </si>
  <si>
    <t>Johnstown</t>
  </si>
  <si>
    <t>El Paso</t>
  </si>
  <si>
    <t>El Dorado County Transit Authority</t>
  </si>
  <si>
    <t>Diamond Springs</t>
  </si>
  <si>
    <t>Cape Ann Transportation Authority</t>
  </si>
  <si>
    <t>Gloucester</t>
  </si>
  <si>
    <t>Cape Cod Regional Transit Authority</t>
  </si>
  <si>
    <t>Capital Area Transit</t>
  </si>
  <si>
    <t>Nassau Inter County Express</t>
  </si>
  <si>
    <t>Capital Area Transportation Authority</t>
  </si>
  <si>
    <t>Lansing</t>
  </si>
  <si>
    <t>Capital District Transportation Authority</t>
  </si>
  <si>
    <t>Capital Metropolitan Transportation Authority</t>
  </si>
  <si>
    <t>Capital Area Transit System</t>
  </si>
  <si>
    <t>Baton Rouge</t>
  </si>
  <si>
    <t>Casco Bay Island Transit District</t>
  </si>
  <si>
    <t>Central Arkansas Transit Authority</t>
  </si>
  <si>
    <t>North Little Rock</t>
  </si>
  <si>
    <t>Central Contra Costa Transit Authority</t>
  </si>
  <si>
    <t>Central Florida Regional Transportation Authority</t>
  </si>
  <si>
    <t>Orlando</t>
  </si>
  <si>
    <t>Central Ohio Transit Authority</t>
  </si>
  <si>
    <t>Bois Forte Reservation Tribal Council</t>
  </si>
  <si>
    <t>Nett Lake</t>
  </si>
  <si>
    <t>5T06</t>
  </si>
  <si>
    <t>Central Oklahoma Transportation and Parking Authority</t>
  </si>
  <si>
    <t>Oklahoma City</t>
  </si>
  <si>
    <t>Santa Fe</t>
  </si>
  <si>
    <t>Crow Tribe of Indians</t>
  </si>
  <si>
    <t>Crow Agency</t>
  </si>
  <si>
    <t>8T14</t>
  </si>
  <si>
    <t>Yankton Sioux Tribe</t>
  </si>
  <si>
    <t>Wagner</t>
  </si>
  <si>
    <t>8T16</t>
  </si>
  <si>
    <t>Reno-Sparks Indian Colony</t>
  </si>
  <si>
    <t>9T11</t>
  </si>
  <si>
    <t>Seldovia Village Tribe</t>
  </si>
  <si>
    <t>Seldovia</t>
  </si>
  <si>
    <t>0T23</t>
  </si>
  <si>
    <t>Spokane Tribe of Indians</t>
  </si>
  <si>
    <t>Wellpinit</t>
  </si>
  <si>
    <t>0T24</t>
  </si>
  <si>
    <t>Central Puget Sound Regional Transit Authority</t>
  </si>
  <si>
    <t>Centre Area Transportation Authority</t>
  </si>
  <si>
    <t>State College</t>
  </si>
  <si>
    <t>Champaign-Urbana Mass Transit District</t>
  </si>
  <si>
    <t>Chapel Hill Transit</t>
  </si>
  <si>
    <t>Chapel Hill</t>
  </si>
  <si>
    <t>Charleston Area Regional Transportation Authority</t>
  </si>
  <si>
    <t>Central Oregon Intergovernmental Council</t>
  </si>
  <si>
    <t>Bend</t>
  </si>
  <si>
    <t>Charlotte Area Transit System</t>
  </si>
  <si>
    <t>Charlottesville Area Transit</t>
  </si>
  <si>
    <t>Chatham Area Transit Authority</t>
  </si>
  <si>
    <t>Savannah</t>
  </si>
  <si>
    <t>Chattanooga Area Regional Transportation Authority</t>
  </si>
  <si>
    <t>Chattanooga</t>
  </si>
  <si>
    <t>C-TRAN</t>
  </si>
  <si>
    <t>Elmira</t>
  </si>
  <si>
    <t>Chicago Transit Authority</t>
  </si>
  <si>
    <t>Chicago</t>
  </si>
  <si>
    <t>County of Burlington</t>
  </si>
  <si>
    <t>Mt. Holly</t>
  </si>
  <si>
    <t>Medina County Public Transit</t>
  </si>
  <si>
    <t>Medina</t>
  </si>
  <si>
    <t>Plaquemines Parish Government</t>
  </si>
  <si>
    <t>Belle Chasse</t>
  </si>
  <si>
    <t>Chittenden County Transportation Authority</t>
  </si>
  <si>
    <t>City Transit Management Company, Inc.</t>
  </si>
  <si>
    <t>Lubbock</t>
  </si>
  <si>
    <t>Solano County Transit</t>
  </si>
  <si>
    <t>Vallejo</t>
  </si>
  <si>
    <t>Springfield</t>
  </si>
  <si>
    <t>City and County of Honolulu Department of Transportation Services</t>
  </si>
  <si>
    <t>Honolulu</t>
  </si>
  <si>
    <t>Delaware County Transit Board</t>
  </si>
  <si>
    <t>Delaware</t>
  </si>
  <si>
    <t>City of Alexandria</t>
  </si>
  <si>
    <t>Alexandria</t>
  </si>
  <si>
    <t>County of Hunterdon</t>
  </si>
  <si>
    <t>Flemington</t>
  </si>
  <si>
    <t>City of Anderson Transportation System</t>
  </si>
  <si>
    <t>Appleton</t>
  </si>
  <si>
    <t>City of Bangor - BAT Community Connector</t>
  </si>
  <si>
    <t>Fort Hall</t>
  </si>
  <si>
    <t>0T31</t>
  </si>
  <si>
    <t>Bay Mills Indian Community</t>
  </si>
  <si>
    <t>Brimley</t>
  </si>
  <si>
    <t>5T07</t>
  </si>
  <si>
    <t>City of Beloit Transit System</t>
  </si>
  <si>
    <t>Chemehuevi Indian Tribe</t>
  </si>
  <si>
    <t xml:space="preserve">Havasu Lake </t>
  </si>
  <si>
    <t>9T27</t>
  </si>
  <si>
    <t>White Earth Band of Chippewa</t>
  </si>
  <si>
    <t>White Earth</t>
  </si>
  <si>
    <t>5T10</t>
  </si>
  <si>
    <t>City of Brownsville - Brownsville Metro</t>
  </si>
  <si>
    <t>Brownsville</t>
  </si>
  <si>
    <t xml:space="preserve">Poplar </t>
  </si>
  <si>
    <t>8T18</t>
  </si>
  <si>
    <t>Yavapai-Apache Nation</t>
  </si>
  <si>
    <t>Camp Verde</t>
  </si>
  <si>
    <t>9T14</t>
  </si>
  <si>
    <t>City of Casper</t>
  </si>
  <si>
    <t>Casper</t>
  </si>
  <si>
    <t>Scottsdale</t>
  </si>
  <si>
    <t>Hopi Tribe</t>
  </si>
  <si>
    <t>Kykotsmovi</t>
  </si>
  <si>
    <t>9T24</t>
  </si>
  <si>
    <t>City of Commerce Municipal Buslines</t>
  </si>
  <si>
    <t>Commerce</t>
  </si>
  <si>
    <t>Cecil County Government - SSCT</t>
  </si>
  <si>
    <t>Elkton</t>
  </si>
  <si>
    <t>City of Corona</t>
  </si>
  <si>
    <t>Corona</t>
  </si>
  <si>
    <t>City of Portland</t>
  </si>
  <si>
    <t>City of Detroit Department of Transportation</t>
  </si>
  <si>
    <t>Detroit</t>
  </si>
  <si>
    <t>City of Dubuque</t>
  </si>
  <si>
    <t>Makah Tribal Council</t>
  </si>
  <si>
    <t xml:space="preserve">Neah Bay </t>
  </si>
  <si>
    <t>0T36</t>
  </si>
  <si>
    <t>Ute Tribe</t>
  </si>
  <si>
    <t>Fort Duchesne</t>
  </si>
  <si>
    <t>8T19</t>
  </si>
  <si>
    <t>Bad River Band of Lake Superior Tribe of Chippewa</t>
  </si>
  <si>
    <t>Odanah</t>
  </si>
  <si>
    <t>5T12</t>
  </si>
  <si>
    <t>City of Fairfax CUE Bus</t>
  </si>
  <si>
    <t>Fairfax</t>
  </si>
  <si>
    <t>San Rafael</t>
  </si>
  <si>
    <t>City of Fairfield - Fairfield and Suisun Transit</t>
  </si>
  <si>
    <t>Fairfield</t>
  </si>
  <si>
    <t>City of Gardena Transportation Department</t>
  </si>
  <si>
    <t>Gardena</t>
  </si>
  <si>
    <t>City of Glendale Transit</t>
  </si>
  <si>
    <t>Glendale</t>
  </si>
  <si>
    <t>Josephine County</t>
  </si>
  <si>
    <t>Grants Pass</t>
  </si>
  <si>
    <t>Jackson County Mass Transit District</t>
  </si>
  <si>
    <t>Carbondale</t>
  </si>
  <si>
    <t>Greater Mankato Transit System</t>
  </si>
  <si>
    <t xml:space="preserve">Mankato </t>
  </si>
  <si>
    <t>Cape Girardeau</t>
  </si>
  <si>
    <t>City of Greeley - Transit Services</t>
  </si>
  <si>
    <t>Greeley</t>
  </si>
  <si>
    <t>Cape Girardeau County Transit Authority</t>
  </si>
  <si>
    <t>Manhattan</t>
  </si>
  <si>
    <t>The Tulalip Tribes of Washington</t>
  </si>
  <si>
    <t>Tulalip</t>
  </si>
  <si>
    <t>City of Albany</t>
  </si>
  <si>
    <t>MiltonFreewater</t>
  </si>
  <si>
    <t>St. Mary's Transit System -Dept. of Public Works and Transit</t>
  </si>
  <si>
    <t>San Marcos Urban Transit District</t>
  </si>
  <si>
    <t>Stanislaus County Public Works - Transit</t>
  </si>
  <si>
    <t>Modesto</t>
  </si>
  <si>
    <t>City of Delano</t>
  </si>
  <si>
    <t>Delano</t>
  </si>
  <si>
    <t>Sierra Vista</t>
  </si>
  <si>
    <t>Valley Transit</t>
  </si>
  <si>
    <t>Walla Walla</t>
  </si>
  <si>
    <t>City of Mechanicville</t>
  </si>
  <si>
    <t>Mechanicville</t>
  </si>
  <si>
    <t>Town of Warwick Dial A Bus</t>
  </si>
  <si>
    <t>Warwick</t>
  </si>
  <si>
    <t>Watertown CitiBus</t>
  </si>
  <si>
    <t>Iredell County Area Transportation Services</t>
  </si>
  <si>
    <t>Statesville</t>
  </si>
  <si>
    <t>Berkeley Charleston Dorchester RTMA</t>
  </si>
  <si>
    <t>Moncks Corner</t>
  </si>
  <si>
    <t>City of Clemson/ Clemson Area Transit</t>
  </si>
  <si>
    <t>Clemson</t>
  </si>
  <si>
    <t>City of Jackson Transportation Authority</t>
  </si>
  <si>
    <t>Indianapolis</t>
  </si>
  <si>
    <t>City of Joplin Metro Area Public</t>
  </si>
  <si>
    <t>Joplin</t>
  </si>
  <si>
    <t>County of Maui - Dept. of Transportation</t>
  </si>
  <si>
    <t>Wailuku</t>
  </si>
  <si>
    <t>Hartford</t>
  </si>
  <si>
    <t>Kingsport Area Transit System</t>
  </si>
  <si>
    <t>Kingsport</t>
  </si>
  <si>
    <t>City of Kokomo</t>
  </si>
  <si>
    <t>Kokomo</t>
  </si>
  <si>
    <t>Rides Mass Transit District</t>
  </si>
  <si>
    <t>Harrisburg</t>
  </si>
  <si>
    <t>Lafayette Transit System</t>
  </si>
  <si>
    <t>City of Lodi - Transit Division</t>
  </si>
  <si>
    <t>Seneca Nation of Indians</t>
  </si>
  <si>
    <t>2T02</t>
  </si>
  <si>
    <t>City of Lompoc - Lompoc Transit</t>
  </si>
  <si>
    <t>Lompoc</t>
  </si>
  <si>
    <t>State of Connecticut - CTTransit - Nason - Torrington-Winsted</t>
  </si>
  <si>
    <t>City of Long Beach</t>
  </si>
  <si>
    <t>Long Beach</t>
  </si>
  <si>
    <t>Longview Transit</t>
  </si>
  <si>
    <t>Boston Express Bus, Inc.</t>
  </si>
  <si>
    <t>City of Los Angeles Department of Transportation</t>
  </si>
  <si>
    <t>Los Angeles</t>
  </si>
  <si>
    <t>Rowan Transit System</t>
  </si>
  <si>
    <t>City of Middletown - Middletown Transit System</t>
  </si>
  <si>
    <t>Middletown</t>
  </si>
  <si>
    <t>City of Monroe Transit System</t>
  </si>
  <si>
    <t>City of Moorhead, DBA: Metropolitan Area Transit</t>
  </si>
  <si>
    <t>Moorhead</t>
  </si>
  <si>
    <t>Oldham's Public Bus</t>
  </si>
  <si>
    <t>Napa</t>
  </si>
  <si>
    <t>Gastonia</t>
  </si>
  <si>
    <t>Fayetteville</t>
  </si>
  <si>
    <t>Buncombe County</t>
  </si>
  <si>
    <t xml:space="preserve">Asheville </t>
  </si>
  <si>
    <t>City of Phoenix Public Transit Department dba Valley Metro</t>
  </si>
  <si>
    <t>Henderson County/ Apple Country Public Transit</t>
  </si>
  <si>
    <t>Hendersonville</t>
  </si>
  <si>
    <t>Pocatello</t>
  </si>
  <si>
    <t>City of Poughkeepsie</t>
  </si>
  <si>
    <t>Poughkeepsie</t>
  </si>
  <si>
    <t>Riverside</t>
  </si>
  <si>
    <t>Wichita</t>
  </si>
  <si>
    <t>City of Rochester Public Transportation</t>
  </si>
  <si>
    <t>City of Rome Transit Department</t>
  </si>
  <si>
    <t>City of San Juan</t>
  </si>
  <si>
    <t>San Juan</t>
  </si>
  <si>
    <t>City of San Luis Obispo</t>
  </si>
  <si>
    <t>Aiken</t>
  </si>
  <si>
    <t>City of Santa Rosa</t>
  </si>
  <si>
    <t>Santa Rosa</t>
  </si>
  <si>
    <t>City of Scottsdale - Scottsdale Trolley</t>
  </si>
  <si>
    <t>McKinney Avenue Transit Authority</t>
  </si>
  <si>
    <t>City of Seattle - Seattle Center Monorail Transit</t>
  </si>
  <si>
    <t>Benton County</t>
  </si>
  <si>
    <t>City of Tallahassee</t>
  </si>
  <si>
    <t>Torrance Transit System</t>
  </si>
  <si>
    <t>Torrance</t>
  </si>
  <si>
    <t xml:space="preserve">Tucson   </t>
  </si>
  <si>
    <t>City of Tyler</t>
  </si>
  <si>
    <t>Tyler</t>
  </si>
  <si>
    <t>City of Union City Transit Division</t>
  </si>
  <si>
    <t>Union City</t>
  </si>
  <si>
    <t>City of Vacaville</t>
  </si>
  <si>
    <t>Vacaville</t>
  </si>
  <si>
    <t>Hillsborough</t>
  </si>
  <si>
    <t>City of Visalia - Visalia City Coach</t>
  </si>
  <si>
    <t>Voluntary Action Center</t>
  </si>
  <si>
    <t>Sycamore</t>
  </si>
  <si>
    <t>Central Florida Commuter Rail</t>
  </si>
  <si>
    <t>Clark County Public Transportation Benefit Area Authority</t>
  </si>
  <si>
    <t>Vancouver</t>
  </si>
  <si>
    <t>Clarkstown Mini-Trans</t>
  </si>
  <si>
    <t>Nanuet</t>
  </si>
  <si>
    <t>City of Salisbury - Salisbury</t>
  </si>
  <si>
    <t>Clarksville Transit System</t>
  </si>
  <si>
    <t>Clarksville</t>
  </si>
  <si>
    <t>Waccamaw Regional Transportation Authority</t>
  </si>
  <si>
    <t>Conway</t>
  </si>
  <si>
    <t>Hampton Jitney, Inc.</t>
  </si>
  <si>
    <t>Southampton</t>
  </si>
  <si>
    <t>City of Tulare</t>
  </si>
  <si>
    <t>Tulare</t>
  </si>
  <si>
    <t>Mountain Metropolitan Transit</t>
  </si>
  <si>
    <t>Colorado Springs</t>
  </si>
  <si>
    <t>City of Columbia</t>
  </si>
  <si>
    <t>Fargo</t>
  </si>
  <si>
    <t>Ozark Regional Transit</t>
  </si>
  <si>
    <t>Springdale</t>
  </si>
  <si>
    <t>Paramus</t>
  </si>
  <si>
    <t>Autonomous Municipality of Ponce</t>
  </si>
  <si>
    <t>Ponce</t>
  </si>
  <si>
    <t>RiverCities Transit</t>
  </si>
  <si>
    <t>Connecticut Department of Transportation</t>
  </si>
  <si>
    <t>Newington</t>
  </si>
  <si>
    <t>Lac du Flambeau Band of Lake Superior Chippewa Indians</t>
  </si>
  <si>
    <t>Lac Du Flambeau</t>
  </si>
  <si>
    <t>5T17</t>
  </si>
  <si>
    <t>Connecticut Department of Transportation - CTTRANSIT - Hartford Division</t>
  </si>
  <si>
    <t>Connecticut Department of Transportation - CTTRANSIT New Haven Division</t>
  </si>
  <si>
    <t>Connecticut Department of Transportation - CTTRANSIT Stamford Division</t>
  </si>
  <si>
    <t>Cooperative Alliance for Seacoast Transportation</t>
  </si>
  <si>
    <t>Coralville Transit System</t>
  </si>
  <si>
    <t>Coralville</t>
  </si>
  <si>
    <t>Corpus Christi Regional Transportation Authority</t>
  </si>
  <si>
    <t>Corpus Christi</t>
  </si>
  <si>
    <t>County of Lackawanna Transit System</t>
  </si>
  <si>
    <t>Scranton</t>
  </si>
  <si>
    <t>County of Volusia, dba: VOTRAN</t>
  </si>
  <si>
    <t>South Daytona</t>
  </si>
  <si>
    <t>Culver City Municipal Bus Lines</t>
  </si>
  <si>
    <t>Culver City</t>
  </si>
  <si>
    <t>Cumberland Dauphin-Harrisburg Transit Authority</t>
  </si>
  <si>
    <t>Gadsden Transportation Services - City of Gadsden</t>
  </si>
  <si>
    <t>Dallas Area Rapid Transit</t>
  </si>
  <si>
    <t>Connecticut Department of Transportation - CTTransit New Britain -Dattco.</t>
  </si>
  <si>
    <t>New Britain</t>
  </si>
  <si>
    <t>Davenport Public Transit</t>
  </si>
  <si>
    <t>Davis</t>
  </si>
  <si>
    <t>DeCamp Bus Lines</t>
  </si>
  <si>
    <t>Montclair</t>
  </si>
  <si>
    <t>Decatur Public Transit System</t>
  </si>
  <si>
    <t>Decatur</t>
  </si>
  <si>
    <t>Delaware Transit Corporation</t>
  </si>
  <si>
    <t>Metra Transit System (Columbus, GA)</t>
  </si>
  <si>
    <t>Des Moines Area Regional Transit Authority</t>
  </si>
  <si>
    <t>Detroit Transportation Corporation</t>
  </si>
  <si>
    <t>Duluth Transit Authority</t>
  </si>
  <si>
    <t>Duluth</t>
  </si>
  <si>
    <t>Durham Area Transit Authority</t>
  </si>
  <si>
    <t>East Alabama Regional Planning and Development Commission</t>
  </si>
  <si>
    <t>Anniston</t>
  </si>
  <si>
    <t>East Chicago Transit</t>
  </si>
  <si>
    <t>East Chicago</t>
  </si>
  <si>
    <t>The Eastern Contra Costa Transit Authority</t>
  </si>
  <si>
    <t>Antioch</t>
  </si>
  <si>
    <t>Eau Claire Transit</t>
  </si>
  <si>
    <t>Eau Claire</t>
  </si>
  <si>
    <t>Erie Metropolitan Transit Authority</t>
  </si>
  <si>
    <t>Erie</t>
  </si>
  <si>
    <t>Escambia County Area Transit</t>
  </si>
  <si>
    <t>Everett Transit</t>
  </si>
  <si>
    <t>Everett</t>
  </si>
  <si>
    <t>Fairfax Connector Bus System</t>
  </si>
  <si>
    <t>Scotrun</t>
  </si>
  <si>
    <t>3R04-012</t>
  </si>
  <si>
    <t>Fayetteville Area System of Transit</t>
  </si>
  <si>
    <t>Cedar Rapids Transit</t>
  </si>
  <si>
    <t>Cedar Rapids</t>
  </si>
  <si>
    <t>West Covina</t>
  </si>
  <si>
    <t>Fort Smith Transit</t>
  </si>
  <si>
    <t>Fort Wayne Public Transportation Corporation</t>
  </si>
  <si>
    <t>Fort Wayne</t>
  </si>
  <si>
    <t>Fort Worth Transportation Authority</t>
  </si>
  <si>
    <t>Fort Worth</t>
  </si>
  <si>
    <t>Fresno Area Express</t>
  </si>
  <si>
    <t>Gainesville Regional Transit System</t>
  </si>
  <si>
    <t>Gary Public Transportation Corporation</t>
  </si>
  <si>
    <t>Gary</t>
  </si>
  <si>
    <t>Golden Empire Transit District</t>
  </si>
  <si>
    <t>Golden Gate Bridge, Highway and Transportation District</t>
  </si>
  <si>
    <t>Cities Area Transit</t>
  </si>
  <si>
    <t>Grand Forks</t>
  </si>
  <si>
    <t>Interurban Transit Partnership</t>
  </si>
  <si>
    <t>Grand Rapids</t>
  </si>
  <si>
    <t>Greater Attleboro-Taunton Regional Transit Authority</t>
  </si>
  <si>
    <t>Taunton</t>
  </si>
  <si>
    <t>Greater Bridgeport Transit Authority</t>
  </si>
  <si>
    <t>Greater Glens Falls Transit System</t>
  </si>
  <si>
    <t>Queensbury</t>
  </si>
  <si>
    <t>Greater Lafayette Public Transportation Corporation</t>
  </si>
  <si>
    <t>Greater Lynchburg Transit Company</t>
  </si>
  <si>
    <t>Lynchburg</t>
  </si>
  <si>
    <t>Greater Peoria Mass Transit District</t>
  </si>
  <si>
    <t>Greater Portland Transit District</t>
  </si>
  <si>
    <t>Greater Richmond Transit Company</t>
  </si>
  <si>
    <t>Greater Roanoke Transit Company</t>
  </si>
  <si>
    <t>Green Bay Metro</t>
  </si>
  <si>
    <t>Green Bay</t>
  </si>
  <si>
    <t>Greensboro Transit Authority</t>
  </si>
  <si>
    <t>Greenville Area Transit</t>
  </si>
  <si>
    <t>Greenville Transit Authority</t>
  </si>
  <si>
    <t>Handitran Special Transit Division - City of Arlington</t>
  </si>
  <si>
    <t>Harford Transit</t>
  </si>
  <si>
    <t>Abingdon</t>
  </si>
  <si>
    <t>Hub City Transit</t>
  </si>
  <si>
    <t>Michiana Area Council of Governments</t>
  </si>
  <si>
    <t>South Bend</t>
  </si>
  <si>
    <t>Henderson Area Rapid Transit</t>
  </si>
  <si>
    <t>High Point</t>
  </si>
  <si>
    <t>Hillsborough Area Regional Transit Authority</t>
  </si>
  <si>
    <t>Danbury</t>
  </si>
  <si>
    <t>Howard Transit</t>
  </si>
  <si>
    <t>Ellicott City</t>
  </si>
  <si>
    <t>Hudson Transit Lines, Inc.</t>
  </si>
  <si>
    <t>Mahwah</t>
  </si>
  <si>
    <t>Huntington Area Rapid Transit</t>
  </si>
  <si>
    <t>Huntington Station</t>
  </si>
  <si>
    <t>Indian River County</t>
  </si>
  <si>
    <t>Vero Beach</t>
  </si>
  <si>
    <t>Indianapolis and Marion County Public Transportation</t>
  </si>
  <si>
    <t>Intercity Transit</t>
  </si>
  <si>
    <t>Iowa City Transit</t>
  </si>
  <si>
    <t>Jackson Transit Authority</t>
  </si>
  <si>
    <t>Jacksonville Transportation Authority</t>
  </si>
  <si>
    <t>Williamsburg Area Transit Authority</t>
  </si>
  <si>
    <t>Williamsburg</t>
  </si>
  <si>
    <t>Janesville Transit System</t>
  </si>
  <si>
    <t>Janesville</t>
  </si>
  <si>
    <t>Jefferson Parish Department of Transit Administration</t>
  </si>
  <si>
    <t>Gretna</t>
  </si>
  <si>
    <t>Johnson City Transit System</t>
  </si>
  <si>
    <t>Johnson County Kansas, aka: Johnson County Transit</t>
  </si>
  <si>
    <t>Olathe</t>
  </si>
  <si>
    <t>Kalamazoo</t>
  </si>
  <si>
    <t>Kanawha Valley Regional Transportation Authority</t>
  </si>
  <si>
    <t>Kansas City Area Transportation Authority</t>
  </si>
  <si>
    <t>Kenosha Transit</t>
  </si>
  <si>
    <t>Bremerton</t>
  </si>
  <si>
    <t>Knoxville Area Transit</t>
  </si>
  <si>
    <t>Grand River</t>
  </si>
  <si>
    <t>LaCrosse Municipal Transit Utility</t>
  </si>
  <si>
    <t>La Crosse</t>
  </si>
  <si>
    <t>Lake Charles Transit System</t>
  </si>
  <si>
    <t>Lakeland</t>
  </si>
  <si>
    <t>Lane Transit District</t>
  </si>
  <si>
    <t>Eugene</t>
  </si>
  <si>
    <t>Laredo Transit Management, Inc.</t>
  </si>
  <si>
    <t>Laredo</t>
  </si>
  <si>
    <t>Las Cruces Area Transit</t>
  </si>
  <si>
    <t>Las Cruces</t>
  </si>
  <si>
    <t>Lee County Transit</t>
  </si>
  <si>
    <t>Fort Myers</t>
  </si>
  <si>
    <t>Lehigh and Northampton Transportation Authority</t>
  </si>
  <si>
    <t>Allentown</t>
  </si>
  <si>
    <t>Livermore / Amador Valley Transit Authority</t>
  </si>
  <si>
    <t>Livermore</t>
  </si>
  <si>
    <t>Long Beach Transit</t>
  </si>
  <si>
    <t>MTA Long Island Rail Road</t>
  </si>
  <si>
    <t>Jamaica</t>
  </si>
  <si>
    <t>Lorain County Transit</t>
  </si>
  <si>
    <t>Elyria</t>
  </si>
  <si>
    <t>Los Angeles County Metropolitan Transportation Authority dba: Metro</t>
  </si>
  <si>
    <t>Loudoun County Commuter Bus Service - Office of Transportation Services</t>
  </si>
  <si>
    <t>Leesburg</t>
  </si>
  <si>
    <t>Lowell Regional Transit Authority</t>
  </si>
  <si>
    <t>Lowell</t>
  </si>
  <si>
    <t>Lower Rio Grande Valley Development Council</t>
  </si>
  <si>
    <t>Weslaco</t>
  </si>
  <si>
    <t>Luzerne County Transportation Authority</t>
  </si>
  <si>
    <t>Madison County Transit District</t>
  </si>
  <si>
    <t>Granite City</t>
  </si>
  <si>
    <t>Metro Transit System</t>
  </si>
  <si>
    <t>Manatee County Area Transit</t>
  </si>
  <si>
    <t>Bradenton</t>
  </si>
  <si>
    <t>Manchester Transit Authority</t>
  </si>
  <si>
    <t>Maryland Transit Administration</t>
  </si>
  <si>
    <t>Baltimore</t>
  </si>
  <si>
    <t>Mass Transit Department - City of El Paso</t>
  </si>
  <si>
    <t>Flint</t>
  </si>
  <si>
    <t>Massachusetts Bay Transportation Authority</t>
  </si>
  <si>
    <t>Boston</t>
  </si>
  <si>
    <t>Memphis Area Transit Authority</t>
  </si>
  <si>
    <t>Memphis</t>
  </si>
  <si>
    <t>Transit Joint Powers Authority for Merced County</t>
  </si>
  <si>
    <t>Merced</t>
  </si>
  <si>
    <t>Merrimack Valley Regional Transit Authority</t>
  </si>
  <si>
    <t>Haverhill</t>
  </si>
  <si>
    <t>Mesa County</t>
  </si>
  <si>
    <t>Grand Junction</t>
  </si>
  <si>
    <t>St. Paul</t>
  </si>
  <si>
    <t>Akron</t>
  </si>
  <si>
    <t>The Wave Transit System</t>
  </si>
  <si>
    <t>Mobile</t>
  </si>
  <si>
    <t>Metro-North Commuter Railroad Company, dba: MTA Metro-North Railroad</t>
  </si>
  <si>
    <t>Metropolitan Atlanta Rapid Transit Authority</t>
  </si>
  <si>
    <t>Metropolitan Bus Authority</t>
  </si>
  <si>
    <t>Metropolitan Evansville Transit System</t>
  </si>
  <si>
    <t>Evansville</t>
  </si>
  <si>
    <t>Metropolitan Transit Authority</t>
  </si>
  <si>
    <t>Metropolitan Transit Authority of Black Hawk County</t>
  </si>
  <si>
    <t>Metropolitan Tulsa Transit Authority</t>
  </si>
  <si>
    <t>Tulsa</t>
  </si>
  <si>
    <t>Greater Dayton Regional Transit Authority</t>
  </si>
  <si>
    <t>Miami-Dade Transit</t>
  </si>
  <si>
    <t>Mid Mon Valley Transit Authority</t>
  </si>
  <si>
    <t>Charleroi</t>
  </si>
  <si>
    <t>Mid-Ohio Valley Transit Authority</t>
  </si>
  <si>
    <t>Parkersburg</t>
  </si>
  <si>
    <t>Middletown Transit District</t>
  </si>
  <si>
    <t>Milford Transit District</t>
  </si>
  <si>
    <t>Milford</t>
  </si>
  <si>
    <t>Milwaukee County Transit System</t>
  </si>
  <si>
    <t>Milwaukee</t>
  </si>
  <si>
    <t>Ms Coast Transportation Authority</t>
  </si>
  <si>
    <t>Gulfport</t>
  </si>
  <si>
    <t>Missoula Urban Transportation District</t>
  </si>
  <si>
    <t>Modesto Area Express</t>
  </si>
  <si>
    <t>Monsey New Square Trails Corporation</t>
  </si>
  <si>
    <t>Spring Valley</t>
  </si>
  <si>
    <t>Montachusett Regional Transit Authority</t>
  </si>
  <si>
    <t>Fitchburg</t>
  </si>
  <si>
    <t>Montebello Bus Lines</t>
  </si>
  <si>
    <t>Montebello</t>
  </si>
  <si>
    <t>Monterey-Salinas Transit</t>
  </si>
  <si>
    <t>Monterey</t>
  </si>
  <si>
    <t>City of Montgomery-Montgomery Area Transit System</t>
  </si>
  <si>
    <t>Montgomery</t>
  </si>
  <si>
    <t>Muncie Indiana Transit System</t>
  </si>
  <si>
    <t>Muncie</t>
  </si>
  <si>
    <t>Central Shenandoah Planning District Commission</t>
  </si>
  <si>
    <t>Staunton</t>
  </si>
  <si>
    <t>Municipality of Anchorage - Public Transportation Department</t>
  </si>
  <si>
    <t>Fort Lauderdale</t>
  </si>
  <si>
    <t>Municipality of Caguas Mobility Office</t>
  </si>
  <si>
    <t>Caguas</t>
  </si>
  <si>
    <t>Gwichyaa Zhee Tribal Transit Service</t>
  </si>
  <si>
    <t>Fort Yukon</t>
  </si>
  <si>
    <t>Lower Elwha Klallam Tribe</t>
  </si>
  <si>
    <t>Muskegon Area Transit System</t>
  </si>
  <si>
    <t>Muskegon Heights</t>
  </si>
  <si>
    <t>Nashua Transit System</t>
  </si>
  <si>
    <t>Nashua</t>
  </si>
  <si>
    <t>Newark</t>
  </si>
  <si>
    <t>New Jersey Transit Corporation</t>
  </si>
  <si>
    <t>New York City Department of Transportation</t>
  </si>
  <si>
    <t>MTA New York City Transit</t>
  </si>
  <si>
    <t>Niagara Frontier Transportation Authority</t>
  </si>
  <si>
    <t>Niles</t>
  </si>
  <si>
    <t>North County Transit District</t>
  </si>
  <si>
    <t>Oceanside</t>
  </si>
  <si>
    <t>Northeast Illinois Regional Commuter Railroad Corporation dba: Metra Rail</t>
  </si>
  <si>
    <t>Northern Indiana Commuter Transportation District</t>
  </si>
  <si>
    <t>Chesterton</t>
  </si>
  <si>
    <t>Norwalk Transit System</t>
  </si>
  <si>
    <t>Omnitrans</t>
  </si>
  <si>
    <t>San Bernardino</t>
  </si>
  <si>
    <t>Ohio Valley Regional Transportation Authority</t>
  </si>
  <si>
    <t>Wheeling</t>
  </si>
  <si>
    <t>Olympia Trails Bus Company, Inc.</t>
  </si>
  <si>
    <t>Elizabeth</t>
  </si>
  <si>
    <t>Orange County Transportation Authority</t>
  </si>
  <si>
    <t>Orange</t>
  </si>
  <si>
    <t>Orange-Newark-Elizabeth, Inc.</t>
  </si>
  <si>
    <t>Oshkosh</t>
  </si>
  <si>
    <t>Owensboro Transit System</t>
  </si>
  <si>
    <t>Pace - Suburban Bus Division</t>
  </si>
  <si>
    <t>Board of County Commissioners, Palm Beach County, PalmTran, Inc.</t>
  </si>
  <si>
    <t>West Palm Beach</t>
  </si>
  <si>
    <t>Pasco County Public Transportation</t>
  </si>
  <si>
    <t>Port Richey</t>
  </si>
  <si>
    <t>Pee Dee Regional Transportation Authority</t>
  </si>
  <si>
    <t>Peninsula Corridor Joint Powers Board dba: Caltrain</t>
  </si>
  <si>
    <t>San Carlos</t>
  </si>
  <si>
    <t>Pennsylvania Department of Transportation</t>
  </si>
  <si>
    <t>Petersburg Area Transit</t>
  </si>
  <si>
    <t>Pierce County Ferry Operations</t>
  </si>
  <si>
    <t>Pierce County Transportation Benefit Area Authority</t>
  </si>
  <si>
    <t>Tacoma</t>
  </si>
  <si>
    <t>Pine Bluff Transit</t>
  </si>
  <si>
    <t>Pinellas Suncoast Transit Authority</t>
  </si>
  <si>
    <t>St. Petersburg</t>
  </si>
  <si>
    <t>Pioneer Valley Transit Authority</t>
  </si>
  <si>
    <t>Port Arthur Transit</t>
  </si>
  <si>
    <t>Port Arthur</t>
  </si>
  <si>
    <t>Port Authority Trans-Hudson Corporation</t>
  </si>
  <si>
    <t>Jersey City</t>
  </si>
  <si>
    <t>Port Authority Transit Corporation</t>
  </si>
  <si>
    <t>Lindenwold</t>
  </si>
  <si>
    <t>Port Authority of Allegheny County</t>
  </si>
  <si>
    <t>Pittsburgh</t>
  </si>
  <si>
    <t>Portage Area Regional Transportation Authority</t>
  </si>
  <si>
    <t>Kent</t>
  </si>
  <si>
    <t>Potomac and Rappahannock Transportation Commission</t>
  </si>
  <si>
    <t>Woodbridge</t>
  </si>
  <si>
    <t>Pueblo Transit System</t>
  </si>
  <si>
    <t>Alternativa de Transporte Integrado -ATI</t>
  </si>
  <si>
    <t>Putnam County Transit</t>
  </si>
  <si>
    <t>Carmel</t>
  </si>
  <si>
    <t>Rapid Transit System</t>
  </si>
  <si>
    <t>Rapid City</t>
  </si>
  <si>
    <t>Redding Area Bus Authority</t>
  </si>
  <si>
    <t>Redding</t>
  </si>
  <si>
    <t>New Orleans Regional Transit Authority</t>
  </si>
  <si>
    <t>New Orleans</t>
  </si>
  <si>
    <t>Regional Transportation Commission of Washoe County</t>
  </si>
  <si>
    <t>Denver Regional Transportation District</t>
  </si>
  <si>
    <t>Research Triangle Park</t>
  </si>
  <si>
    <t>Rhode Island Public Transit Authority</t>
  </si>
  <si>
    <t>Providence</t>
  </si>
  <si>
    <t>Richland County Transit</t>
  </si>
  <si>
    <t>Rockville</t>
  </si>
  <si>
    <t>Riverside Transit Agency</t>
  </si>
  <si>
    <t>Rock Island County Metropolitan Mass Transit District</t>
  </si>
  <si>
    <t xml:space="preserve">Moline </t>
  </si>
  <si>
    <t>Rockford Mass Transit District</t>
  </si>
  <si>
    <t>Rockford</t>
  </si>
  <si>
    <t>Tar River Transit</t>
  </si>
  <si>
    <t>Rocky Mount</t>
  </si>
  <si>
    <t>Rogue Valley Transportation District</t>
  </si>
  <si>
    <t>Medford</t>
  </si>
  <si>
    <t>Roseville</t>
  </si>
  <si>
    <t>San Mateo County Transit District</t>
  </si>
  <si>
    <t>Sacramento Regional Transit District</t>
  </si>
  <si>
    <t>Saginaw Transit Authority Regional Service</t>
  </si>
  <si>
    <t>Saginaw</t>
  </si>
  <si>
    <t>Salem Area Mass Transit District</t>
  </si>
  <si>
    <t>San Diego</t>
  </si>
  <si>
    <t>San Diego Metropolitan Transit System</t>
  </si>
  <si>
    <t>San Francisco Bay Area Rapid Transit District</t>
  </si>
  <si>
    <t>San Francisco Municipal Railway</t>
  </si>
  <si>
    <t>CC</t>
  </si>
  <si>
    <t>San Joaquin Regional Transit District</t>
  </si>
  <si>
    <t>Santa Barbara Metropolitan Transit District</t>
  </si>
  <si>
    <t>Santa Barbara</t>
  </si>
  <si>
    <t>Santa Clara Valley Transportation Authority</t>
  </si>
  <si>
    <t>San Jose</t>
  </si>
  <si>
    <t>Santa Clarita Transit</t>
  </si>
  <si>
    <t>Santa Clarita</t>
  </si>
  <si>
    <t>Santa Cruz Metropolitan Transit District</t>
  </si>
  <si>
    <t>Santa Cruz</t>
  </si>
  <si>
    <t>Santa Maria Area Transit</t>
  </si>
  <si>
    <t>Santa Maria</t>
  </si>
  <si>
    <t>Santee Wateree Regional Transportation Authority</t>
  </si>
  <si>
    <t>Sumter</t>
  </si>
  <si>
    <t>Sarasota County Area Transit</t>
  </si>
  <si>
    <t>Sarasota</t>
  </si>
  <si>
    <t>Sheboygan</t>
  </si>
  <si>
    <t>Shenango Valley Shuttle Service</t>
  </si>
  <si>
    <t>Hermitage</t>
  </si>
  <si>
    <t>Shreveport Area Transit System</t>
  </si>
  <si>
    <t>Shreveport</t>
  </si>
  <si>
    <t>Simi Valley Transit</t>
  </si>
  <si>
    <t>Simi Valley</t>
  </si>
  <si>
    <t>Sioux City Transit System</t>
  </si>
  <si>
    <t>Su Tran LLC dba: Sioux Area Metro</t>
  </si>
  <si>
    <t>Sioux Falls</t>
  </si>
  <si>
    <t>Snohomish County Public Transportation Benefit Area Corporation</t>
  </si>
  <si>
    <t>Sonoma County Transit</t>
  </si>
  <si>
    <t>South Bend Public Transportation Corporation</t>
  </si>
  <si>
    <t>Gold Coast Transit</t>
  </si>
  <si>
    <t>Oxnard</t>
  </si>
  <si>
    <t>Southeastern Pennsylvania Transportation Authority</t>
  </si>
  <si>
    <t>Philadelphia</t>
  </si>
  <si>
    <t>Southeastern Regional Transit Authority</t>
  </si>
  <si>
    <t>New Bedford</t>
  </si>
  <si>
    <t>Southern California Regional Rail Authority dba: Metrolink</t>
  </si>
  <si>
    <t>Southwest Ohio Regional Transit Authority</t>
  </si>
  <si>
    <t>Cincinnati</t>
  </si>
  <si>
    <t>Space Coast Area Transit</t>
  </si>
  <si>
    <t>Cocoa</t>
  </si>
  <si>
    <t>Spartanburg</t>
  </si>
  <si>
    <t>Spartanburg Transit System</t>
  </si>
  <si>
    <t>Spokane Transit Authority</t>
  </si>
  <si>
    <t>Spokane</t>
  </si>
  <si>
    <t>Springfield City Area Transit</t>
  </si>
  <si>
    <t>Springfield Mass Transit District</t>
  </si>
  <si>
    <t>St. Bernard Urban Rapid Transit</t>
  </si>
  <si>
    <t>Chalmette</t>
  </si>
  <si>
    <t>St. Cloud Metropolitan Transit Commission</t>
  </si>
  <si>
    <t>St. Cloud</t>
  </si>
  <si>
    <t>St. Joseph Transit</t>
  </si>
  <si>
    <t>Stark Area Regional Transit Authority</t>
  </si>
  <si>
    <t>Staten Island Rapid Transit Operating Authority, dba: MTA Staten Island Railway</t>
  </si>
  <si>
    <t>Staten Island</t>
  </si>
  <si>
    <t>Steel Valley Regional Transit Authority</t>
  </si>
  <si>
    <t>Steubenville</t>
  </si>
  <si>
    <t>Suburban Mobility Authority for Regional Transportation</t>
  </si>
  <si>
    <t>Suburban Transit Corporation</t>
  </si>
  <si>
    <t>Suffolk County Department of Public Works - Transportation Division</t>
  </si>
  <si>
    <t>Yaphank</t>
  </si>
  <si>
    <t>City of Ocala, Florida</t>
  </si>
  <si>
    <t>Ocala</t>
  </si>
  <si>
    <t>City of Albuquerque Transit Department</t>
  </si>
  <si>
    <t>SunLine Transit Agency</t>
  </si>
  <si>
    <t>Thousand Palms</t>
  </si>
  <si>
    <t>Terre Haute Transit Utility</t>
  </si>
  <si>
    <t>Terrebonne Parish Consolidated Government</t>
  </si>
  <si>
    <t>The City of Cheyenne Transit Program</t>
  </si>
  <si>
    <t>Cheyenne</t>
  </si>
  <si>
    <t>The Greater Cleveland Regional Transit Authority</t>
  </si>
  <si>
    <t>The Gulf Coast Center</t>
  </si>
  <si>
    <t>Texas City</t>
  </si>
  <si>
    <t>The Tri-State Transit Authority</t>
  </si>
  <si>
    <t>Thousand Oaks Transit</t>
  </si>
  <si>
    <t>Thousand Oaks</t>
  </si>
  <si>
    <t>Toledo Area Regional Transit Authority</t>
  </si>
  <si>
    <t>Toledo</t>
  </si>
  <si>
    <t>Tompkins Consolidated Area Transit</t>
  </si>
  <si>
    <t>Ithaca</t>
  </si>
  <si>
    <t>Topeka Metropolitan Transit Authority</t>
  </si>
  <si>
    <t>Topeka</t>
  </si>
  <si>
    <t>Newburgh</t>
  </si>
  <si>
    <t>Bethlehem</t>
  </si>
  <si>
    <t>Lexington Transit Authority</t>
  </si>
  <si>
    <t>Transit Authority of Northern Kentucky</t>
  </si>
  <si>
    <t>Fort Wright</t>
  </si>
  <si>
    <t>Transit Authority of Omaha</t>
  </si>
  <si>
    <t>Transit Authority of River City</t>
  </si>
  <si>
    <t>Santa Fe Trails - City of Santa Fe</t>
  </si>
  <si>
    <t>Transport of Rockland</t>
  </si>
  <si>
    <t>Pomona</t>
  </si>
  <si>
    <t>South Florida Regional Transportation Authority</t>
  </si>
  <si>
    <t>Pompano Beach</t>
  </si>
  <si>
    <t>Tri-County Metropolitan Transportation District of Oregon</t>
  </si>
  <si>
    <t>Twin Cities Area Transportation Authority</t>
  </si>
  <si>
    <t>Benton Harbor</t>
  </si>
  <si>
    <t>Unitrans - City of Davis/ASUCD</t>
  </si>
  <si>
    <t>University of Arkansas, Fayetteville</t>
  </si>
  <si>
    <t>University of Iowa</t>
  </si>
  <si>
    <t>Utah Transit Authority</t>
  </si>
  <si>
    <t>Salt Lake City</t>
  </si>
  <si>
    <t>VIA Metropolitan Transit</t>
  </si>
  <si>
    <t>San Antonio</t>
  </si>
  <si>
    <t>Ventura Intercity Service Transit Authority</t>
  </si>
  <si>
    <t>Ventura</t>
  </si>
  <si>
    <t>Victor Valley Transit Authority</t>
  </si>
  <si>
    <t>Hesperia</t>
  </si>
  <si>
    <t>Virginia Railway Express</t>
  </si>
  <si>
    <t>Waco Transit System, Inc.</t>
  </si>
  <si>
    <t>Waco</t>
  </si>
  <si>
    <t>Washington County Transit</t>
  </si>
  <si>
    <t>Hagerstown</t>
  </si>
  <si>
    <t>Washington Metropolitan Area Transit Authority</t>
  </si>
  <si>
    <t>Washington State Ferries</t>
  </si>
  <si>
    <t>City of Waukesha Transit Commission</t>
  </si>
  <si>
    <t>Waukesha</t>
  </si>
  <si>
    <t>Wausau Area Transit System</t>
  </si>
  <si>
    <t>Wausau</t>
  </si>
  <si>
    <t>Weirton Transit Corporation</t>
  </si>
  <si>
    <t>Weirton</t>
  </si>
  <si>
    <t>Westchester County Bee-Line System</t>
  </si>
  <si>
    <t>Mount Vernon</t>
  </si>
  <si>
    <t>Western Contra Costa Transit Authority</t>
  </si>
  <si>
    <t>Pinole</t>
  </si>
  <si>
    <t>Western Maine Transportation Services, Inc.</t>
  </si>
  <si>
    <t>Western Reserve Transit Authority</t>
  </si>
  <si>
    <t>Youngstown</t>
  </si>
  <si>
    <t>Westmoreland County Transit Authority</t>
  </si>
  <si>
    <t>Greensburg</t>
  </si>
  <si>
    <t>Whatcom Transportation Authority</t>
  </si>
  <si>
    <t>Wichita Falls</t>
  </si>
  <si>
    <t>Wichita Transit</t>
  </si>
  <si>
    <t>Williamsport Bureau of Transportation</t>
  </si>
  <si>
    <t>Williamsport</t>
  </si>
  <si>
    <t>Cape Fear Public Transportation Authority</t>
  </si>
  <si>
    <t>Winston-Salem Transit Authority - Trans-Aid of Forsyth County</t>
  </si>
  <si>
    <t>Winston-Salem</t>
  </si>
  <si>
    <t>Worcester Regional Transit Authority</t>
  </si>
  <si>
    <t>Yakima Transit</t>
  </si>
  <si>
    <t>Yolo County Transportation District</t>
  </si>
  <si>
    <t>Woodland</t>
  </si>
  <si>
    <t>Yuba-Sutter Transit Authority</t>
  </si>
  <si>
    <t>Great Falls Transit District</t>
  </si>
  <si>
    <t>Great Falls</t>
  </si>
  <si>
    <t>Regional Transportation Commission of Southern Nevada</t>
  </si>
  <si>
    <t>Municipality of Hormigueros</t>
  </si>
  <si>
    <t>Hormigueros</t>
  </si>
  <si>
    <t>Federal Programs Municipality of Gurabo</t>
  </si>
  <si>
    <t>Gurabo</t>
  </si>
  <si>
    <t>Municipality of Carolina</t>
  </si>
  <si>
    <t>Carolina</t>
  </si>
  <si>
    <t>Okaloosa County Board of County Commissioners</t>
  </si>
  <si>
    <t>Fort Walton Beach</t>
  </si>
  <si>
    <t>Goldsboro-Wayne Transportation Authority</t>
  </si>
  <si>
    <t>Goldsboro</t>
  </si>
  <si>
    <t>University of Michigan Parking and Transportation Services</t>
  </si>
  <si>
    <t>River Valley Metro Mass Transit District</t>
  </si>
  <si>
    <t>Bourbonnais</t>
  </si>
  <si>
    <t>West Bend</t>
  </si>
  <si>
    <t>Ozaukee County Transit Services</t>
  </si>
  <si>
    <t>Port Washington</t>
  </si>
  <si>
    <t>Transportation District Commission of Hampton Roads</t>
  </si>
  <si>
    <t>Hampton</t>
  </si>
  <si>
    <t>Tuscaloosa County Parking and Transit Authority</t>
  </si>
  <si>
    <t>Tuscaloosa</t>
  </si>
  <si>
    <t>Lee-Russell Council of Governments</t>
  </si>
  <si>
    <t>Opelika</t>
  </si>
  <si>
    <t>Newburgh Beacon Bus Corporation</t>
  </si>
  <si>
    <t>New Windsor</t>
  </si>
  <si>
    <t>Laguna Beach Municipal Transit</t>
  </si>
  <si>
    <t>Laguna Beach</t>
  </si>
  <si>
    <t>Southeast Area Transit</t>
  </si>
  <si>
    <t>Targhee Regional Public Transit Authority</t>
  </si>
  <si>
    <t>Idaho Falls</t>
  </si>
  <si>
    <t>Santa Monica's Big Blue Bus</t>
  </si>
  <si>
    <t>Santa Monica</t>
  </si>
  <si>
    <t>Arlington Transit - Arlington County</t>
  </si>
  <si>
    <t>Hill Country Transit District</t>
  </si>
  <si>
    <t>San Saba</t>
  </si>
  <si>
    <t>Butler County Regional Transit Authority</t>
  </si>
  <si>
    <t>Galveston</t>
  </si>
  <si>
    <t>Westwood</t>
  </si>
  <si>
    <t>Georgia Regional Transportation Authority</t>
  </si>
  <si>
    <t>Davidson County Transportation</t>
  </si>
  <si>
    <t>Macon-Bibb County Transit Authority</t>
  </si>
  <si>
    <t>Prince George's County Transit</t>
  </si>
  <si>
    <t>Largo</t>
  </si>
  <si>
    <t>Village of Spring Valley Bus</t>
  </si>
  <si>
    <t>Private Transportation Corporation</t>
  </si>
  <si>
    <t>Kaser Bus Service</t>
  </si>
  <si>
    <t>Monsey</t>
  </si>
  <si>
    <t>Fredericksburg Regional Transit</t>
  </si>
  <si>
    <t>Ames</t>
  </si>
  <si>
    <t>Municipality of Bayamon</t>
  </si>
  <si>
    <t>Bayamon</t>
  </si>
  <si>
    <t>Fairbanks North Star Borough Transit</t>
  </si>
  <si>
    <t>Fairbanks</t>
  </si>
  <si>
    <t>Clermont Transportation Connection</t>
  </si>
  <si>
    <t>Wenatchee</t>
  </si>
  <si>
    <t>Alaska Railroad Corporation</t>
  </si>
  <si>
    <t>Gwinnett County Board of Commissioners</t>
  </si>
  <si>
    <t>Lawrenceville</t>
  </si>
  <si>
    <t>Adirondack Transit Lines, Inc,</t>
  </si>
  <si>
    <t>Hurley</t>
  </si>
  <si>
    <t>Ulster County Area Transit</t>
  </si>
  <si>
    <t>Fayette Area Coordinated Transportation</t>
  </si>
  <si>
    <t>Lemont Furnace</t>
  </si>
  <si>
    <t>South Metro Area Regional Transit</t>
  </si>
  <si>
    <t>Wilsonville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</si>
  <si>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</si>
  <si>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</si>
  <si>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</si>
  <si>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</si>
  <si>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</si>
  <si>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</si>
  <si>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</si>
  <si>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</si>
  <si>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</si>
  <si>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</si>
  <si>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</si>
  <si>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</si>
  <si>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</si>
  <si>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</si>
  <si>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</si>
  <si>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</si>
  <si>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</si>
  <si>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</si>
  <si>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</si>
  <si>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</si>
  <si>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</si>
  <si>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</si>
  <si>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</si>
  <si>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</si>
  <si>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</si>
  <si>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</si>
  <si>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</si>
  <si>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</si>
  <si>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</si>
  <si>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</si>
  <si>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Separate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</si>
  <si>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</si>
  <si>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</si>
  <si>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</si>
  <si>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</si>
  <si>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</si>
  <si>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</si>
  <si>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</si>
  <si>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</si>
  <si>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</si>
  <si>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</si>
  <si>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</si>
  <si>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</si>
  <si>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</si>
  <si>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</si>
  <si>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</si>
  <si>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</si>
  <si>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</si>
  <si>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</si>
  <si>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</si>
  <si>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</si>
  <si>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</si>
  <si>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</si>
  <si>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</si>
  <si>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</si>
  <si>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</si>
  <si>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</si>
  <si>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</si>
  <si>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</si>
  <si>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</si>
  <si>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</si>
  <si>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</si>
  <si>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</si>
  <si>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</si>
  <si>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</si>
  <si>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</si>
  <si>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</si>
  <si>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</si>
  <si>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</si>
  <si>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</si>
  <si>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</si>
  <si>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</si>
  <si>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</si>
  <si>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</si>
  <si>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</si>
  <si>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</si>
  <si>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</si>
  <si>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</si>
  <si>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</si>
  <si>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</si>
  <si>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</si>
  <si>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</si>
  <si>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Stations</t>
  </si>
  <si>
    <t>ONLY APPLIES TO: Full Reporters, Reduced Reporters</t>
  </si>
  <si>
    <t>Public transportation passenger facilities which, in compliance with the Americans with Disabilities Act of 1990 (ADA), provide ready access to passengers with disabilities, including individuals who use wheelchairs, by meeting accessibility requirements of transport devices, signage, and other aids.</t>
  </si>
  <si>
    <t>Public transportation passenger facilities that do not provide ready access to passengers with disabilities, including individuals who use wheelchairs, by meeting accessibility requirements of transport devices, signage, and other aids.</t>
  </si>
  <si>
    <t>A compartment that usually moves up and down vertically to transfer passengers from one level of a station or parking facility to another. Elevators may move horizontally, such as from a station to an adjacent parking garage, but such movement is normally done by non-elevator means such as a pedestrian bridge or a moving sidewalk. Does not include non-passenger elevators used only for freight or by transit staff.</t>
  </si>
  <si>
    <t>A moving stairway that moves up and down at an angle to transfer passengers from one level of a station or parking facility to another. Does not include non-passenger escalators used only for freight or by transit staff.</t>
  </si>
  <si>
    <t>Passenger stations are significant structures in a separate right-of-way (ROW). Therefore, agencies may not report a street stop or passenger shelter as a passenger station. Passenger stations typically mean a platform area for rail modes. The following rules apply: 
• All rail passenger facilities are stations (except for light rail (LR), streetcar (SR), and cable car (CC) modes);  
• All LR, CC, and SR passenger facilities serving track that is in a separate ROW (not in mixed street traffic) that have platforms are stations; 
• All motorbus (MB), rapid bus (RB), commuter bus (CB), and trolley bus (TB) passenger facilities in a separate ROW that have an enclosed structure (building) for passengers for such items as ticketing, information, restrooms, concessions, and telephones are stations; 
• When service is operated in mixed traffic, stops on streets or in medians for CC, LR, SR, MB, RB, CB, and TB are not stations if at most they have shelters, canopies, lighting, signage or ramps for accessibility requirements, (i.e. no separate, enclosed buildings); and 
• All transportation, transit or transfer centers, park-and-ride facilities, and transit malls are stations if they have an enclosed structure (building) for passengers for items such as ticketing, information, restrooms, concessions, and telephones.</t>
  </si>
  <si>
    <t>ADA Accessible Stations Questionable</t>
  </si>
  <si>
    <t>Non-ADA Accessible Stations Questionable</t>
  </si>
  <si>
    <t>Total Stations Questionable</t>
  </si>
  <si>
    <t>Elevators Questionable</t>
  </si>
  <si>
    <t>Escalators Questionable</t>
  </si>
  <si>
    <t>Any data questionable?</t>
  </si>
  <si>
    <t>enter bins here</t>
  </si>
  <si>
    <t>enter bins below</t>
  </si>
  <si>
    <t>Include Questionable Data</t>
  </si>
  <si>
    <t>Exclude Questionable Data</t>
  </si>
  <si>
    <t>By Mode/Type of Service</t>
  </si>
  <si>
    <t>Type</t>
  </si>
  <si>
    <t>Description</t>
  </si>
  <si>
    <t>Cable Car - Directly Operated</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</si>
  <si>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</si>
  <si>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</si>
  <si>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</si>
  <si>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</si>
  <si>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</si>
  <si>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</si>
  <si>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</si>
  <si>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</si>
  <si>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</si>
  <si>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</si>
  <si>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</si>
  <si>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</si>
  <si>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</si>
  <si>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</si>
  <si>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</si>
  <si>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</si>
  <si>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</si>
  <si>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</si>
  <si>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</si>
  <si>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</si>
  <si>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</si>
  <si>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</si>
  <si>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</si>
  <si>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</si>
  <si>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Lousiana</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</si>
  <si>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</si>
  <si>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</si>
  <si>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</si>
  <si>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</si>
  <si>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</si>
  <si>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</si>
  <si>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</si>
  <si>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</si>
  <si>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</si>
  <si>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</si>
  <si>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</si>
  <si>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</si>
  <si>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</si>
  <si>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</si>
  <si>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</si>
  <si>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</si>
  <si>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</si>
  <si>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</si>
  <si>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</si>
  <si>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</si>
  <si>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</si>
  <si>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</si>
  <si>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</si>
  <si>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</si>
  <si>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</si>
  <si>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</si>
  <si>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</si>
  <si>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</si>
  <si>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</si>
  <si>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Virgin Islands</t>
  </si>
  <si>
    <t>Vermont</t>
  </si>
  <si>
    <t>Wisconsin</t>
  </si>
  <si>
    <t>West Virginia</t>
  </si>
  <si>
    <t>Wyoming</t>
  </si>
  <si>
    <t>Hide questionable data tags</t>
  </si>
  <si>
    <t>Show questionable data tags</t>
  </si>
  <si>
    <t>By Urbanized Area Size</t>
  </si>
  <si>
    <t>Column1</t>
  </si>
  <si>
    <t>Column2</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</si>
  <si>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</si>
  <si>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</si>
  <si>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City of Pocatello</t>
  </si>
  <si>
    <t>Town of Bedford</t>
  </si>
  <si>
    <t>City of Beverly</t>
  </si>
  <si>
    <t>City of Burlington</t>
  </si>
  <si>
    <t>Town of Lexington</t>
  </si>
  <si>
    <t>Mission Hill Link, Inc.</t>
  </si>
  <si>
    <t>Woods Hole, Martha's Vineyard and Nantucket Steamship Authority</t>
  </si>
  <si>
    <t>1T03</t>
  </si>
  <si>
    <t>Mashantucket Pequot Tribal Nation</t>
  </si>
  <si>
    <t>Somerset County Transportation</t>
  </si>
  <si>
    <t>A&amp;C Bus Corporation &amp; Montgomery &amp; Westside Owners Association</t>
  </si>
  <si>
    <t>Broadway Bus Corporation</t>
  </si>
  <si>
    <t>Saddle River Trail, Inc.</t>
  </si>
  <si>
    <t>New York City Economic Development Corporation</t>
  </si>
  <si>
    <t>Carroll County Department of Public Works</t>
  </si>
  <si>
    <t>Washington County Transportation Authority</t>
  </si>
  <si>
    <t>DDOT - Progressive Transportation Services Administration</t>
  </si>
  <si>
    <t>New River Transit Authority</t>
  </si>
  <si>
    <t>City of Radford</t>
  </si>
  <si>
    <t>City of Atlanta - Department of Public Works - Transit Division</t>
  </si>
  <si>
    <t>City of Coconut Creek</t>
  </si>
  <si>
    <t>City of Deerfield Beach/ North East Focal Point Senior Center</t>
  </si>
  <si>
    <t>City of Lighthouse Point</t>
  </si>
  <si>
    <t>City of Miramar - Public Works Department</t>
  </si>
  <si>
    <t>City of Tamarac</t>
  </si>
  <si>
    <t>University of Minnesota Transit</t>
  </si>
  <si>
    <t>City of Plymouth</t>
  </si>
  <si>
    <t>City of Maple Grove</t>
  </si>
  <si>
    <t>SouthWest Transit</t>
  </si>
  <si>
    <t>Minnesota Valley Transit Authority</t>
  </si>
  <si>
    <t>City of Conroe</t>
  </si>
  <si>
    <t>The Woodlands Township</t>
  </si>
  <si>
    <t>Alameda-Contra Costa Transit District</t>
  </si>
  <si>
    <t>Napa Valley Transportation Authority</t>
  </si>
  <si>
    <t>Placer County Department of Public Works and Facilities</t>
  </si>
  <si>
    <t>9T31</t>
  </si>
  <si>
    <t>Pyramid Lake Paiute Tribe</t>
  </si>
  <si>
    <t>Bedford</t>
  </si>
  <si>
    <t>Beverly</t>
  </si>
  <si>
    <t>Woods Hole</t>
  </si>
  <si>
    <t>Mashantucket</t>
  </si>
  <si>
    <t>Somerville</t>
  </si>
  <si>
    <t>Bayonne</t>
  </si>
  <si>
    <t>Wallington</t>
  </si>
  <si>
    <t>Suffolk</t>
  </si>
  <si>
    <t>Beckley</t>
  </si>
  <si>
    <t>Radford</t>
  </si>
  <si>
    <t>Coconut Creek</t>
  </si>
  <si>
    <t>Deerfield Beach</t>
  </si>
  <si>
    <t>Lighthouse Point</t>
  </si>
  <si>
    <t>Miramar</t>
  </si>
  <si>
    <t>Green Cove Springs</t>
  </si>
  <si>
    <t>Taramac</t>
  </si>
  <si>
    <t>Maple Grove</t>
  </si>
  <si>
    <t>Eden Prairie</t>
  </si>
  <si>
    <t>Burnsville</t>
  </si>
  <si>
    <t>Conroe</t>
  </si>
  <si>
    <t>The Woodlands</t>
  </si>
  <si>
    <t>Nixon</t>
  </si>
  <si>
    <t>Legacy NTD ID</t>
  </si>
  <si>
    <t>NTD ID</t>
  </si>
  <si>
    <t>King County Department of Transportation</t>
  </si>
  <si>
    <t>RTS - Monroe County</t>
  </si>
  <si>
    <t>Central New York Regional Transportation Authority</t>
  </si>
  <si>
    <t>Cobb County Department of Transportation</t>
  </si>
  <si>
    <t>Anne Arundel County</t>
  </si>
  <si>
    <t>3R03-018</t>
  </si>
  <si>
    <t>Tahoe Transportation District</t>
  </si>
  <si>
    <t>Zephyr Cove</t>
  </si>
  <si>
    <t>9R02-137</t>
  </si>
  <si>
    <t>City of Glendale</t>
  </si>
  <si>
    <t>City of Pasadena</t>
  </si>
  <si>
    <t>Pasadena</t>
  </si>
  <si>
    <t>Palos Verdes Peninsula Transit Authority</t>
  </si>
  <si>
    <t>Palos Verdes Peninsula</t>
  </si>
  <si>
    <t>Muscogee (Creek) Nation</t>
  </si>
  <si>
    <t>Okmulgee</t>
  </si>
  <si>
    <t>6T08</t>
  </si>
  <si>
    <t>University of Kansas Parking &amp; Transit</t>
  </si>
  <si>
    <t>Citrus County Transit</t>
  </si>
  <si>
    <t>Lecanto</t>
  </si>
  <si>
    <t>4R02-035</t>
  </si>
  <si>
    <t>Baltimore City Department of Transportation</t>
  </si>
  <si>
    <t>Craven County</t>
  </si>
  <si>
    <t>New Bern</t>
  </si>
  <si>
    <t>County of Carbon</t>
  </si>
  <si>
    <t>Jim Thorpe</t>
  </si>
  <si>
    <t>3R04-002</t>
  </si>
  <si>
    <t>City of Alhambra</t>
  </si>
  <si>
    <t>Alhambra</t>
  </si>
  <si>
    <t>City of Avalon</t>
  </si>
  <si>
    <t>Avalon</t>
  </si>
  <si>
    <t>City of Inglewood</t>
  </si>
  <si>
    <t>Inglewood</t>
  </si>
  <si>
    <t>City of Downey</t>
  </si>
  <si>
    <t>Downey</t>
  </si>
  <si>
    <t>City of Carson</t>
  </si>
  <si>
    <t>Carson</t>
  </si>
  <si>
    <t>City of Cerritos</t>
  </si>
  <si>
    <t>Cerritos</t>
  </si>
  <si>
    <t>City of Arcadia Transit</t>
  </si>
  <si>
    <t>Arcadia</t>
  </si>
  <si>
    <t>City of Burbank</t>
  </si>
  <si>
    <t>Burbank</t>
  </si>
  <si>
    <t>City of South Gate</t>
  </si>
  <si>
    <t>South Gate</t>
  </si>
  <si>
    <t>Los Angeles County Department of Public Works - East L.A.</t>
  </si>
  <si>
    <t>City of El Monte Transportation Division</t>
  </si>
  <si>
    <t>El Monte</t>
  </si>
  <si>
    <t>City of Glendora</t>
  </si>
  <si>
    <t>Glendora</t>
  </si>
  <si>
    <t>Board of County Commissioners of Calvert County, Maryland</t>
  </si>
  <si>
    <t>Prince Frederick</t>
  </si>
  <si>
    <t>3R03-005</t>
  </si>
  <si>
    <t>City of Calabasas</t>
  </si>
  <si>
    <t>Calabasas</t>
  </si>
  <si>
    <t>City of Margate</t>
  </si>
  <si>
    <t>Margate</t>
  </si>
  <si>
    <t>City of West Hollywood</t>
  </si>
  <si>
    <t>West Hollywood</t>
  </si>
  <si>
    <t>City of Monterey Park</t>
  </si>
  <si>
    <t>Monterey Park</t>
  </si>
  <si>
    <t>Center for Pan Asian Community Services, Inc.</t>
  </si>
  <si>
    <t>Chamblee</t>
  </si>
  <si>
    <t>City of Bell</t>
  </si>
  <si>
    <t>Bell</t>
  </si>
  <si>
    <t>Jolley Trolley Transportation of Clearwater, Inc.</t>
  </si>
  <si>
    <t>Clearwater</t>
  </si>
  <si>
    <t>City of Baldwin Park, Baldwin Park Transit</t>
  </si>
  <si>
    <t>Baldwin Park</t>
  </si>
  <si>
    <t>City of West Covina</t>
  </si>
  <si>
    <t>City of Lauderhill</t>
  </si>
  <si>
    <t>Lauderhill</t>
  </si>
  <si>
    <t>Lower Savannah COG</t>
  </si>
  <si>
    <t>Compton Renaissance Transit Service</t>
  </si>
  <si>
    <t>Compton</t>
  </si>
  <si>
    <t>City of Pembroke Pines</t>
  </si>
  <si>
    <t>Pembrokes Pines</t>
  </si>
  <si>
    <t>Link Transit - Burlington</t>
  </si>
  <si>
    <t>City of Bell Gardens</t>
  </si>
  <si>
    <t>Bell Gardens</t>
  </si>
  <si>
    <t>County of Ventura</t>
  </si>
  <si>
    <t>Leprechaun Lines, Inc.</t>
  </si>
  <si>
    <t>City of Cudahy</t>
  </si>
  <si>
    <t>Cudahy</t>
  </si>
  <si>
    <t>Town of Davie</t>
  </si>
  <si>
    <t>Davie</t>
  </si>
  <si>
    <t>City of Rosemead</t>
  </si>
  <si>
    <t>Rosemead</t>
  </si>
  <si>
    <t>City of Lynwood</t>
  </si>
  <si>
    <t>Lynwood</t>
  </si>
  <si>
    <t>City of Maywood</t>
  </si>
  <si>
    <t>Maywood</t>
  </si>
  <si>
    <t>City of Bellflower</t>
  </si>
  <si>
    <t>Bellflower</t>
  </si>
  <si>
    <t>City of Hallandale Beach</t>
  </si>
  <si>
    <t>Hallandale Beach</t>
  </si>
  <si>
    <t>Los Angeles County Department of Public Works - South Whittier</t>
  </si>
  <si>
    <t>City of Pompano Beach</t>
  </si>
  <si>
    <t>Municipality of Catano</t>
  </si>
  <si>
    <t>Catano</t>
  </si>
  <si>
    <t>City of Hollywood</t>
  </si>
  <si>
    <t>Hollywood</t>
  </si>
  <si>
    <t>Zuni Pueblo</t>
  </si>
  <si>
    <t>Zuni</t>
  </si>
  <si>
    <t>6T22</t>
  </si>
  <si>
    <t>City of Coral Springs</t>
  </si>
  <si>
    <t>Coral Springs</t>
  </si>
  <si>
    <t>Salamanca</t>
  </si>
  <si>
    <t>City of Duarte</t>
  </si>
  <si>
    <t>Duarte</t>
  </si>
  <si>
    <t>City of Moorpark</t>
  </si>
  <si>
    <t>Moorpark</t>
  </si>
  <si>
    <t>City of Dania Beach</t>
  </si>
  <si>
    <t>Dania Beach</t>
  </si>
  <si>
    <t>Los Angeles County Dept. of Public Works - Florence-Firestone</t>
  </si>
  <si>
    <t>City of Lauderdale Lakes</t>
  </si>
  <si>
    <t>Lauderdale Lakes</t>
  </si>
  <si>
    <t>Los Angeles County Dept. of Public Works - Willowbrook Shuttle</t>
  </si>
  <si>
    <t>City of Lawndale</t>
  </si>
  <si>
    <t>Lawndale</t>
  </si>
  <si>
    <t>The Looper Group, Inc.</t>
  </si>
  <si>
    <t>Town of Lauderdale-By-The-Sea</t>
  </si>
  <si>
    <t>Lauderdale-By-The-Sea</t>
  </si>
  <si>
    <t>Nome Eskimo Community</t>
  </si>
  <si>
    <t>Nome</t>
  </si>
  <si>
    <t>0T41</t>
  </si>
  <si>
    <t>Los Angeles County Department of Public Works - East Valinda</t>
  </si>
  <si>
    <t>Los Angeles County Dept. of Public Works - King Medical Center Shuttle Service</t>
  </si>
  <si>
    <t>Town of Hillsboro Beach</t>
  </si>
  <si>
    <t>Hillsboro Beach</t>
  </si>
  <si>
    <t>Los Angeles County Dept. of Public Works - Lennox Shuttle</t>
  </si>
  <si>
    <t>City of West Park</t>
  </si>
  <si>
    <t>West Park</t>
  </si>
  <si>
    <t>Los Angeles County Dept. of Public Works - Athens Shuttle Service</t>
  </si>
  <si>
    <t>Los Angeles County Department of Public Works - Avocado Heights</t>
  </si>
  <si>
    <t>Under</t>
  </si>
  <si>
    <t xml:space="preserve">Metropolitan Transit Authority of Harris County, Texas </t>
  </si>
  <si>
    <t xml:space="preserve">Metro Transit </t>
  </si>
  <si>
    <t>Regional Public Transportation Authority</t>
  </si>
  <si>
    <t>City of Tucson</t>
  </si>
  <si>
    <t>Central Pennsylvania Transportation Authority</t>
  </si>
  <si>
    <t xml:space="preserve">Mass Transportation Authority </t>
  </si>
  <si>
    <t xml:space="preserve">METRO Regional Transit Authority </t>
  </si>
  <si>
    <t>South Central Transit Authority</t>
  </si>
  <si>
    <t xml:space="preserve">City of Alexandria </t>
  </si>
  <si>
    <t>Ride Connection, Inc.</t>
  </si>
  <si>
    <t>0R02-022</t>
  </si>
  <si>
    <t>Central County Transportation Authority</t>
  </si>
  <si>
    <t xml:space="preserve">Lakeland Area Mass Transit District </t>
  </si>
  <si>
    <t xml:space="preserve">Trans-Bridge Lines, Inc. </t>
  </si>
  <si>
    <t xml:space="preserve">Transfort </t>
  </si>
  <si>
    <t>Dutchess County Department of Public Works, Division of Public Transit</t>
  </si>
  <si>
    <t xml:space="preserve">Western Piedmont Regional Transit Authority </t>
  </si>
  <si>
    <t>Clay County Council on Aging, Inc.</t>
  </si>
  <si>
    <t xml:space="preserve">Housatonic Area Regional Transit </t>
  </si>
  <si>
    <t>Monroe County Transportation  Authority</t>
  </si>
  <si>
    <t>Texas State University</t>
  </si>
  <si>
    <t>San Marcos</t>
  </si>
  <si>
    <t>City of Fargo, DBA:  Metropolitan Area Transit</t>
  </si>
  <si>
    <t xml:space="preserve">City of Jackson, Department of Planning and Development, Transit Services Division </t>
  </si>
  <si>
    <t xml:space="preserve">Jalbert Leasing, Inc. </t>
  </si>
  <si>
    <t>La Plata</t>
  </si>
  <si>
    <t>Meadowlands Transportation Brokerage Corporation, dba EZ Ride</t>
  </si>
  <si>
    <t xml:space="preserve">Central Indiana Regional Transportation Authority </t>
  </si>
  <si>
    <t>Johnson County SEATS</t>
  </si>
  <si>
    <t xml:space="preserve">Flint Hills Area Transportation </t>
  </si>
  <si>
    <t>Lake Erie Transit</t>
  </si>
  <si>
    <t xml:space="preserve">Community Transit, Inc. </t>
  </si>
  <si>
    <t xml:space="preserve">City Utilities of Springfield </t>
  </si>
  <si>
    <t>St Johns County, Florida,  Board of County Commissioners</t>
  </si>
  <si>
    <t>High Point Transit System</t>
  </si>
  <si>
    <t xml:space="preserve">Connecticut Department of Transportation -CTTRANSIT New Britain </t>
  </si>
  <si>
    <t>Lawrence County Port Authority</t>
  </si>
  <si>
    <t>Ironton</t>
  </si>
  <si>
    <t xml:space="preserve">Shoshone-Bannock Tribes </t>
  </si>
  <si>
    <t>City of Round Rock</t>
  </si>
  <si>
    <t>Round Rock</t>
  </si>
  <si>
    <t>Hualapai Indian Tribe</t>
  </si>
  <si>
    <t>Peach Springs</t>
  </si>
  <si>
    <t>TR16</t>
  </si>
  <si>
    <t>Orange County Public Transportation</t>
  </si>
  <si>
    <t>City of Suffolk - Suffolk Transit</t>
  </si>
  <si>
    <t>Red Lake Band of the Chippewa</t>
  </si>
  <si>
    <t>Red Lake</t>
  </si>
  <si>
    <t>5T04</t>
  </si>
  <si>
    <t>Boise State University</t>
  </si>
  <si>
    <t>Boise</t>
  </si>
  <si>
    <t>Muckleshoot Indian Tribe</t>
  </si>
  <si>
    <t>Sault Ste. Marie Tribe of Chippewa Indians</t>
  </si>
  <si>
    <t>Sault Ste. Marie</t>
  </si>
  <si>
    <t xml:space="preserve">Fort Peck Tribes </t>
  </si>
  <si>
    <t xml:space="preserve">Cheyenne &amp; Arapaho Tribes </t>
  </si>
  <si>
    <t>M-1 Rail</t>
  </si>
  <si>
    <t>Blooms Bus Lines, Inc.</t>
  </si>
  <si>
    <t xml:space="preserve">City of Niles </t>
  </si>
  <si>
    <t>Kansas City, City of Missouri</t>
  </si>
  <si>
    <t>Chicago Water Taxi (Wendella)</t>
  </si>
  <si>
    <t>Ninilchik Village</t>
  </si>
  <si>
    <t>Ninilchik</t>
  </si>
  <si>
    <t>White Mountain Apache Tribe</t>
  </si>
  <si>
    <t>Whiteriver</t>
  </si>
  <si>
    <t>9T15</t>
  </si>
  <si>
    <t>Quileute Tribe Community Shuttle</t>
  </si>
  <si>
    <t>La Push</t>
  </si>
  <si>
    <t>Rhode Island Department of Transportation</t>
  </si>
  <si>
    <t>Santee Sioux Nation</t>
  </si>
  <si>
    <t xml:space="preserve">Niobrara   </t>
  </si>
  <si>
    <t>7T03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</si>
</sst>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0000"/>
    <numFmt numFmtId="165" formatCode="00000"/>
    <numFmt numFmtId="166" formatCode="0000#"/>
    <numFmt numFmtId="167" formatCode="000#"/>
    <numFmt numFmtId="169" formatCode="_(* #,##0_);_(* \(#,##0\);_(* &quot;-&quot;??_);_(@_)"/>
  </numFmts>
  <fonts count="17">
    <font>
      <sz val="10"/>
      <name val="Arial"/>
      <family val="2"/>
    </font>
    <font>
      <b/>
      <sz val="8"/>
      <name val="Arial"/>
      <family val="2"/>
    </font>
    <font>
      <sz val="8"/>
      <name val="sansserif"/>
    </font>
    <font>
      <sz val="8"/>
      <name val="Arial"/>
      <family val="2"/>
    </font>
    <font>
      <sz val="8"/>
      <color indexed="72"/>
      <name val="Arial"/>
      <family val="2"/>
    </font>
    <font>
      <b/>
      <sz val="10"/>
      <name val="Arial"/>
      <family val="2"/>
    </font>
    <font>
      <b/>
      <u/>
      <sz val="8"/>
      <name val="Arial"/>
      <family val="2"/>
    </font>
    <font>
      <b/>
      <sz val="9"/>
      <name val="Arial"/>
      <family val="2"/>
    </font>
    <font>
      <sz val="8"/>
      <color theme="1"/>
      <name val="Arial"/>
      <family val="2"/>
    </font>
    <font>
      <b/>
      <u/>
      <sz val="8"/>
      <color theme="1"/>
      <name val="Arial"/>
      <family val="2"/>
    </font>
    <font>
      <b/>
      <i/>
      <sz val="9"/>
      <color rgb="FF000000"/>
      <name val="Arial"/>
      <family val="2"/>
    </font>
    <font>
      <sz val="10"/>
      <name val="Arial"/>
      <family val="2"/>
    </font>
    <font>
      <b/>
      <sz val="8"/>
      <color theme="0"/>
      <name val="Arial"/>
      <family val="2"/>
    </font>
    <font>
      <sz val="10"/>
      <color theme="0"/>
      <name val="Arial"/>
      <family val="2"/>
    </font>
    <font>
      <sz val="9"/>
      <color rgb="FF263238"/>
      <name val="Arial"/>
      <family val="2"/>
    </font>
    <font>
      <b/>
      <u/>
      <sz val="8"/>
      <color theme="0"/>
      <name val="Arial"/>
      <family val="2"/>
    </font>
    <font>
      <b/>
      <sz val="8"/>
      <color theme="1"/>
      <name val="Arial"/>
      <family val="2"/>
    </font>
  </fonts>
  <fills count="7">
    <fill>
      <patternFill patternType="none"/>
    </fill>
    <fill>
      <patternFill patternType="gray125"/>
    </fill>
    <fill>
      <patternFill patternType="solid">
        <fgColor theme="0"/>
        <bgColor indexed="64"/>
      </patternFill>
    </fill>
    <fill>
      <patternFill patternType="solid">
        <fgColor theme="7" tint="-0.249977111117893"/>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0" tint="-0.34998626667073579"/>
        <bgColor indexed="64"/>
      </patternFill>
    </fill>
  </fills>
  <borders count="58">
    <border>
      <left/>
      <right/>
      <top/>
      <bottom/>
      <diagonal/>
    </border>
    <border>
      <left style="thin">
        <color auto="1"/>
      </left>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top style="thin">
        <color auto="1"/>
      </top>
      <bottom/>
      <diagonal/>
    </border>
    <border>
      <left style="medium">
        <color auto="1"/>
      </left>
      <right/>
      <top/>
      <bottom style="thin">
        <color auto="1"/>
      </bottom>
      <diagonal/>
    </border>
    <border>
      <left/>
      <right/>
      <top/>
      <bottom style="thin">
        <color auto="1"/>
      </bottom>
      <diagonal/>
    </border>
    <border>
      <left/>
      <right style="medium">
        <color auto="1"/>
      </right>
      <top/>
      <bottom style="medium">
        <color auto="1"/>
      </bottom>
      <diagonal/>
    </border>
    <border>
      <left style="thick">
        <color auto="1"/>
      </left>
      <right/>
      <top/>
      <bottom/>
      <diagonal/>
    </border>
    <border>
      <left/>
      <right/>
      <top style="thick">
        <color auto="1"/>
      </top>
      <bottom/>
      <diagonal/>
    </border>
    <border>
      <left/>
      <right style="thick">
        <color auto="1"/>
      </right>
      <top/>
      <bottom style="thick">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ck">
        <color auto="1"/>
      </bottom>
      <diagonal/>
    </border>
    <border>
      <left style="thin">
        <color auto="1"/>
      </left>
      <right/>
      <top style="thick">
        <color auto="1"/>
      </top>
      <bottom/>
      <diagonal/>
    </border>
    <border>
      <left/>
      <right/>
      <top style="thick">
        <color auto="1"/>
      </top>
      <bottom style="thick">
        <color auto="1"/>
      </bottom>
      <diagonal/>
    </border>
    <border>
      <left style="medium">
        <color auto="1"/>
      </left>
      <right/>
      <top style="thick">
        <color auto="1"/>
      </top>
      <bottom style="thin">
        <color theme="0" tint="-0.24994659260841701"/>
      </bottom>
      <diagonal/>
    </border>
    <border>
      <left/>
      <right/>
      <top style="thick">
        <color auto="1"/>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right style="thick">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ck">
        <color auto="1"/>
      </right>
      <top style="thin">
        <color theme="0" tint="-0.24994659260841701"/>
      </top>
      <bottom style="thin">
        <color auto="1"/>
      </bottom>
      <diagonal/>
    </border>
    <border>
      <left style="medium">
        <color auto="1"/>
      </left>
      <right/>
      <top style="thick">
        <color auto="1"/>
      </top>
      <bottom style="thick">
        <color auto="1"/>
      </bottom>
      <diagonal/>
    </border>
    <border>
      <left style="medium">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right style="thin">
        <color theme="0" tint="-0.24994659260841701"/>
      </right>
      <top style="thin">
        <color auto="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style="thin">
        <color auto="1"/>
      </top>
      <bottom style="thin">
        <color theme="0" tint="-0.24994659260841701"/>
      </bottom>
      <diagonal/>
    </border>
    <border>
      <left/>
      <right/>
      <top style="thin">
        <color theme="0" tint="-0.24994659260841701"/>
      </top>
      <bottom/>
      <diagonal/>
    </border>
    <border>
      <left/>
      <right style="thin">
        <color theme="0" tint="-0.24994659260841701"/>
      </right>
      <top style="thin">
        <color theme="0" tint="-0.24994659260841701"/>
      </top>
      <bottom style="thin">
        <color auto="1"/>
      </bottom>
      <diagonal/>
    </border>
    <border>
      <left style="medium">
        <color auto="1"/>
      </left>
      <right/>
      <top style="thin">
        <color auto="1"/>
      </top>
      <bottom/>
      <diagonal/>
    </border>
    <border>
      <left style="medium">
        <color auto="1"/>
      </left>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n">
        <color theme="0" tint="-0.24994659260841701"/>
      </right>
      <top style="thin">
        <color theme="0" tint="-0.24994659260841701"/>
      </top>
      <bottom style="thick">
        <color auto="1"/>
      </bottom>
      <diagonal/>
    </border>
    <border>
      <left/>
      <right style="thin">
        <color auto="1"/>
      </right>
      <top/>
      <bottom style="thin">
        <color auto="1"/>
      </bottom>
      <diagonal/>
    </border>
    <border>
      <left/>
      <right style="thick">
        <color auto="1"/>
      </right>
      <top style="thick">
        <color auto="1"/>
      </top>
      <bottom/>
      <diagonal/>
    </border>
    <border>
      <left/>
      <right style="thin">
        <color theme="0" tint="-0.24994659260841701"/>
      </right>
      <top style="thin">
        <color auto="1"/>
      </top>
      <bottom/>
      <diagonal/>
    </border>
    <border>
      <left style="thin">
        <color theme="0" tint="-0.24994659260841701"/>
      </left>
      <right style="thin">
        <color theme="0" tint="-0.24994659260841701"/>
      </right>
      <top style="thin">
        <color auto="1"/>
      </top>
      <bottom/>
      <diagonal/>
    </border>
    <border>
      <left style="thin">
        <color theme="0" tint="-0.24994659260841701"/>
      </left>
      <right style="thick">
        <color auto="1"/>
      </right>
      <top style="thin">
        <color auto="1"/>
      </top>
      <bottom/>
      <diagonal/>
    </border>
    <border>
      <left style="medium">
        <color auto="1"/>
      </left>
      <right/>
      <top/>
      <bottom style="thick">
        <color auto="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right style="thin">
        <color theme="1"/>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theme="0" tint="-0.24994659260841701"/>
      </left>
      <right/>
      <top style="thin">
        <color auto="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right style="thin">
        <color auto="1"/>
      </right>
      <top style="thin">
        <color theme="0" tint="-0.24994659260841701"/>
      </top>
      <bottom/>
      <diagonal/>
    </border>
    <border>
      <left/>
      <right style="thin">
        <color theme="1"/>
      </right>
      <top style="thin">
        <color theme="0" tint="-0.24994659260841701"/>
      </top>
      <bottom/>
      <diagonal/>
    </border>
  </borders>
  <cellStyleXfs count="2">
    <xf numFmtId="0" fontId="0" fillId="0" borderId="0"/>
    <xf numFmtId="43" fontId="11" fillId="0" borderId="0" applyFont="0" applyFill="0" applyBorder="0" applyAlignment="0" applyProtection="0"/>
  </cellStyleXfs>
  <cellXfs count="175">
    <xf numFmtId="0" fontId="0" fillId="0" borderId="0" xfId="0"/>
    <xf numFmtId="0" fontId="3" fillId="0" borderId="0" xfId="0" applyFont="1" applyFill="1"/>
    <xf numFmtId="0" fontId="2" fillId="0" borderId="0" xfId="0" applyFont="1" applyFill="1" applyBorder="1" applyAlignment="1">
      <alignment horizontal="left" vertical="top"/>
    </xf>
    <xf numFmtId="0" fontId="3" fillId="0" borderId="0" xfId="0" applyFont="1" applyFill="1" applyAlignment="1"/>
    <xf numFmtId="0" fontId="3" fillId="0" borderId="0" xfId="0" applyFont="1" applyFill="1" applyBorder="1" applyAlignment="1">
      <alignment horizontal="left" wrapText="1"/>
    </xf>
    <xf numFmtId="0" fontId="3" fillId="0" borderId="0" xfId="0" applyFont="1" applyFill="1" applyAlignment="1">
      <alignment horizontal="left"/>
    </xf>
    <xf numFmtId="3" fontId="3" fillId="0" borderId="0" xfId="0" applyNumberFormat="1" applyFont="1"/>
    <xf numFmtId="3" fontId="1" fillId="0" borderId="0" xfId="0" applyNumberFormat="1" applyFont="1"/>
    <xf numFmtId="0" fontId="1" fillId="0" borderId="0" xfId="0" applyFont="1" applyFill="1"/>
    <xf numFmtId="0" fontId="8" fillId="0" borderId="0" xfId="0" applyFont="1" applyAlignment="1">
      <alignment wrapText="1"/>
    </xf>
    <xf numFmtId="164" fontId="8" fillId="0" borderId="0" xfId="0" applyNumberFormat="1" applyFont="1" applyAlignment="1">
      <alignment wrapText="1"/>
    </xf>
    <xf numFmtId="165" fontId="8" fillId="0" borderId="0" xfId="0" applyNumberFormat="1" applyFont="1" applyAlignment="1">
      <alignment wrapText="1"/>
    </xf>
    <xf numFmtId="3" fontId="8" fillId="0" borderId="0" xfId="0" applyNumberFormat="1" applyFont="1" applyAlignment="1">
      <alignment wrapText="1"/>
    </xf>
    <xf numFmtId="0" fontId="12" fillId="3" borderId="0" xfId="0" applyFont="1" applyFill="1" applyBorder="1" applyAlignment="1">
      <alignment wrapText="1"/>
    </xf>
    <xf numFmtId="0" fontId="3" fillId="0" borderId="0" xfId="0" applyFont="1"/>
    <xf numFmtId="0" fontId="12" fillId="3" borderId="7" xfId="0" applyFont="1" applyFill="1" applyBorder="1" applyAlignment="1">
      <alignment wrapText="1"/>
    </xf>
    <xf numFmtId="0" fontId="12" fillId="3" borderId="0" xfId="0" applyFont="1" applyFill="1" applyAlignment="1">
      <alignment wrapText="1"/>
    </xf>
    <xf numFmtId="0" fontId="13" fillId="3" borderId="0" xfId="0" applyFont="1" applyFill="1"/>
    <xf numFmtId="3" fontId="4" fillId="0" borderId="0" xfId="0" applyNumberFormat="1" applyFont="1" applyAlignment="1">
      <alignment horizontal="right" wrapText="1"/>
    </xf>
    <xf numFmtId="3" fontId="3" fillId="0" borderId="0" xfId="0" applyNumberFormat="1" applyFont="1" applyFill="1" applyAlignment="1">
      <alignment horizontal="right"/>
    </xf>
    <xf numFmtId="0" fontId="4" fillId="0" borderId="0" xfId="0" applyNumberFormat="1" applyFont="1" applyAlignment="1">
      <alignment horizontal="left"/>
    </xf>
    <xf numFmtId="0" fontId="3" fillId="0" borderId="0" xfId="0" applyFont="1" applyFill="1" applyBorder="1"/>
    <xf numFmtId="37" fontId="12" fillId="3" borderId="7" xfId="1" applyNumberFormat="1" applyFont="1" applyFill="1" applyBorder="1" applyAlignment="1">
      <alignment wrapText="1"/>
    </xf>
    <xf numFmtId="37" fontId="3" fillId="0" borderId="0" xfId="1" applyNumberFormat="1" applyFont="1"/>
    <xf numFmtId="0" fontId="1" fillId="0" borderId="0" xfId="0" applyFont="1"/>
    <xf numFmtId="0" fontId="8" fillId="2" borderId="0" xfId="0" applyFont="1" applyFill="1" applyBorder="1" applyProtection="1">
      <protection locked="0"/>
    </xf>
    <xf numFmtId="0" fontId="2" fillId="0" borderId="0" xfId="0" applyFont="1" applyFill="1" applyBorder="1" applyAlignment="1">
      <alignment horizontal="left" vertical="top" wrapText="1"/>
    </xf>
    <xf numFmtId="0" fontId="12" fillId="3" borderId="0" xfId="0" applyFont="1" applyFill="1" applyBorder="1" applyAlignment="1"/>
    <xf numFmtId="3" fontId="12" fillId="3" borderId="0" xfId="0" applyNumberFormat="1" applyFont="1" applyFill="1" applyBorder="1" applyAlignment="1">
      <alignment wrapText="1"/>
    </xf>
    <xf numFmtId="0" fontId="7" fillId="2" borderId="14" xfId="0" applyFont="1" applyFill="1" applyBorder="1" applyProtection="1">
      <protection locked="0"/>
    </xf>
    <xf numFmtId="0" fontId="0" fillId="2" borderId="14" xfId="0" applyFill="1" applyBorder="1" applyProtection="1">
      <protection locked="0"/>
    </xf>
    <xf numFmtId="0" fontId="0" fillId="2" borderId="11" xfId="0" applyFill="1" applyBorder="1" applyProtection="1">
      <protection locked="0"/>
    </xf>
    <xf numFmtId="0" fontId="0" fillId="2" borderId="9" xfId="0" applyFill="1" applyBorder="1" applyProtection="1">
      <protection locked="0"/>
    </xf>
    <xf numFmtId="0" fontId="0" fillId="2" borderId="0" xfId="0" applyFill="1" applyBorder="1" applyProtection="1">
      <protection locked="0"/>
    </xf>
    <xf numFmtId="0" fontId="0" fillId="0" borderId="0" xfId="0" applyProtection="1">
      <protection locked="0"/>
    </xf>
    <xf numFmtId="0" fontId="0" fillId="5" borderId="0" xfId="0" applyFill="1" applyProtection="1">
      <protection locked="0"/>
    </xf>
    <xf numFmtId="0" fontId="0" fillId="2" borderId="16" xfId="0" applyFill="1" applyBorder="1" applyProtection="1">
      <protection locked="0"/>
    </xf>
    <xf numFmtId="0" fontId="2" fillId="0" borderId="3" xfId="0" applyFont="1" applyFill="1" applyBorder="1" applyAlignment="1" applyProtection="1">
      <alignment horizontal="center" vertical="top" wrapText="1"/>
      <protection locked="0"/>
    </xf>
    <xf numFmtId="0" fontId="2" fillId="0" borderId="4" xfId="0" applyFont="1" applyFill="1" applyBorder="1" applyAlignment="1" applyProtection="1">
      <alignment horizontal="center" vertical="top" wrapText="1"/>
      <protection locked="0"/>
    </xf>
    <xf numFmtId="0" fontId="3" fillId="0" borderId="8" xfId="0" applyFont="1" applyFill="1" applyBorder="1" applyAlignment="1" applyProtection="1">
      <alignment horizontal="left" wrapText="1"/>
      <protection locked="0"/>
    </xf>
    <xf numFmtId="3" fontId="3" fillId="5" borderId="0" xfId="0" applyNumberFormat="1" applyFont="1" applyFill="1" applyBorder="1" applyProtection="1">
      <protection locked="0"/>
    </xf>
    <xf numFmtId="3" fontId="1" fillId="5" borderId="0" xfId="0" applyNumberFormat="1" applyFont="1" applyFill="1" applyBorder="1" applyProtection="1">
      <protection locked="0"/>
    </xf>
    <xf numFmtId="0" fontId="3" fillId="5" borderId="2" xfId="0" applyFont="1" applyFill="1" applyBorder="1" applyAlignment="1" applyProtection="1">
      <alignment wrapText="1"/>
      <protection locked="0"/>
    </xf>
    <xf numFmtId="0" fontId="3" fillId="5" borderId="0" xfId="0" applyFont="1" applyFill="1" applyBorder="1" applyAlignment="1" applyProtection="1">
      <alignment wrapText="1"/>
      <protection locked="0"/>
    </xf>
    <xf numFmtId="0" fontId="3" fillId="5" borderId="0" xfId="0" applyFont="1" applyFill="1" applyBorder="1" applyAlignment="1" applyProtection="1">
      <protection locked="0"/>
    </xf>
    <xf numFmtId="0" fontId="0" fillId="5" borderId="0" xfId="0" applyFill="1" applyBorder="1" applyProtection="1">
      <protection locked="0"/>
    </xf>
    <xf numFmtId="0" fontId="0" fillId="5" borderId="23" xfId="0" applyFill="1" applyBorder="1" applyProtection="1">
      <protection locked="0"/>
    </xf>
    <xf numFmtId="0" fontId="7" fillId="2" borderId="30" xfId="0" applyFont="1" applyFill="1" applyBorder="1" applyAlignment="1" applyProtection="1">
      <alignment vertical="center"/>
      <protection locked="0"/>
    </xf>
    <xf numFmtId="0" fontId="1" fillId="0" borderId="31" xfId="0" applyFont="1" applyFill="1" applyBorder="1" applyAlignment="1" applyProtection="1">
      <alignment wrapText="1"/>
      <protection locked="0"/>
    </xf>
    <xf numFmtId="0" fontId="1" fillId="0" borderId="32" xfId="0" applyFont="1" applyFill="1" applyBorder="1" applyAlignment="1" applyProtection="1">
      <alignment wrapText="1"/>
      <protection locked="0"/>
    </xf>
    <xf numFmtId="0" fontId="2" fillId="0" borderId="2" xfId="0" applyFont="1" applyFill="1" applyBorder="1" applyAlignment="1" applyProtection="1">
      <alignment horizontal="center" vertical="top" wrapText="1"/>
      <protection locked="0"/>
    </xf>
    <xf numFmtId="0" fontId="2" fillId="0" borderId="0" xfId="0" applyFont="1" applyFill="1" applyBorder="1" applyAlignment="1" applyProtection="1">
      <alignment horizontal="center" vertical="top" wrapText="1"/>
      <protection locked="0"/>
    </xf>
    <xf numFmtId="0" fontId="3" fillId="0" borderId="0" xfId="0" applyFont="1" applyFill="1" applyBorder="1" applyAlignment="1" applyProtection="1">
      <alignment horizontal="left" wrapText="1"/>
      <protection locked="0"/>
    </xf>
    <xf numFmtId="0" fontId="0" fillId="4" borderId="0" xfId="0" applyFill="1" applyProtection="1">
      <protection locked="0"/>
    </xf>
    <xf numFmtId="0" fontId="3" fillId="5" borderId="38" xfId="0" applyFont="1" applyFill="1" applyBorder="1" applyAlignment="1" applyProtection="1">
      <alignment wrapText="1"/>
      <protection locked="0"/>
    </xf>
    <xf numFmtId="0" fontId="3" fillId="5" borderId="5" xfId="0" applyFont="1" applyFill="1" applyBorder="1" applyAlignment="1" applyProtection="1">
      <alignment wrapText="1"/>
      <protection locked="0"/>
    </xf>
    <xf numFmtId="0" fontId="3" fillId="4" borderId="0" xfId="0" applyFont="1" applyFill="1" applyBorder="1" applyProtection="1">
      <protection locked="0"/>
    </xf>
    <xf numFmtId="0" fontId="1" fillId="4" borderId="0" xfId="0" applyFont="1" applyFill="1" applyBorder="1" applyProtection="1">
      <protection locked="0"/>
    </xf>
    <xf numFmtId="0" fontId="1" fillId="0" borderId="6" xfId="0" applyFont="1" applyFill="1" applyBorder="1" applyAlignment="1" applyProtection="1">
      <alignment wrapText="1"/>
      <protection locked="0"/>
    </xf>
    <xf numFmtId="0" fontId="0" fillId="2" borderId="10" xfId="0" applyFill="1" applyBorder="1" applyProtection="1">
      <protection locked="0"/>
    </xf>
    <xf numFmtId="0" fontId="0" fillId="2" borderId="0" xfId="0" applyFill="1" applyProtection="1">
      <protection locked="0"/>
    </xf>
    <xf numFmtId="3" fontId="3" fillId="5" borderId="24" xfId="0" applyNumberFormat="1" applyFont="1" applyFill="1" applyBorder="1" applyProtection="1"/>
    <xf numFmtId="3" fontId="3" fillId="5" borderId="25" xfId="0" applyNumberFormat="1" applyFont="1" applyFill="1" applyBorder="1" applyProtection="1"/>
    <xf numFmtId="3" fontId="3" fillId="5" borderId="26" xfId="0" applyNumberFormat="1" applyFont="1" applyFill="1" applyBorder="1" applyProtection="1"/>
    <xf numFmtId="3" fontId="3" fillId="5" borderId="27" xfId="0" applyNumberFormat="1" applyFont="1" applyFill="1" applyBorder="1" applyProtection="1"/>
    <xf numFmtId="3" fontId="3" fillId="5" borderId="28" xfId="0" applyNumberFormat="1" applyFont="1" applyFill="1" applyBorder="1" applyProtection="1"/>
    <xf numFmtId="3" fontId="3" fillId="5" borderId="29" xfId="0" applyNumberFormat="1" applyFont="1" applyFill="1" applyBorder="1" applyProtection="1"/>
    <xf numFmtId="0" fontId="8" fillId="5" borderId="19" xfId="0" applyFont="1" applyFill="1" applyBorder="1" applyProtection="1"/>
    <xf numFmtId="3" fontId="8" fillId="5" borderId="20" xfId="0" applyNumberFormat="1" applyFont="1" applyFill="1" applyBorder="1" applyProtection="1"/>
    <xf numFmtId="0" fontId="8" fillId="5" borderId="20" xfId="0" applyFont="1" applyFill="1" applyBorder="1" applyAlignment="1" applyProtection="1">
      <alignment horizontal="center"/>
    </xf>
    <xf numFmtId="0" fontId="8" fillId="5" borderId="21" xfId="0" applyFont="1" applyFill="1" applyBorder="1" applyProtection="1"/>
    <xf numFmtId="3" fontId="8" fillId="5" borderId="22" xfId="0" applyNumberFormat="1" applyFont="1" applyFill="1" applyBorder="1" applyProtection="1"/>
    <xf numFmtId="0" fontId="8" fillId="5" borderId="22" xfId="0" applyFont="1" applyFill="1" applyBorder="1" applyAlignment="1" applyProtection="1">
      <alignment horizontal="center"/>
    </xf>
    <xf numFmtId="0" fontId="3" fillId="5" borderId="35" xfId="0" applyFont="1" applyFill="1" applyBorder="1" applyAlignment="1" applyProtection="1">
      <alignment horizontal="center" wrapText="1"/>
    </xf>
    <xf numFmtId="0" fontId="3" fillId="5" borderId="35" xfId="0" applyFont="1" applyFill="1" applyBorder="1" applyAlignment="1" applyProtection="1">
      <alignment horizontal="left"/>
    </xf>
    <xf numFmtId="0" fontId="0" fillId="5" borderId="33" xfId="0" applyFill="1" applyBorder="1" applyProtection="1"/>
    <xf numFmtId="0" fontId="3" fillId="5" borderId="20" xfId="0" applyFont="1" applyFill="1" applyBorder="1" applyAlignment="1" applyProtection="1">
      <alignment horizontal="center" wrapText="1"/>
    </xf>
    <xf numFmtId="0" fontId="3" fillId="5" borderId="20" xfId="0" applyFont="1" applyFill="1" applyBorder="1" applyAlignment="1" applyProtection="1">
      <alignment horizontal="left"/>
    </xf>
    <xf numFmtId="0" fontId="0" fillId="5" borderId="34" xfId="0" applyFill="1" applyBorder="1" applyProtection="1"/>
    <xf numFmtId="3" fontId="3" fillId="4" borderId="33" xfId="0" applyNumberFormat="1" applyFont="1" applyFill="1" applyBorder="1" applyProtection="1"/>
    <xf numFmtId="3" fontId="3" fillId="4" borderId="24" xfId="0" applyNumberFormat="1" applyFont="1" applyFill="1" applyBorder="1" applyProtection="1"/>
    <xf numFmtId="3" fontId="3" fillId="4" borderId="25" xfId="0" applyNumberFormat="1" applyFont="1" applyFill="1" applyBorder="1" applyProtection="1"/>
    <xf numFmtId="3" fontId="3" fillId="4" borderId="34" xfId="0" applyNumberFormat="1" applyFont="1" applyFill="1" applyBorder="1" applyProtection="1"/>
    <xf numFmtId="3" fontId="3" fillId="4" borderId="26" xfId="0" applyNumberFormat="1" applyFont="1" applyFill="1" applyBorder="1" applyProtection="1"/>
    <xf numFmtId="3" fontId="3" fillId="4" borderId="27" xfId="0" applyNumberFormat="1" applyFont="1" applyFill="1" applyBorder="1" applyProtection="1"/>
    <xf numFmtId="3" fontId="3" fillId="4" borderId="37" xfId="0" applyNumberFormat="1" applyFont="1" applyFill="1" applyBorder="1" applyProtection="1"/>
    <xf numFmtId="3" fontId="3" fillId="4" borderId="28" xfId="0" applyNumberFormat="1" applyFont="1" applyFill="1" applyBorder="1" applyProtection="1"/>
    <xf numFmtId="3" fontId="3" fillId="4" borderId="29" xfId="0" applyNumberFormat="1" applyFont="1" applyFill="1" applyBorder="1" applyProtection="1"/>
    <xf numFmtId="0" fontId="8" fillId="5" borderId="39" xfId="0" applyFont="1" applyFill="1" applyBorder="1" applyProtection="1"/>
    <xf numFmtId="0" fontId="8" fillId="5" borderId="33" xfId="0" applyFont="1" applyFill="1" applyBorder="1" applyAlignment="1" applyProtection="1"/>
    <xf numFmtId="0" fontId="8" fillId="5" borderId="34" xfId="0" applyFont="1" applyFill="1" applyBorder="1" applyAlignment="1" applyProtection="1"/>
    <xf numFmtId="0" fontId="8" fillId="5" borderId="40" xfId="0" applyFont="1" applyFill="1" applyBorder="1" applyProtection="1"/>
    <xf numFmtId="0" fontId="2" fillId="0" borderId="0" xfId="0" applyFont="1" applyAlignment="1">
      <alignment horizontal="left" vertical="top"/>
    </xf>
    <xf numFmtId="0" fontId="12" fillId="3" borderId="0" xfId="0" applyFont="1" applyFill="1" applyBorder="1" applyAlignment="1">
      <alignment horizontal="left" wrapText="1"/>
    </xf>
    <xf numFmtId="0" fontId="1" fillId="5" borderId="17" xfId="0" applyFont="1" applyFill="1" applyBorder="1" applyAlignment="1" applyProtection="1">
      <alignment horizontal="center" wrapText="1"/>
      <protection locked="0"/>
    </xf>
    <xf numFmtId="0" fontId="1" fillId="5" borderId="18" xfId="0" applyFont="1" applyFill="1" applyBorder="1" applyAlignment="1" applyProtection="1">
      <alignment horizontal="center" wrapText="1"/>
      <protection locked="0"/>
    </xf>
    <xf numFmtId="0" fontId="1" fillId="2" borderId="1" xfId="0" applyFont="1" applyFill="1" applyBorder="1" applyAlignment="1" applyProtection="1">
      <alignment horizontal="center" wrapText="1"/>
      <protection locked="0"/>
    </xf>
    <xf numFmtId="0" fontId="1" fillId="2" borderId="0" xfId="0" applyFont="1" applyFill="1" applyBorder="1" applyAlignment="1" applyProtection="1">
      <alignment horizontal="center" wrapText="1"/>
      <protection locked="0"/>
    </xf>
    <xf numFmtId="0" fontId="1" fillId="2" borderId="0" xfId="0" applyFont="1" applyFill="1" applyBorder="1" applyAlignment="1" applyProtection="1">
      <alignment horizontal="left"/>
      <protection locked="0"/>
    </xf>
    <xf numFmtId="0" fontId="1" fillId="2" borderId="1" xfId="0" applyFont="1" applyFill="1" applyBorder="1" applyAlignment="1" applyProtection="1">
      <alignment horizontal="center"/>
      <protection locked="0"/>
    </xf>
    <xf numFmtId="0" fontId="1" fillId="2" borderId="0" xfId="0" applyFont="1" applyFill="1" applyBorder="1" applyAlignment="1" applyProtection="1">
      <alignment horizontal="center"/>
      <protection locked="0"/>
    </xf>
    <xf numFmtId="3" fontId="3" fillId="5" borderId="44" xfId="0" applyNumberFormat="1" applyFont="1" applyFill="1" applyBorder="1" applyProtection="1"/>
    <xf numFmtId="3" fontId="3" fillId="5" borderId="45" xfId="0" applyNumberFormat="1" applyFont="1" applyFill="1" applyBorder="1" applyProtection="1"/>
    <xf numFmtId="3" fontId="3" fillId="5" borderId="46" xfId="0" applyNumberFormat="1" applyFont="1" applyFill="1" applyBorder="1" applyProtection="1"/>
    <xf numFmtId="0" fontId="5" fillId="2" borderId="14" xfId="0" applyFont="1" applyFill="1" applyBorder="1" applyAlignment="1" applyProtection="1">
      <alignment vertical="center" wrapText="1"/>
      <protection locked="0"/>
    </xf>
    <xf numFmtId="0" fontId="0" fillId="2" borderId="43" xfId="0" applyFill="1" applyBorder="1" applyProtection="1">
      <protection locked="0"/>
    </xf>
    <xf numFmtId="0" fontId="7" fillId="2" borderId="47" xfId="0" applyFont="1" applyFill="1" applyBorder="1" applyAlignment="1" applyProtection="1">
      <alignment vertical="center"/>
      <protection locked="0"/>
    </xf>
    <xf numFmtId="0" fontId="3" fillId="2" borderId="15" xfId="0" applyFont="1" applyFill="1" applyBorder="1" applyAlignment="1" applyProtection="1">
      <alignment horizontal="left" wrapText="1"/>
      <protection locked="0"/>
    </xf>
    <xf numFmtId="0" fontId="3" fillId="2" borderId="10" xfId="0" applyFont="1" applyFill="1" applyBorder="1" applyAlignment="1" applyProtection="1">
      <alignment horizontal="left" wrapText="1"/>
      <protection locked="0"/>
    </xf>
    <xf numFmtId="0" fontId="3" fillId="2" borderId="10" xfId="0" applyFont="1" applyFill="1" applyBorder="1" applyProtection="1">
      <protection locked="0"/>
    </xf>
    <xf numFmtId="3" fontId="3" fillId="2" borderId="10" xfId="0" applyNumberFormat="1" applyFont="1" applyFill="1" applyBorder="1" applyProtection="1">
      <protection locked="0"/>
    </xf>
    <xf numFmtId="3" fontId="1" fillId="2" borderId="10" xfId="0" applyNumberFormat="1" applyFont="1" applyFill="1" applyBorder="1" applyProtection="1">
      <protection locked="0"/>
    </xf>
    <xf numFmtId="0" fontId="3" fillId="5" borderId="36" xfId="0" applyFont="1" applyFill="1" applyBorder="1" applyAlignment="1" applyProtection="1">
      <alignment horizontal="center" wrapText="1"/>
    </xf>
    <xf numFmtId="0" fontId="3" fillId="5" borderId="36" xfId="0" applyFont="1" applyFill="1" applyBorder="1" applyAlignment="1" applyProtection="1">
      <alignment horizontal="left"/>
    </xf>
    <xf numFmtId="3" fontId="3" fillId="5" borderId="49" xfId="0" applyNumberFormat="1" applyFont="1" applyFill="1" applyBorder="1" applyProtection="1"/>
    <xf numFmtId="3" fontId="3" fillId="5" borderId="50" xfId="0" applyNumberFormat="1" applyFont="1" applyFill="1" applyBorder="1" applyProtection="1"/>
    <xf numFmtId="0" fontId="2" fillId="2" borderId="15" xfId="0" applyFont="1" applyFill="1" applyBorder="1" applyAlignment="1" applyProtection="1">
      <alignment horizontal="center" vertical="top" wrapText="1"/>
      <protection locked="0"/>
    </xf>
    <xf numFmtId="0" fontId="2" fillId="2" borderId="10" xfId="0" applyFont="1" applyFill="1" applyBorder="1" applyAlignment="1" applyProtection="1">
      <alignment horizontal="center" vertical="top" wrapText="1"/>
      <protection locked="0"/>
    </xf>
    <xf numFmtId="0" fontId="6" fillId="2" borderId="18" xfId="0" applyFont="1" applyFill="1" applyBorder="1" applyAlignment="1" applyProtection="1">
      <alignment horizontal="center" wrapText="1"/>
      <protection locked="0"/>
    </xf>
    <xf numFmtId="3" fontId="9" fillId="2" borderId="20" xfId="0" applyNumberFormat="1" applyFont="1" applyFill="1" applyBorder="1" applyAlignment="1" applyProtection="1">
      <alignment horizontal="center"/>
      <protection locked="0"/>
    </xf>
    <xf numFmtId="3" fontId="9" fillId="2" borderId="22" xfId="0" applyNumberFormat="1" applyFont="1" applyFill="1" applyBorder="1" applyAlignment="1" applyProtection="1">
      <alignment horizontal="center"/>
      <protection locked="0"/>
    </xf>
    <xf numFmtId="0" fontId="0" fillId="5" borderId="35" xfId="0" applyFill="1" applyBorder="1" applyProtection="1"/>
    <xf numFmtId="0" fontId="0" fillId="5" borderId="20" xfId="0" applyFill="1" applyBorder="1" applyProtection="1"/>
    <xf numFmtId="0" fontId="0" fillId="5" borderId="36" xfId="0" applyFill="1" applyBorder="1" applyProtection="1"/>
    <xf numFmtId="0" fontId="0" fillId="5" borderId="41" xfId="0" applyFill="1" applyBorder="1" applyProtection="1"/>
    <xf numFmtId="0" fontId="8" fillId="5" borderId="35" xfId="0" applyFont="1" applyFill="1" applyBorder="1" applyAlignment="1" applyProtection="1"/>
    <xf numFmtId="0" fontId="8" fillId="5" borderId="20" xfId="0" applyFont="1" applyFill="1" applyBorder="1" applyAlignment="1" applyProtection="1"/>
    <xf numFmtId="3" fontId="3" fillId="5" borderId="33" xfId="0" applyNumberFormat="1" applyFont="1" applyFill="1" applyBorder="1" applyProtection="1"/>
    <xf numFmtId="3" fontId="3" fillId="5" borderId="34" xfId="0" applyNumberFormat="1" applyFont="1" applyFill="1" applyBorder="1" applyProtection="1"/>
    <xf numFmtId="3" fontId="3" fillId="5" borderId="37" xfId="0" applyNumberFormat="1" applyFont="1" applyFill="1" applyBorder="1" applyProtection="1"/>
    <xf numFmtId="0" fontId="15" fillId="0" borderId="51" xfId="0" applyFont="1" applyBorder="1" applyAlignment="1">
      <alignment horizontal="center"/>
    </xf>
    <xf numFmtId="0" fontId="15" fillId="0" borderId="52" xfId="0" applyFont="1" applyBorder="1" applyAlignment="1">
      <alignment horizontal="center"/>
    </xf>
    <xf numFmtId="0" fontId="7" fillId="2" borderId="0" xfId="0" applyFont="1" applyFill="1" applyBorder="1" applyProtection="1">
      <protection locked="0"/>
    </xf>
    <xf numFmtId="0" fontId="0" fillId="2" borderId="23" xfId="0" applyFill="1" applyBorder="1" applyProtection="1">
      <protection locked="0"/>
    </xf>
    <xf numFmtId="0" fontId="16" fillId="2" borderId="42" xfId="0" applyFont="1" applyFill="1" applyBorder="1" applyAlignment="1" applyProtection="1">
      <alignment horizontal="center" wrapText="1"/>
      <protection locked="0"/>
    </xf>
    <xf numFmtId="0" fontId="16" fillId="2" borderId="13" xfId="0" applyFont="1" applyFill="1" applyBorder="1" applyAlignment="1" applyProtection="1">
      <alignment horizontal="center" wrapText="1"/>
      <protection locked="0"/>
    </xf>
    <xf numFmtId="3" fontId="3" fillId="2" borderId="0" xfId="0" applyNumberFormat="1" applyFont="1" applyFill="1" applyBorder="1" applyProtection="1">
      <protection locked="0"/>
    </xf>
    <xf numFmtId="0" fontId="5" fillId="2" borderId="0" xfId="0" applyFont="1" applyFill="1" applyBorder="1" applyAlignment="1" applyProtection="1">
      <alignment vertical="center" wrapText="1"/>
      <protection locked="0"/>
    </xf>
    <xf numFmtId="0" fontId="16" fillId="2" borderId="12" xfId="0" applyFont="1" applyFill="1" applyBorder="1" applyAlignment="1" applyProtection="1">
      <alignment horizontal="center" wrapText="1"/>
      <protection locked="0"/>
    </xf>
    <xf numFmtId="0" fontId="15" fillId="2" borderId="10" xfId="0" applyFont="1" applyFill="1" applyBorder="1" applyAlignment="1" applyProtection="1">
      <alignment horizontal="center" wrapText="1"/>
      <protection locked="0"/>
    </xf>
    <xf numFmtId="3" fontId="3" fillId="5" borderId="53" xfId="0" applyNumberFormat="1" applyFont="1" applyFill="1" applyBorder="1" applyProtection="1"/>
    <xf numFmtId="3" fontId="3" fillId="5" borderId="54" xfId="0" applyNumberFormat="1" applyFont="1" applyFill="1" applyBorder="1" applyProtection="1"/>
    <xf numFmtId="3" fontId="3" fillId="5" borderId="55" xfId="0" applyNumberFormat="1" applyFont="1" applyFill="1" applyBorder="1" applyProtection="1"/>
    <xf numFmtId="0" fontId="2" fillId="2" borderId="0" xfId="0" applyFont="1" applyFill="1" applyBorder="1" applyAlignment="1" applyProtection="1">
      <alignment horizontal="center" vertical="top" wrapText="1"/>
      <protection locked="0"/>
    </xf>
    <xf numFmtId="0" fontId="3" fillId="2" borderId="0" xfId="0" applyFont="1" applyFill="1" applyBorder="1" applyAlignment="1" applyProtection="1">
      <alignment horizontal="left"/>
      <protection locked="0"/>
    </xf>
    <xf numFmtId="3" fontId="1" fillId="2" borderId="0" xfId="0" applyNumberFormat="1" applyFont="1" applyFill="1" applyBorder="1" applyProtection="1">
      <protection locked="0"/>
    </xf>
    <xf numFmtId="0" fontId="16" fillId="2" borderId="13" xfId="0" applyFont="1" applyFill="1" applyBorder="1" applyAlignment="1" applyProtection="1">
      <alignment wrapText="1"/>
      <protection locked="0"/>
    </xf>
    <xf numFmtId="0" fontId="12" fillId="2" borderId="7" xfId="0" applyFont="1" applyFill="1" applyBorder="1" applyAlignment="1" applyProtection="1">
      <alignment wrapText="1"/>
      <protection locked="0"/>
    </xf>
    <xf numFmtId="0" fontId="12" fillId="2" borderId="42" xfId="0" applyFont="1" applyFill="1" applyBorder="1" applyAlignment="1" applyProtection="1">
      <alignment wrapText="1"/>
      <protection locked="0"/>
    </xf>
    <xf numFmtId="0" fontId="15" fillId="2" borderId="0" xfId="0" applyFont="1" applyFill="1" applyBorder="1" applyAlignment="1" applyProtection="1">
      <alignment horizontal="center" wrapText="1"/>
      <protection locked="0"/>
    </xf>
    <xf numFmtId="0" fontId="8" fillId="5" borderId="36" xfId="0" applyFont="1" applyFill="1" applyBorder="1" applyAlignment="1" applyProtection="1"/>
    <xf numFmtId="0" fontId="8" fillId="5" borderId="48" xfId="0" applyFont="1" applyFill="1" applyBorder="1" applyAlignment="1" applyProtection="1"/>
    <xf numFmtId="0" fontId="16" fillId="2" borderId="6" xfId="0" applyFont="1" applyFill="1" applyBorder="1" applyAlignment="1" applyProtection="1">
      <alignment wrapText="1"/>
      <protection locked="0"/>
    </xf>
    <xf numFmtId="0" fontId="15" fillId="0" borderId="56" xfId="0" applyFont="1" applyBorder="1" applyAlignment="1">
      <alignment horizontal="center"/>
    </xf>
    <xf numFmtId="0" fontId="3" fillId="5" borderId="5" xfId="0" applyFont="1" applyFill="1" applyBorder="1" applyAlignment="1" applyProtection="1">
      <alignment horizontal="left" wrapText="1"/>
      <protection locked="0"/>
    </xf>
    <xf numFmtId="0" fontId="15" fillId="0" borderId="57" xfId="0" applyFont="1" applyBorder="1" applyAlignment="1">
      <alignment horizontal="center"/>
    </xf>
    <xf numFmtId="0" fontId="3" fillId="5" borderId="38" xfId="0" applyFont="1" applyFill="1" applyBorder="1" applyAlignment="1" applyProtection="1">
      <alignment horizontal="left" wrapText="1"/>
      <protection locked="0"/>
    </xf>
    <xf numFmtId="0" fontId="13" fillId="0" borderId="0" xfId="0" applyFont="1" applyProtection="1">
      <protection locked="0"/>
    </xf>
    <xf numFmtId="0" fontId="0" fillId="2" borderId="0" xfId="0" applyFill="1"/>
    <xf numFmtId="0" fontId="14" fillId="6" borderId="0" xfId="0" applyFont="1" applyFill="1"/>
    <xf numFmtId="0" fontId="0" fillId="6" borderId="0" xfId="0" applyFill="1"/>
    <xf numFmtId="167" fontId="12" fillId="3" borderId="0" xfId="0" applyNumberFormat="1" applyFont="1" applyFill="1" applyBorder="1" applyAlignment="1">
      <alignment horizontal="left" wrapText="1"/>
    </xf>
    <xf numFmtId="167" fontId="3" fillId="0" borderId="0" xfId="0" applyNumberFormat="1" applyFont="1" applyFill="1" applyAlignment="1">
      <alignment horizontal="left"/>
    </xf>
    <xf numFmtId="167" fontId="2" fillId="0" borderId="0" xfId="0" applyNumberFormat="1" applyFont="1" applyFill="1" applyBorder="1" applyAlignment="1">
      <alignment horizontal="left" vertical="top" wrapText="1"/>
    </xf>
    <xf numFmtId="166" fontId="12" fillId="3" borderId="0" xfId="0" applyNumberFormat="1" applyFont="1" applyFill="1" applyBorder="1" applyAlignment="1">
      <alignment horizontal="left" wrapText="1"/>
    </xf>
    <xf numFmtId="166" fontId="3" fillId="0" borderId="0" xfId="0" applyNumberFormat="1" applyFont="1" applyFill="1" applyAlignment="1">
      <alignment horizontal="left"/>
    </xf>
    <xf numFmtId="166" fontId="2" fillId="0" borderId="0" xfId="0" applyNumberFormat="1" applyFont="1" applyFill="1" applyBorder="1" applyAlignment="1">
      <alignment horizontal="left" vertical="top" wrapText="1"/>
    </xf>
    <xf numFmtId="167" fontId="12" fillId="3" borderId="7" xfId="0" applyNumberFormat="1" applyFont="1" applyFill="1" applyBorder="1" applyAlignment="1">
      <alignment horizontal="left" wrapText="1"/>
    </xf>
    <xf numFmtId="166" fontId="12" fillId="3" borderId="7" xfId="0" applyNumberFormat="1" applyFont="1" applyFill="1" applyBorder="1" applyAlignment="1">
      <alignment horizontal="left" wrapText="1"/>
    </xf>
    <xf numFmtId="167" fontId="3" fillId="0" borderId="0" xfId="0" applyNumberFormat="1" applyFont="1" applyAlignment="1">
      <alignment horizontal="left"/>
    </xf>
    <xf numFmtId="166" fontId="3" fillId="0" borderId="0" xfId="0" applyNumberFormat="1" applyFont="1" applyAlignment="1">
      <alignment horizontal="left"/>
    </xf>
    <xf numFmtId="169" fontId="12" fillId="3" borderId="0" xfId="1" applyNumberFormat="1" applyFont="1" applyFill="1" applyBorder="1" applyAlignment="1">
      <alignment wrapText="1"/>
    </xf>
    <xf numFmtId="169" fontId="3" fillId="0" borderId="0" xfId="1" applyNumberFormat="1" applyFont="1"/>
    <xf numFmtId="169" fontId="3" fillId="0" borderId="0" xfId="1" applyNumberFormat="1" applyFont="1" applyFill="1"/>
    <xf numFmtId="169" fontId="0" fillId="0" borderId="0" xfId="1" applyNumberFormat="1" applyFont="1"/>
  </cellXfs>
  <cellStyles count="2">
    <cellStyle name="Comma" xfId="1" builtinId="3"/>
    <cellStyle name="Normal" xfId="0" builtinId="0"/>
  </cellStyles>
  <dxfs count="69">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family val="2"/>
        <scheme val="none"/>
      </font>
      <alignment horizontal="center" vertical="bottom" textRotation="0" wrapText="0" indent="0" justifyLastLine="0" shrinkToFit="0" readingOrder="0"/>
      <border diagonalUp="0" diagonalDown="0">
        <left/>
        <right style="thin">
          <color auto="1"/>
        </right>
        <top style="thin">
          <color theme="0" tint="-0.24994659260841701"/>
        </top>
        <bottom style="thin">
          <color theme="0" tint="-0.24994659260841701"/>
        </bottom>
        <vertical/>
        <horizontal/>
      </border>
    </dxf>
    <dxf>
      <border outline="0">
        <right style="thick">
          <color auto="1"/>
        </right>
        <top style="thick">
          <color auto="1"/>
        </top>
      </border>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alignment horizontal="left"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family val="2"/>
        <scheme val="none"/>
      </font>
      <alignment horizontal="center" vertical="bottom" textRotation="0" wrapText="0" indent="0" justifyLastLine="0" shrinkToFit="0" readingOrder="0"/>
      <border diagonalUp="0" diagonalDown="0">
        <left/>
        <right style="thin">
          <color theme="1"/>
        </right>
        <top style="thin">
          <color theme="0" tint="-0.24994659260841701"/>
        </top>
        <bottom style="thin">
          <color theme="0" tint="-0.24994659260841701"/>
        </bottom>
        <vertical/>
        <horizontal/>
      </border>
    </dxf>
    <dxf>
      <border outline="0">
        <right style="thick">
          <color auto="1"/>
        </right>
        <top style="thick">
          <color auto="1"/>
        </top>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auto="1"/>
        </top>
        <bottom/>
        <vertical/>
        <horizontal/>
      </border>
      <protection locked="1" hidden="0"/>
    </dxf>
    <dxf>
      <border outline="0">
        <top style="thin">
          <color auto="1"/>
        </top>
      </border>
    </dxf>
    <dxf>
      <border outline="0">
        <left style="thick">
          <color auto="1"/>
        </left>
        <right style="thick">
          <color auto="1"/>
        </right>
        <top style="thick">
          <color auto="1"/>
        </top>
        <bottom style="thick">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protection locked="0" hidden="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8"/>
      <tableStyleElement type="headerRow" dxfId="67"/>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Drop" dropLines="115" dropStyle="combo" dx="31" fmlaLink="$Z$4" fmlaRange="$Z$2:$Z$3" sel="1" val="0"/>
</file>

<file path=xl/ctrlProps/ctrlProp2.xml><?xml version="1.0" encoding="utf-8"?>
<formControlPr xmlns="http://schemas.microsoft.com/office/spreadsheetml/2009/9/main" objectType="Drop" dropLines="115" dropStyle="combo" dx="31" fmlaLink="$W$4" fmlaRange="$W$2:$W$3"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31" fmlaLink="$N$4" fmlaRange="$N$2:$N$3" noThreeD="1" sel="1" val="0"/>
</file>

<file path=xl/drawings/drawing1.xml><?xml version="1.0" encoding="utf-8"?>
<xdr:wsDr xmlns:xdr="http://schemas.openxmlformats.org/drawingml/2006/spreadsheetDrawing" xmlns:a="http://schemas.openxmlformats.org/drawingml/2006/main">
  <xdr:twoCellAnchor>
    <xdr:from>
      <xdr:col>0</xdr:col>
      <xdr:colOff>69850</xdr:colOff>
      <xdr:row>0</xdr:row>
      <xdr:rowOff>57150</xdr:rowOff>
    </xdr:from>
    <xdr:to>
      <xdr:col>13</xdr:col>
      <xdr:colOff>63500</xdr:colOff>
      <xdr:row>11</xdr:row>
      <xdr:rowOff>133350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9850" y="215900"/>
          <a:ext cx="8001000" cy="182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95250</xdr:colOff>
      <xdr:row>12</xdr:row>
      <xdr:rowOff>114300</xdr:rowOff>
    </xdr:from>
    <xdr:to>
      <xdr:col>13</xdr:col>
      <xdr:colOff>38100</xdr:colOff>
      <xdr:row>27</xdr:row>
      <xdr:rowOff>63500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95250" y="2019300"/>
          <a:ext cx="7950200" cy="2330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In many cases stations are reported by</a:t>
          </a:r>
          <a:r>
            <a:rPr lang="en-US" sz="1100" baseline="0"/>
            <a:t> each mode and type of service that uses them. For example, a single station used by bus - directly operated, bus - purchased transportation, and commuter bus - directly operated would be reported three times. For more detail please see the NTD Policy Manual.</a:t>
          </a:r>
        </a:p>
        <a:p>
          <a:endParaRPr lang="en-US" sz="1100" baseline="0"/>
        </a:p>
        <a:p>
          <a:r>
            <a:rPr lang="en-US" sz="1100" baseline="0"/>
            <a:t>Rural reporters do not report passenger stations and are not included in this file. Modes Demand Response, Demand Response - Taxi, Vanpool, Jitney, and Publico also do not report stations and are also excluded.</a:t>
          </a:r>
        </a:p>
        <a:p>
          <a:endParaRPr lang="en-US" sz="1100" baseline="0"/>
        </a:p>
        <a:p>
          <a:r>
            <a:rPr lang="en-US" sz="1100" baseline="0">
              <a:solidFill>
                <a:schemeClr val="dk1"/>
              </a:solidFill>
              <a:effectLst/>
              <a:latin typeface="+mn-lt"/>
              <a:ea typeface="+mn-ea"/>
              <a:cs typeface="+mn-cs"/>
            </a:rPr>
            <a:t>In versions of the data tables from before 2014, you can find data on stations in the file called "Passenger Stations."</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161925</xdr:colOff>
          <xdr:row>0</xdr:row>
          <xdr:rowOff>133350</xdr:rowOff>
        </xdr:from>
        <xdr:to>
          <xdr:col>25</xdr:col>
          <xdr:colOff>0</xdr:colOff>
          <xdr:row>0</xdr:row>
          <xdr:rowOff>361950</xdr:rowOff>
        </xdr:to>
        <xdr:sp macro="" textlink="">
          <xdr:nvSpPr>
            <xdr:cNvPr id="1048" name="Drop Down 24" descr="This drop-down menu shows or hides columns indicating the presence of &quot;questionable&quot; data." hidden="1">
              <a:extLst>
                <a:ext uri="{63B3BB69-23CF-44E3-9099-C40C66FF867C}">
                  <a14:compatExt spid="_x0000_s1048"/>
                </a:ext>
                <a:ext uri="{FF2B5EF4-FFF2-40B4-BE49-F238E27FC236}">
                  <a16:creationId xmlns:a16="http://schemas.microsoft.com/office/drawing/2014/main" id="{00000000-0008-0000-02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142875</xdr:colOff>
          <xdr:row>0</xdr:row>
          <xdr:rowOff>238125</xdr:rowOff>
        </xdr:from>
        <xdr:to>
          <xdr:col>22</xdr:col>
          <xdr:colOff>0</xdr:colOff>
          <xdr:row>0</xdr:row>
          <xdr:rowOff>485775</xdr:rowOff>
        </xdr:to>
        <xdr:sp macro="" textlink="">
          <xdr:nvSpPr>
            <xdr:cNvPr id="3092" name="Drop Down 20" descr="This drop-down menu shows or hides columns indicating the presence of &quot;questionable&quot; data."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15</xdr:row>
          <xdr:rowOff>9525</xdr:rowOff>
        </xdr:from>
        <xdr:to>
          <xdr:col>4</xdr:col>
          <xdr:colOff>0</xdr:colOff>
          <xdr:row>16</xdr:row>
          <xdr:rowOff>142875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56</xdr:row>
          <xdr:rowOff>9525</xdr:rowOff>
        </xdr:from>
        <xdr:to>
          <xdr:col>4</xdr:col>
          <xdr:colOff>0</xdr:colOff>
          <xdr:row>57</xdr:row>
          <xdr:rowOff>123825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1</xdr:row>
          <xdr:rowOff>104775</xdr:rowOff>
        </xdr:from>
        <xdr:to>
          <xdr:col>3</xdr:col>
          <xdr:colOff>381000</xdr:colOff>
          <xdr:row>1</xdr:row>
          <xdr:rowOff>419100</xdr:rowOff>
        </xdr:to>
        <xdr:sp macro="" textlink="">
          <xdr:nvSpPr>
            <xdr:cNvPr id="2051" name="Drop Down 3" descr="This drop-down menu includes or excludes &quot;questionable&quot; data from the calculated totals."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F2:K3" totalsRowShown="0" headerRowDxfId="66" dataDxfId="64" headerRowBorderDxfId="65" tableBorderDxfId="63" totalsRowBorderDxfId="62">
  <autoFilter ref="F2:K3" xr:uid="{00000000-0009-0000-0100-000001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VOMS" dataDxfId="61">
      <calculatedColumnFormula>IF($N$1,SUMIFS(Stations!L:L,Stations!$W:$W,"=No"),SUM(Stations!L:L))</calculatedColumnFormula>
    </tableColumn>
    <tableColumn id="2" xr3:uid="{00000000-0010-0000-0000-000002000000}" name="ADA Accessible" dataDxfId="60">
      <calculatedColumnFormula>IF($N$1,SUMIFS(Stations!M:M,Stations!$W:$W,"=No"),SUM(Stations!M:M))</calculatedColumnFormula>
    </tableColumn>
    <tableColumn id="3" xr3:uid="{00000000-0010-0000-0000-000003000000}" name="Non-ADA Accessible" dataDxfId="59">
      <calculatedColumnFormula>IF($N$1,SUMIFS(Stations!O:O,Stations!$W:$W,"=No"),SUM(Stations!O:O))</calculatedColumnFormula>
    </tableColumn>
    <tableColumn id="4" xr3:uid="{00000000-0010-0000-0000-000004000000}" name="Total Stations" dataDxfId="58">
      <calculatedColumnFormula>IF($N$1,SUMIFS(Stations!Q:Q,Stations!$W:$W,"=No"),SUM(Stations!Q:Q))</calculatedColumnFormula>
    </tableColumn>
    <tableColumn id="5" xr3:uid="{00000000-0010-0000-0000-000005000000}" name="Elevators" dataDxfId="57">
      <calculatedColumnFormula>IF($N$1,SUMIFS(Stations!S:S,Stations!$W:$W,"=No"),SUM(Stations!S:S))</calculatedColumnFormula>
    </tableColumn>
    <tableColumn id="6" xr3:uid="{00000000-0010-0000-0000-000006000000}" name="Escalators" dataDxfId="56">
      <calculatedColumnFormula>IF($N$1,SUMIFS(Stations!U:U,Stations!$W:$W,"=No"),SUM(Stations!U:U))</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6:K15" totalsRowShown="0" headerRowDxfId="55" dataDxfId="54" tableBorderDxfId="53">
  <autoFilter ref="E6:K15" xr:uid="{00000000-0009-0000-0100-000002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100-000001000000}" name="Column1" dataDxfId="52">
      <calculatedColumnFormula>IFERROR(IF(A7="between",A7&amp;" "&amp;FIXED(B7,0,0)&amp;" "&amp;C7&amp;" "&amp;FIXED(D7,0,0),A7&amp;" "&amp;FIXED(B7,0,0)),"invalid bin")</calculatedColumnFormula>
    </tableColumn>
    <tableColumn id="2" xr3:uid="{00000000-0010-0000-0100-000002000000}" name="VOMS" dataDxfId="51">
      <calculatedColumnFormula>IF($N$1,IF($A7="","",IF($A7="between",SUMIFS(Stations!L:L,Stations!$H:$H,"&gt;="&amp;$B7,Stations!$H:$H,"&lt;"&amp;$D7,Stations!$W:$W,"=No"),SUMIFS(Stations!L:L,Stations!$H:$H,"&gt;="&amp;$B7,Stations!$W:$W,"=No"))),IF($A7="","",IF($A7="between",SUMIFS(Stations!L:L,Stations!$H:$H,"&gt;="&amp;$B7,Stations!$H:$H,"&lt;"&amp;$D7),SUMIFS(Stations!L:L,Stations!$H:$H,"&gt;="&amp;$B7))))</calculatedColumnFormula>
    </tableColumn>
    <tableColumn id="3" xr3:uid="{00000000-0010-0000-0100-000003000000}" name="ADA Accessible" dataDxfId="50">
      <calculatedColumnFormula>IF($N$1,IF($A7="","",IF($A7="between",SUMIFS(Stations!M:M,Stations!$H:$H,"&gt;="&amp;$B7,Stations!$H:$H,"&lt;"&amp;$D7,Stations!$W:$W,"=No"),SUMIFS(Stations!M:M,Stations!$H:$H,"&gt;="&amp;$B7,Stations!$W:$W,"=No"))),IF($A7="","",IF($A7="between",SUMIFS(Stations!M:M,Stations!$H:$H,"&gt;="&amp;$B7,Stations!$H:$H,"&lt;"&amp;$D7),SUMIFS(Stations!M:M,Stations!$H:$H,"&gt;="&amp;$B7))))</calculatedColumnFormula>
    </tableColumn>
    <tableColumn id="4" xr3:uid="{00000000-0010-0000-0100-000004000000}" name="Non-ADA Accessible" dataDxfId="49">
      <calculatedColumnFormula>IF($N$1,IF($A7="","",IF($A7="between",SUMIFS(Stations!O:O,Stations!$H:$H,"&gt;="&amp;$B7,Stations!$H:$H,"&lt;"&amp;$D7,Stations!$W:$W,"=No"),SUMIFS(Stations!O:O,Stations!$H:$H,"&gt;="&amp;$B7,Stations!$W:$W,"=No"))),IF($A7="","",IF($A7="between",SUMIFS(Stations!O:O,Stations!$H:$H,"&gt;="&amp;$B7,Stations!$H:$H,"&lt;"&amp;$D7),SUMIFS(Stations!O:O,Stations!$H:$H,"&gt;="&amp;$B7))))</calculatedColumnFormula>
    </tableColumn>
    <tableColumn id="5" xr3:uid="{00000000-0010-0000-0100-000005000000}" name="Total Stations" dataDxfId="48">
      <calculatedColumnFormula>IF($N$1,IF($A7="","",IF($A7="between",SUMIFS(Stations!Q:Q,Stations!$H:$H,"&gt;="&amp;$B7,Stations!$H:$H,"&lt;"&amp;$D7,Stations!$W:$W,"=No"),SUMIFS(Stations!Q:Q,Stations!$H:$H,"&gt;="&amp;$B7,Stations!$W:$W,"=No"))),IF($A7="","",IF($A7="between",SUMIFS(Stations!Q:Q,Stations!$H:$H,"&gt;="&amp;$B7,Stations!$H:$H,"&lt;"&amp;$D7),SUMIFS(Stations!Q:Q,Stations!$H:$H,"&gt;="&amp;$B7))))</calculatedColumnFormula>
    </tableColumn>
    <tableColumn id="6" xr3:uid="{00000000-0010-0000-0100-000006000000}" name="Elevators" dataDxfId="47">
      <calculatedColumnFormula>IF($N$1,IF($A7="","",IF($A7="between",SUMIFS(Stations!S:S,Stations!$H:$H,"&gt;="&amp;$B7,Stations!$H:$H,"&lt;"&amp;$D7,Stations!$W:$W,"=No"),SUMIFS(Stations!S:S,Stations!$H:$H,"&gt;="&amp;$B7,Stations!$W:$W,"=No"))),IF($A7="","",IF($A7="between",SUMIFS(Stations!S:S,Stations!$H:$H,"&gt;="&amp;$B7,Stations!$H:$H,"&lt;"&amp;$D7),SUMIFS(Stations!S:S,Stations!$H:$H,"&gt;="&amp;$B7))))</calculatedColumnFormula>
    </tableColumn>
    <tableColumn id="7" xr3:uid="{00000000-0010-0000-0100-000007000000}" name="Escalators" dataDxfId="46">
      <calculatedColumnFormula>IF($N$1,IF($A7="","",IF($A7="between",SUMIFS(Stations!U:U,Stations!$H:$H,"&gt;="&amp;$B7,Stations!$H:$H,"&lt;"&amp;$D7,Stations!$W:$W,"=No"),SUMIFS(Stations!U:U,Stations!$H:$H,"&gt;="&amp;$B7,Stations!$W:$W,"=No"))),IF($A7="","",IF($A7="between",SUMIFS(Stations!U:U,Stations!$H:$H,"&gt;="&amp;$B7,Stations!$H:$H,"&lt;"&amp;$D7),SUMIFS(Stations!U:U,Stations!$H:$H,"&gt;="&amp;$B7))))</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alter the content of this table to include or exclude questionable data using the accessible control panel. You can edit the population size bins used to generate the table by entering new values in cells D7 to D15."/>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20:K44" totalsRowShown="0" headerRowDxfId="45" dataDxfId="43" headerRowBorderDxfId="44" tableBorderDxfId="42">
  <autoFilter ref="C20:K44"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200-000001000000}" name="Description" dataDxfId="41"/>
    <tableColumn id="2" xr3:uid="{00000000-0010-0000-0200-000002000000}" name="Column1" dataDxfId="40"/>
    <tableColumn id="3" xr3:uid="{00000000-0010-0000-0200-000003000000}" name="Column2" dataDxfId="39"/>
    <tableColumn id="4" xr3:uid="{00000000-0010-0000-0200-000004000000}" name="VOMS" dataDxfId="38">
      <calculatedColumnFormula>IF($N$1,SUMIFS(Stations!L:L,Stations!$J:$J,"="&amp;$A21,Stations!$K:$K,"="&amp;$B21,Stations!$W:$W,"=No"),SUMIFS(Stations!L:L,Stations!$J:$J,"="&amp;$A21,Stations!$K:$K,"="&amp;$B21))</calculatedColumnFormula>
    </tableColumn>
    <tableColumn id="5" xr3:uid="{00000000-0010-0000-0200-000005000000}" name="ADA Accessible" dataDxfId="37">
      <calculatedColumnFormula>IF($N$1,SUMIFS(Stations!M:M,Stations!$J:$J,"="&amp;$A21,Stations!$K:$K,"="&amp;$B21,Stations!$W:$W,"=No"),SUMIFS(Stations!M:M,Stations!$J:$J,"="&amp;$A21,Stations!$K:$K,"="&amp;$B21))</calculatedColumnFormula>
    </tableColumn>
    <tableColumn id="6" xr3:uid="{00000000-0010-0000-0200-000006000000}" name="Non-ADA Accessible" dataDxfId="36">
      <calculatedColumnFormula>IF($N$1,SUMIFS(Stations!O:O,Stations!$J:$J,"="&amp;$A21,Stations!$K:$K,"="&amp;$B21,Stations!$W:$W,"=No"),SUMIFS(Stations!O:O,Stations!$J:$J,"="&amp;$A21,Stations!$K:$K,"="&amp;$B21))</calculatedColumnFormula>
    </tableColumn>
    <tableColumn id="7" xr3:uid="{00000000-0010-0000-0200-000007000000}" name="Total Stations" dataDxfId="35">
      <calculatedColumnFormula>IF($N$1,SUMIFS(Stations!Q:Q,Stations!$J:$J,"="&amp;$A21,Stations!$K:$K,"="&amp;$B21,Stations!$W:$W,"=No"),SUMIFS(Stations!Q:Q,Stations!$J:$J,"="&amp;$A21,Stations!$K:$K,"="&amp;$B21))</calculatedColumnFormula>
    </tableColumn>
    <tableColumn id="8" xr3:uid="{00000000-0010-0000-0200-000008000000}" name="Elevators" dataDxfId="34">
      <calculatedColumnFormula>IF($N$1,SUMIFS(Stations!S:S,Stations!$J:$J,"="&amp;$A21,Stations!$K:$K,"="&amp;$B21,Stations!$W:$W,"=No"),SUMIFS(Stations!S:S,Stations!$J:$J,"="&amp;$A21,Stations!$K:$K,"="&amp;$B21))</calculatedColumnFormula>
    </tableColumn>
    <tableColumn id="9" xr3:uid="{00000000-0010-0000-0200-000009000000}" name="Escalators" dataDxfId="33">
      <calculatedColumnFormula>IF($N$1,SUMIFS(Stations!U:U,Stations!$J:$J,"="&amp;$A21,Stations!$K:$K,"="&amp;$B21,Stations!$W:$W,"=No"),SUMIFS(Stations!U:U,Stations!$J:$J,"="&amp;$A21,Stations!$K:$K,"="&amp;$B21))</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47:K56" totalsRowShown="0" headerRowDxfId="32" dataDxfId="31" tableBorderDxfId="30">
  <autoFilter ref="E47:K56" xr:uid="{00000000-0009-0000-0100-000004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300-000001000000}" name="Column1" dataDxfId="29">
      <calculatedColumnFormula>IFERROR(IF(A48="between",A48&amp;" "&amp;FIXED(B48,0,0)&amp;" "&amp;C48&amp;" "&amp;FIXED(D48,0,0),A48&amp;" "&amp;FIXED(B48,0,0)),"invalid bin")</calculatedColumnFormula>
    </tableColumn>
    <tableColumn id="2" xr3:uid="{00000000-0010-0000-0300-000002000000}" name="VOMS" dataDxfId="28">
      <calculatedColumnFormula>IF($N$1,IF($A48="","",IF($A48="between",SUMIFS(Stations!L:L,Stations!$I:$I,"&gt;="&amp;$B48,Stations!$I:$I,"&lt;"&amp;$D48,Stations!$W:$W,"=No"),SUMIFS(Stations!L:L,Stations!$I:$I,"&gt;="&amp;$B48,Stations!$W:$W,"=No"))),IF($A48="","",IF($A48="between",SUMIFS(Stations!L:L,Stations!$I:$I,"&gt;="&amp;$B48,Stations!$I:$I,"&lt;"&amp;$D48),SUMIFS(Stations!L:L,Stations!$I:$I,"&gt;="&amp;$B48))))</calculatedColumnFormula>
    </tableColumn>
    <tableColumn id="3" xr3:uid="{00000000-0010-0000-0300-000003000000}" name="ADA Accessible" dataDxfId="27">
      <calculatedColumnFormula>IF($N$1,IF($A48="","",IF($A48="between",SUMIFS(Stations!M:M,Stations!$I:$I,"&gt;="&amp;$B48,Stations!$I:$I,"&lt;"&amp;$D48,Stations!$W:$W,"=No"),SUMIFS(Stations!M:M,Stations!$I:$I,"&gt;="&amp;$B48,Stations!$W:$W,"=No"))),IF($A48="","",IF($A48="between",SUMIFS(Stations!M:M,Stations!$I:$I,"&gt;="&amp;$B48,Stations!$I:$I,"&lt;"&amp;$D48),SUMIFS(Stations!M:M,Stations!$I:$I,"&gt;="&amp;$B48))))</calculatedColumnFormula>
    </tableColumn>
    <tableColumn id="4" xr3:uid="{00000000-0010-0000-0300-000004000000}" name="Non-ADA Accessible" dataDxfId="26">
      <calculatedColumnFormula>IF($N$1,IF($A48="","",IF($A48="between",SUMIFS(Stations!O:O,Stations!$I:$I,"&gt;="&amp;$B48,Stations!$I:$I,"&lt;"&amp;$D48,Stations!$W:$W,"=No"),SUMIFS(Stations!O:O,Stations!$I:$I,"&gt;="&amp;$B48,Stations!$W:$W,"=No"))),IF($A48="","",IF($A48="between",SUMIFS(Stations!O:O,Stations!$I:$I,"&gt;="&amp;$B48,Stations!$I:$I,"&lt;"&amp;$D48),SUMIFS(Stations!O:O,Stations!$I:$I,"&gt;="&amp;$B48))))</calculatedColumnFormula>
    </tableColumn>
    <tableColumn id="5" xr3:uid="{00000000-0010-0000-0300-000005000000}" name="Total Stations" dataDxfId="25">
      <calculatedColumnFormula>IF($N$1,IF($A48="","",IF($A48="between",SUMIFS(Stations!Q:Q,Stations!$I:$I,"&gt;="&amp;$B48,Stations!$I:$I,"&lt;"&amp;$D48,Stations!$W:$W,"=No"),SUMIFS(Stations!Q:Q,Stations!$I:$I,"&gt;="&amp;$B48,Stations!$W:$W,"=No"))),IF($A48="","",IF($A48="between",SUMIFS(Stations!Q:Q,Stations!$I:$I,"&gt;="&amp;$B48,Stations!$I:$I,"&lt;"&amp;$D48),SUMIFS(Stations!Q:Q,Stations!$I:$I,"&gt;="&amp;$B48))))</calculatedColumnFormula>
    </tableColumn>
    <tableColumn id="6" xr3:uid="{00000000-0010-0000-0300-000006000000}" name="Elevators" dataDxfId="24">
      <calculatedColumnFormula>IF($N$1,IF($A48="","",IF($A48="between",SUMIFS(Stations!S:S,Stations!$I:$I,"&gt;="&amp;$B48,Stations!$I:$I,"&lt;"&amp;$D48,Stations!$W:$W,"=No"),SUMIFS(Stations!S:S,Stations!$I:$I,"&gt;="&amp;$B48,Stations!$W:$W,"=No"))),IF($A48="","",IF($A48="between",SUMIFS(Stations!S:S,Stations!$I:$I,"&gt;="&amp;$B48,Stations!$I:$I,"&lt;"&amp;$D48),SUMIFS(Stations!S:S,Stations!$I:$I,"&gt;="&amp;$B48))))</calculatedColumnFormula>
    </tableColumn>
    <tableColumn id="7" xr3:uid="{00000000-0010-0000-0300-000007000000}" name="Escalators" dataDxfId="23">
      <calculatedColumnFormula>IF($N$1,IF($A48="","",IF($A48="between",SUMIFS(Stations!U:U,Stations!$I:$I,"&gt;="&amp;$B48,Stations!$I:$I,"&lt;"&amp;$D48,Stations!$W:$W,"=No"),SUMIFS(Stations!U:U,Stations!$I:$I,"&gt;="&amp;$B48,Stations!$W:$W,"=No"))),IF($A48="","",IF($A48="between",SUMIFS(Stations!U:U,Stations!$I:$I,"&gt;="&amp;$B48,Stations!$I:$I,"&lt;"&amp;$D48),SUMIFS(Stations!U:U,Stations!$I:$I,"&gt;="&amp;$B48))))</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alter the content of this table to include or exclude questionable data using the accessible control panel. You can edit the agency size bins used to generate the table by entering new values in cells D48 to D56."/>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D60:K116" totalsRowShown="0" headerRowDxfId="22" dataDxfId="20" headerRowBorderDxfId="21" tableBorderDxfId="19">
  <autoFilter ref="D60:K116"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0000000-0010-0000-0400-000001000000}" name="State" dataDxfId="18"/>
    <tableColumn id="2" xr3:uid="{00000000-0010-0000-0400-000002000000}" name="Column1" dataDxfId="17"/>
    <tableColumn id="3" xr3:uid="{00000000-0010-0000-0400-000003000000}" name="VOMS" dataDxfId="16">
      <calculatedColumnFormula>IF($N$1,SUMIFS(Stations!L:L,Stations!$C:$C,"="&amp;$C61,Stations!$W:$W,"=No"),SUMIFS(Stations!L:L,Stations!$C:$C,"="&amp;$C61))</calculatedColumnFormula>
    </tableColumn>
    <tableColumn id="4" xr3:uid="{00000000-0010-0000-0400-000004000000}" name="ADA Accessible" dataDxfId="15">
      <calculatedColumnFormula>IF($N$1,SUMIFS(Stations!M:M,Stations!$C:$C,"="&amp;$C61,Stations!$W:$W,"=No"),SUMIFS(Stations!M:M,Stations!$C:$C,"="&amp;$C61))</calculatedColumnFormula>
    </tableColumn>
    <tableColumn id="5" xr3:uid="{00000000-0010-0000-0400-000005000000}" name="Non-ADA Accessible" dataDxfId="14">
      <calculatedColumnFormula>IF($N$1,SUMIFS(Stations!O:O,Stations!$C:$C,"="&amp;$C61,Stations!$W:$W,"=No"),SUMIFS(Stations!O:O,Stations!$C:$C,"="&amp;$C61))</calculatedColumnFormula>
    </tableColumn>
    <tableColumn id="6" xr3:uid="{00000000-0010-0000-0400-000006000000}" name="Total Stations" dataDxfId="13">
      <calculatedColumnFormula>IF($N$1,SUMIFS(Stations!Q:Q,Stations!$C:$C,"="&amp;$C61,Stations!$W:$W,"=No"),SUMIFS(Stations!Q:Q,Stations!$C:$C,"="&amp;$C61))</calculatedColumnFormula>
    </tableColumn>
    <tableColumn id="7" xr3:uid="{00000000-0010-0000-0400-000007000000}" name="Elevators" dataDxfId="12">
      <calculatedColumnFormula>IF($N$1,SUMIFS(Stations!S:S,Stations!$C:$C,"="&amp;$C61,Stations!$W:$W,"=No"),SUMIFS(Stations!S:S,Stations!$C:$C,"="&amp;$C61))</calculatedColumnFormula>
    </tableColumn>
    <tableColumn id="8" xr3:uid="{00000000-0010-0000-0400-000008000000}" name="Escalators" dataDxfId="11">
      <calculatedColumnFormula>IF($N$1,SUMIFS(Stations!U:U,Stations!$C:$C,"="&amp;$C61,Stations!$W:$W,"=No"),SUMIFS(Stations!U:U,Stations!$C:$C,"="&amp;$C61))</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using the accessible control panel."/>
    </ext>
  </extLst>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3.vml"/><Relationship Id="rId7"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1.bin"/><Relationship Id="rId6" Type="http://schemas.openxmlformats.org/officeDocument/2006/relationships/ctrlProp" Target="../ctrlProps/ctrlProp5.xml"/><Relationship Id="rId11" Type="http://schemas.openxmlformats.org/officeDocument/2006/relationships/table" Target="../tables/table5.xml"/><Relationship Id="rId5" Type="http://schemas.openxmlformats.org/officeDocument/2006/relationships/ctrlProp" Target="../ctrlProps/ctrlProp4.xml"/><Relationship Id="rId10" Type="http://schemas.openxmlformats.org/officeDocument/2006/relationships/table" Target="../tables/table4.xml"/><Relationship Id="rId4" Type="http://schemas.openxmlformats.org/officeDocument/2006/relationships/ctrlProp" Target="../ctrlProps/ctrlProp3.xml"/><Relationship Id="rId9"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30"/>
  <sheetViews>
    <sheetView tabSelected="1" workbookViewId="0"/>
  </sheetViews>
  <sheetFormatPr defaultColWidth="8.85546875" defaultRowHeight="12.75"/>
  <cols>
    <col min="1" max="16384" width="8.85546875" style="158"/>
  </cols>
  <sheetData>
    <row r="1" spans="1:15">
      <c r="A1" s="159"/>
      <c r="B1" s="160"/>
      <c r="C1" s="160"/>
      <c r="D1" s="160"/>
      <c r="E1" s="160"/>
      <c r="F1" s="160"/>
      <c r="G1" s="160"/>
      <c r="H1" s="160"/>
      <c r="I1" s="160"/>
      <c r="J1" s="160"/>
      <c r="K1" s="160"/>
      <c r="L1" s="160"/>
      <c r="M1" s="160"/>
      <c r="N1" s="160"/>
      <c r="O1" s="160"/>
    </row>
    <row r="2" spans="1:15">
      <c r="A2" s="160"/>
      <c r="B2" s="160"/>
      <c r="C2" s="160"/>
      <c r="D2" s="160"/>
      <c r="E2" s="160"/>
      <c r="F2" s="160"/>
      <c r="G2" s="160"/>
      <c r="H2" s="160"/>
      <c r="I2" s="160"/>
      <c r="J2" s="160"/>
      <c r="K2" s="160"/>
      <c r="L2" s="160"/>
      <c r="M2" s="160"/>
      <c r="N2" s="160"/>
      <c r="O2" s="160"/>
    </row>
    <row r="3" spans="1:15">
      <c r="A3" s="160"/>
      <c r="B3" s="160"/>
      <c r="C3" s="160"/>
      <c r="D3" s="160"/>
      <c r="E3" s="160"/>
      <c r="F3" s="160"/>
      <c r="G3" s="160"/>
      <c r="H3" s="160"/>
      <c r="I3" s="160"/>
      <c r="J3" s="160"/>
      <c r="K3" s="160"/>
      <c r="L3" s="160"/>
      <c r="M3" s="160"/>
      <c r="N3" s="160"/>
      <c r="O3" s="160"/>
    </row>
    <row r="4" spans="1:15">
      <c r="A4" s="160"/>
      <c r="B4" s="160"/>
      <c r="C4" s="160"/>
      <c r="D4" s="160"/>
      <c r="E4" s="160"/>
      <c r="F4" s="160"/>
      <c r="G4" s="160"/>
      <c r="H4" s="160"/>
      <c r="I4" s="160"/>
      <c r="J4" s="160"/>
      <c r="K4" s="160"/>
      <c r="L4" s="160"/>
      <c r="M4" s="160"/>
      <c r="N4" s="160"/>
      <c r="O4" s="160"/>
    </row>
    <row r="5" spans="1:15">
      <c r="A5" s="160"/>
      <c r="B5" s="160"/>
      <c r="C5" s="160"/>
      <c r="D5" s="160"/>
      <c r="E5" s="160"/>
      <c r="F5" s="160"/>
      <c r="G5" s="160"/>
      <c r="H5" s="160"/>
      <c r="I5" s="160"/>
      <c r="J5" s="160"/>
      <c r="K5" s="160"/>
      <c r="L5" s="160"/>
      <c r="M5" s="160"/>
      <c r="N5" s="160"/>
      <c r="O5" s="160"/>
    </row>
    <row r="6" spans="1:15">
      <c r="A6" s="160"/>
      <c r="B6" s="160"/>
      <c r="C6" s="160"/>
      <c r="D6" s="160"/>
      <c r="E6" s="160"/>
      <c r="F6" s="160"/>
      <c r="G6" s="160"/>
      <c r="H6" s="160"/>
      <c r="I6" s="160"/>
      <c r="J6" s="160"/>
      <c r="K6" s="160"/>
      <c r="L6" s="160"/>
      <c r="M6" s="160"/>
      <c r="N6" s="160"/>
      <c r="O6" s="160"/>
    </row>
    <row r="7" spans="1:15">
      <c r="A7" s="160"/>
      <c r="B7" s="160"/>
      <c r="C7" s="160"/>
      <c r="D7" s="160"/>
      <c r="E7" s="160"/>
      <c r="F7" s="160"/>
      <c r="G7" s="160"/>
      <c r="H7" s="160"/>
      <c r="I7" s="160"/>
      <c r="J7" s="160"/>
      <c r="K7" s="160"/>
      <c r="L7" s="160"/>
      <c r="M7" s="160"/>
      <c r="N7" s="160"/>
      <c r="O7" s="160"/>
    </row>
    <row r="8" spans="1:15">
      <c r="A8" s="160"/>
      <c r="B8" s="160"/>
      <c r="C8" s="160"/>
      <c r="D8" s="160"/>
      <c r="E8" s="160"/>
      <c r="F8" s="160"/>
      <c r="G8" s="160"/>
      <c r="H8" s="160"/>
      <c r="I8" s="160"/>
      <c r="J8" s="160"/>
      <c r="K8" s="160"/>
      <c r="L8" s="160"/>
      <c r="M8" s="160"/>
      <c r="N8" s="160"/>
      <c r="O8" s="160"/>
    </row>
    <row r="9" spans="1:15">
      <c r="A9" s="160"/>
      <c r="B9" s="160"/>
      <c r="C9" s="160"/>
      <c r="D9" s="160"/>
      <c r="E9" s="160"/>
      <c r="F9" s="160"/>
      <c r="G9" s="160"/>
      <c r="H9" s="160"/>
      <c r="I9" s="160"/>
      <c r="J9" s="160"/>
      <c r="K9" s="160"/>
      <c r="L9" s="160"/>
      <c r="M9" s="160"/>
      <c r="N9" s="160"/>
      <c r="O9" s="160"/>
    </row>
    <row r="10" spans="1:15">
      <c r="A10" s="160"/>
      <c r="B10" s="160"/>
      <c r="C10" s="160"/>
      <c r="D10" s="160"/>
      <c r="E10" s="160"/>
      <c r="F10" s="160"/>
      <c r="G10" s="160"/>
      <c r="H10" s="160"/>
      <c r="I10" s="160"/>
      <c r="J10" s="160"/>
      <c r="K10" s="160"/>
      <c r="L10" s="160"/>
      <c r="M10" s="160"/>
      <c r="N10" s="160"/>
      <c r="O10" s="160"/>
    </row>
    <row r="11" spans="1:15">
      <c r="A11" s="160"/>
      <c r="B11" s="160"/>
      <c r="C11" s="160"/>
      <c r="D11" s="160"/>
      <c r="E11" s="160"/>
      <c r="F11" s="160"/>
      <c r="G11" s="160"/>
      <c r="H11" s="160"/>
      <c r="I11" s="160"/>
      <c r="J11" s="160"/>
      <c r="K11" s="160"/>
      <c r="L11" s="160"/>
      <c r="M11" s="160"/>
      <c r="N11" s="160"/>
      <c r="O11" s="160"/>
    </row>
    <row r="12" spans="1:15">
      <c r="A12" s="160"/>
      <c r="B12" s="160"/>
      <c r="C12" s="160"/>
      <c r="D12" s="160"/>
      <c r="E12" s="160"/>
      <c r="F12" s="160"/>
      <c r="G12" s="160"/>
      <c r="H12" s="160"/>
      <c r="I12" s="160"/>
      <c r="J12" s="160"/>
      <c r="K12" s="160"/>
      <c r="L12" s="160"/>
      <c r="M12" s="160"/>
      <c r="N12" s="160"/>
      <c r="O12" s="160"/>
    </row>
    <row r="13" spans="1:15">
      <c r="A13" s="160"/>
      <c r="B13" s="160"/>
      <c r="C13" s="160"/>
      <c r="D13" s="160"/>
      <c r="E13" s="160"/>
      <c r="F13" s="160"/>
      <c r="G13" s="160"/>
      <c r="H13" s="160"/>
      <c r="I13" s="160"/>
      <c r="J13" s="160"/>
      <c r="K13" s="160"/>
      <c r="L13" s="160"/>
      <c r="M13" s="160"/>
      <c r="N13" s="160"/>
      <c r="O13" s="160"/>
    </row>
    <row r="14" spans="1:15">
      <c r="A14" s="160"/>
      <c r="B14" s="160"/>
      <c r="C14" s="160"/>
      <c r="D14" s="160"/>
      <c r="E14" s="160"/>
      <c r="F14" s="160"/>
      <c r="G14" s="160"/>
      <c r="H14" s="160"/>
      <c r="I14" s="160"/>
      <c r="J14" s="160"/>
      <c r="K14" s="160"/>
      <c r="L14" s="160"/>
      <c r="M14" s="160"/>
      <c r="N14" s="160"/>
      <c r="O14" s="160"/>
    </row>
    <row r="15" spans="1:15">
      <c r="A15" s="160"/>
      <c r="B15" s="160"/>
      <c r="C15" s="160"/>
      <c r="D15" s="160"/>
      <c r="E15" s="160"/>
      <c r="F15" s="160"/>
      <c r="G15" s="160"/>
      <c r="H15" s="160"/>
      <c r="I15" s="160"/>
      <c r="J15" s="160"/>
      <c r="K15" s="160"/>
      <c r="L15" s="160"/>
      <c r="M15" s="160"/>
      <c r="N15" s="160"/>
      <c r="O15" s="160"/>
    </row>
    <row r="16" spans="1:15">
      <c r="A16" s="160"/>
      <c r="B16" s="160"/>
      <c r="C16" s="160"/>
      <c r="D16" s="160"/>
      <c r="E16" s="160"/>
      <c r="F16" s="160"/>
      <c r="G16" s="160"/>
      <c r="H16" s="160"/>
      <c r="I16" s="160"/>
      <c r="J16" s="160"/>
      <c r="K16" s="160"/>
      <c r="L16" s="160"/>
      <c r="M16" s="160"/>
      <c r="N16" s="160"/>
      <c r="O16" s="160"/>
    </row>
    <row r="17" spans="1:15">
      <c r="A17" s="160"/>
      <c r="B17" s="160"/>
      <c r="C17" s="160"/>
      <c r="D17" s="160"/>
      <c r="E17" s="160"/>
      <c r="F17" s="160"/>
      <c r="G17" s="160"/>
      <c r="H17" s="160"/>
      <c r="I17" s="160"/>
      <c r="J17" s="160"/>
      <c r="K17" s="160"/>
      <c r="L17" s="160"/>
      <c r="M17" s="160"/>
      <c r="N17" s="160"/>
      <c r="O17" s="160"/>
    </row>
    <row r="18" spans="1:15">
      <c r="A18" s="160"/>
      <c r="B18" s="160"/>
      <c r="C18" s="160"/>
      <c r="D18" s="160"/>
      <c r="E18" s="160"/>
      <c r="F18" s="160"/>
      <c r="G18" s="160"/>
      <c r="H18" s="160"/>
      <c r="I18" s="160"/>
      <c r="J18" s="160"/>
      <c r="K18" s="160"/>
      <c r="L18" s="160"/>
      <c r="M18" s="160"/>
      <c r="N18" s="160"/>
      <c r="O18" s="160"/>
    </row>
    <row r="19" spans="1:15">
      <c r="A19" s="160"/>
      <c r="B19" s="160"/>
      <c r="C19" s="160"/>
      <c r="D19" s="160"/>
      <c r="E19" s="160"/>
      <c r="F19" s="160"/>
      <c r="G19" s="160"/>
      <c r="H19" s="160"/>
      <c r="I19" s="160"/>
      <c r="J19" s="160"/>
      <c r="K19" s="160"/>
      <c r="L19" s="160"/>
      <c r="M19" s="160"/>
      <c r="N19" s="160"/>
      <c r="O19" s="160"/>
    </row>
    <row r="20" spans="1:15">
      <c r="A20" s="160"/>
      <c r="B20" s="160"/>
      <c r="C20" s="160"/>
      <c r="D20" s="160"/>
      <c r="E20" s="160"/>
      <c r="F20" s="160"/>
      <c r="G20" s="160"/>
      <c r="H20" s="160"/>
      <c r="I20" s="160"/>
      <c r="J20" s="160"/>
      <c r="K20" s="160"/>
      <c r="L20" s="160"/>
      <c r="M20" s="160"/>
      <c r="N20" s="160"/>
      <c r="O20" s="160"/>
    </row>
    <row r="21" spans="1:15">
      <c r="A21" s="160"/>
      <c r="B21" s="160"/>
      <c r="C21" s="160"/>
      <c r="D21" s="160"/>
      <c r="E21" s="160"/>
      <c r="F21" s="160"/>
      <c r="G21" s="160"/>
      <c r="H21" s="160"/>
      <c r="I21" s="160"/>
      <c r="J21" s="160"/>
      <c r="K21" s="160"/>
      <c r="L21" s="160"/>
      <c r="M21" s="160"/>
      <c r="N21" s="160"/>
      <c r="O21" s="160"/>
    </row>
    <row r="22" spans="1:15">
      <c r="A22" s="160"/>
      <c r="B22" s="160"/>
      <c r="C22" s="160"/>
      <c r="D22" s="160"/>
      <c r="E22" s="160"/>
      <c r="F22" s="160"/>
      <c r="G22" s="160"/>
      <c r="H22" s="160"/>
      <c r="I22" s="160"/>
      <c r="J22" s="160"/>
      <c r="K22" s="160"/>
      <c r="L22" s="160"/>
      <c r="M22" s="160"/>
      <c r="N22" s="160"/>
      <c r="O22" s="160"/>
    </row>
    <row r="23" spans="1:15">
      <c r="A23" s="160"/>
      <c r="B23" s="160"/>
      <c r="C23" s="160"/>
      <c r="D23" s="160"/>
      <c r="E23" s="160"/>
      <c r="F23" s="160"/>
      <c r="G23" s="160"/>
      <c r="H23" s="160"/>
      <c r="I23" s="160"/>
      <c r="J23" s="160"/>
      <c r="K23" s="160"/>
      <c r="L23" s="160"/>
      <c r="M23" s="160"/>
      <c r="N23" s="160"/>
      <c r="O23" s="160"/>
    </row>
    <row r="24" spans="1:15">
      <c r="A24" s="160"/>
      <c r="B24" s="160"/>
      <c r="C24" s="160"/>
      <c r="D24" s="160"/>
      <c r="E24" s="160"/>
      <c r="F24" s="160"/>
      <c r="G24" s="160"/>
      <c r="H24" s="160"/>
      <c r="I24" s="160"/>
      <c r="J24" s="160"/>
      <c r="K24" s="160"/>
      <c r="L24" s="160"/>
      <c r="M24" s="160"/>
      <c r="N24" s="160"/>
      <c r="O24" s="160"/>
    </row>
    <row r="25" spans="1:15">
      <c r="A25" s="160"/>
      <c r="B25" s="160"/>
      <c r="C25" s="160"/>
      <c r="D25" s="160"/>
      <c r="E25" s="160"/>
      <c r="F25" s="160"/>
      <c r="G25" s="160"/>
      <c r="H25" s="160"/>
      <c r="I25" s="160"/>
      <c r="J25" s="160"/>
      <c r="K25" s="160"/>
      <c r="L25" s="160"/>
      <c r="M25" s="160"/>
      <c r="N25" s="160"/>
      <c r="O25" s="160"/>
    </row>
    <row r="26" spans="1:15">
      <c r="A26" s="160"/>
      <c r="B26" s="160"/>
      <c r="C26" s="160"/>
      <c r="D26" s="160"/>
      <c r="E26" s="160"/>
      <c r="F26" s="160"/>
      <c r="G26" s="160"/>
      <c r="H26" s="160"/>
      <c r="I26" s="160"/>
      <c r="J26" s="160"/>
      <c r="K26" s="160"/>
      <c r="L26" s="160"/>
      <c r="M26" s="160"/>
      <c r="N26" s="160"/>
      <c r="O26" s="160"/>
    </row>
    <row r="27" spans="1:15">
      <c r="A27" s="160"/>
      <c r="B27" s="160"/>
      <c r="C27" s="160"/>
      <c r="D27" s="160"/>
      <c r="E27" s="160"/>
      <c r="F27" s="160"/>
      <c r="G27" s="160"/>
      <c r="H27" s="160"/>
      <c r="I27" s="160"/>
      <c r="J27" s="160"/>
      <c r="K27" s="160"/>
      <c r="L27" s="160"/>
      <c r="M27" s="160"/>
      <c r="N27" s="160"/>
      <c r="O27" s="160"/>
    </row>
    <row r="28" spans="1:15">
      <c r="A28" s="160"/>
      <c r="B28" s="160"/>
      <c r="C28" s="160"/>
      <c r="D28" s="160"/>
      <c r="E28" s="160"/>
      <c r="F28" s="160"/>
      <c r="G28" s="160"/>
      <c r="H28" s="160"/>
      <c r="I28" s="160"/>
      <c r="J28" s="160"/>
      <c r="K28" s="160"/>
      <c r="L28" s="160"/>
      <c r="M28" s="160"/>
      <c r="N28" s="160"/>
      <c r="O28" s="160"/>
    </row>
    <row r="29" spans="1:15">
      <c r="A29" s="160"/>
      <c r="B29" s="160"/>
      <c r="C29" s="160"/>
      <c r="D29" s="160"/>
      <c r="E29" s="160"/>
      <c r="F29" s="160"/>
      <c r="G29" s="160"/>
      <c r="H29" s="160"/>
      <c r="I29" s="160"/>
      <c r="J29" s="160"/>
      <c r="K29" s="160"/>
      <c r="L29" s="160"/>
      <c r="M29" s="160"/>
      <c r="N29" s="160"/>
      <c r="O29" s="160"/>
    </row>
    <row r="30" spans="1:15">
      <c r="A30" s="160"/>
      <c r="B30" s="160"/>
      <c r="C30" s="160"/>
      <c r="D30" s="160"/>
      <c r="E30" s="160"/>
      <c r="F30" s="160"/>
      <c r="G30" s="160"/>
      <c r="H30" s="160"/>
      <c r="I30" s="160"/>
      <c r="J30" s="160"/>
      <c r="K30" s="160"/>
      <c r="L30" s="160"/>
      <c r="M30" s="160"/>
      <c r="N30" s="160"/>
      <c r="O30" s="160"/>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49"/>
  <sheetViews>
    <sheetView workbookViewId="0">
      <pane ySplit="1" topLeftCell="A2" activePane="bottomLeft" state="frozen"/>
      <selection pane="bottomLeft"/>
    </sheetView>
  </sheetViews>
  <sheetFormatPr defaultColWidth="8.85546875" defaultRowHeight="12.75"/>
  <cols>
    <col min="1" max="1" width="18.42578125" customWidth="1"/>
    <col min="2" max="2" width="39.140625" customWidth="1"/>
    <col min="3" max="3" width="91.85546875" customWidth="1"/>
  </cols>
  <sheetData>
    <row r="1" spans="1:3" s="17" customFormat="1">
      <c r="A1" s="16" t="s">
        <v>1455</v>
      </c>
      <c r="B1" s="16" t="s">
        <v>1456</v>
      </c>
      <c r="C1" s="16" t="s">
        <v>1457</v>
      </c>
    </row>
    <row r="2" spans="1:3">
      <c r="A2" s="9" t="s">
        <v>1458</v>
      </c>
      <c r="B2" s="9" t="s">
        <v>1459</v>
      </c>
      <c r="C2" s="9" t="s">
        <v>1460</v>
      </c>
    </row>
    <row r="3" spans="1:3">
      <c r="A3" s="9" t="s">
        <v>97</v>
      </c>
      <c r="B3" s="9" t="s">
        <v>1459</v>
      </c>
      <c r="C3" s="9" t="s">
        <v>1461</v>
      </c>
    </row>
    <row r="4" spans="1:3">
      <c r="A4" s="9" t="s">
        <v>0</v>
      </c>
      <c r="B4" s="9" t="s">
        <v>1459</v>
      </c>
      <c r="C4" s="9" t="s">
        <v>1462</v>
      </c>
    </row>
    <row r="5" spans="1:3">
      <c r="A5" s="10" t="s">
        <v>1683</v>
      </c>
      <c r="B5" s="10" t="s">
        <v>1459</v>
      </c>
      <c r="C5" s="9" t="s">
        <v>1463</v>
      </c>
    </row>
    <row r="6" spans="1:3">
      <c r="A6" s="11" t="s">
        <v>1684</v>
      </c>
      <c r="B6" s="11" t="s">
        <v>1459</v>
      </c>
      <c r="C6" s="9" t="s">
        <v>1464</v>
      </c>
    </row>
    <row r="7" spans="1:3">
      <c r="A7" s="11" t="s">
        <v>1465</v>
      </c>
      <c r="B7" s="11" t="s">
        <v>1459</v>
      </c>
      <c r="C7" s="9" t="s">
        <v>1466</v>
      </c>
    </row>
    <row r="8" spans="1:3">
      <c r="A8" s="9" t="s">
        <v>128</v>
      </c>
      <c r="B8" s="9" t="s">
        <v>1459</v>
      </c>
      <c r="C8" s="9" t="s">
        <v>1467</v>
      </c>
    </row>
    <row r="9" spans="1:3" ht="22.5">
      <c r="A9" s="12" t="s">
        <v>139</v>
      </c>
      <c r="B9" s="12" t="s">
        <v>1468</v>
      </c>
      <c r="C9" s="9" t="s">
        <v>1469</v>
      </c>
    </row>
    <row r="10" spans="1:3" ht="33.75">
      <c r="A10" s="12" t="s">
        <v>142</v>
      </c>
      <c r="B10" s="12" t="s">
        <v>1470</v>
      </c>
      <c r="C10" s="9" t="s">
        <v>1471</v>
      </c>
    </row>
    <row r="11" spans="1:3" ht="22.5">
      <c r="A11" s="9" t="s">
        <v>3</v>
      </c>
      <c r="B11" s="12" t="s">
        <v>1472</v>
      </c>
      <c r="C11" s="9" t="s">
        <v>1473</v>
      </c>
    </row>
    <row r="12" spans="1:3" ht="22.5">
      <c r="A12" s="9" t="s">
        <v>1474</v>
      </c>
      <c r="B12" s="12" t="s">
        <v>1472</v>
      </c>
      <c r="C12" s="9" t="s">
        <v>1475</v>
      </c>
    </row>
    <row r="13" spans="1:3" ht="33.75">
      <c r="A13" s="12" t="s">
        <v>143</v>
      </c>
      <c r="B13" s="12" t="s">
        <v>1470</v>
      </c>
      <c r="C13" s="9" t="s">
        <v>1476</v>
      </c>
    </row>
    <row r="14" spans="1:3" ht="22.5">
      <c r="A14" s="12" t="s">
        <v>1477</v>
      </c>
      <c r="B14" s="12"/>
      <c r="C14" s="9" t="s">
        <v>1478</v>
      </c>
    </row>
    <row r="15" spans="1:3">
      <c r="A15" s="12" t="s">
        <v>1479</v>
      </c>
      <c r="B15" s="12"/>
      <c r="C15" s="9" t="s">
        <v>1480</v>
      </c>
    </row>
    <row r="16" spans="1:3">
      <c r="A16" s="12" t="s">
        <v>1481</v>
      </c>
      <c r="B16" s="12"/>
      <c r="C16" s="9" t="s">
        <v>1482</v>
      </c>
    </row>
    <row r="17" spans="1:3">
      <c r="A17" s="12" t="s">
        <v>1483</v>
      </c>
      <c r="B17" s="12"/>
      <c r="C17" s="9" t="s">
        <v>1484</v>
      </c>
    </row>
    <row r="18" spans="1:3" ht="22.5">
      <c r="A18" s="12" t="s">
        <v>1485</v>
      </c>
      <c r="B18" s="12"/>
      <c r="C18" s="9" t="s">
        <v>1486</v>
      </c>
    </row>
    <row r="19" spans="1:3">
      <c r="A19" s="12" t="s">
        <v>1487</v>
      </c>
      <c r="B19" s="12"/>
      <c r="C19" s="9" t="s">
        <v>1488</v>
      </c>
    </row>
    <row r="20" spans="1:3" ht="33.75">
      <c r="A20" s="12" t="s">
        <v>149</v>
      </c>
      <c r="B20" s="12"/>
      <c r="C20" s="9" t="s">
        <v>1489</v>
      </c>
    </row>
    <row r="21" spans="1:3" ht="33.75">
      <c r="A21" s="12" t="s">
        <v>1490</v>
      </c>
      <c r="B21" s="12"/>
      <c r="C21" s="9" t="s">
        <v>1491</v>
      </c>
    </row>
    <row r="22" spans="1:3" ht="56.25">
      <c r="A22" s="12" t="s">
        <v>1492</v>
      </c>
      <c r="B22" s="12"/>
      <c r="C22" s="9" t="s">
        <v>1493</v>
      </c>
    </row>
    <row r="23" spans="1:3" ht="22.5">
      <c r="A23" s="12" t="s">
        <v>1494</v>
      </c>
      <c r="B23" s="12"/>
      <c r="C23" s="9" t="s">
        <v>1495</v>
      </c>
    </row>
    <row r="24" spans="1:3" ht="67.5">
      <c r="A24" s="12" t="s">
        <v>1496</v>
      </c>
      <c r="B24" s="12"/>
      <c r="C24" s="9" t="s">
        <v>1497</v>
      </c>
    </row>
    <row r="25" spans="1:3" ht="101.25">
      <c r="A25" s="12" t="s">
        <v>1498</v>
      </c>
      <c r="B25" s="12"/>
      <c r="C25" s="9" t="s">
        <v>1499</v>
      </c>
    </row>
    <row r="26" spans="1:3" ht="22.5">
      <c r="A26" s="12" t="s">
        <v>1500</v>
      </c>
      <c r="B26" s="12"/>
      <c r="C26" s="9" t="s">
        <v>1501</v>
      </c>
    </row>
    <row r="27" spans="1:3" ht="33.75">
      <c r="A27" s="12" t="s">
        <v>1502</v>
      </c>
      <c r="B27" s="12"/>
      <c r="C27" s="9" t="s">
        <v>1503</v>
      </c>
    </row>
    <row r="28" spans="1:3" ht="191.25">
      <c r="A28" s="12" t="s">
        <v>1504</v>
      </c>
      <c r="B28" s="12"/>
      <c r="C28" s="9" t="s">
        <v>1505</v>
      </c>
    </row>
    <row r="29" spans="1:3" ht="135">
      <c r="A29" s="12" t="s">
        <v>1506</v>
      </c>
      <c r="B29" s="12"/>
      <c r="C29" s="9" t="s">
        <v>1507</v>
      </c>
    </row>
    <row r="30" spans="1:3" ht="33.75">
      <c r="A30" s="12" t="s">
        <v>1508</v>
      </c>
      <c r="B30" s="12"/>
      <c r="C30" s="9" t="s">
        <v>1509</v>
      </c>
    </row>
    <row r="31" spans="1:3" ht="67.5">
      <c r="A31" s="12" t="s">
        <v>1510</v>
      </c>
      <c r="B31" s="12"/>
      <c r="C31" s="9" t="s">
        <v>1511</v>
      </c>
    </row>
    <row r="32" spans="1:3" ht="56.25">
      <c r="A32" s="12" t="s">
        <v>1512</v>
      </c>
      <c r="B32" s="12"/>
      <c r="C32" s="9" t="s">
        <v>1513</v>
      </c>
    </row>
    <row r="33" spans="1:3" ht="33.75">
      <c r="A33" s="12" t="s">
        <v>1514</v>
      </c>
      <c r="B33" s="12"/>
      <c r="C33" s="9" t="s">
        <v>1515</v>
      </c>
    </row>
    <row r="34" spans="1:3" ht="45">
      <c r="A34" s="12" t="s">
        <v>1516</v>
      </c>
      <c r="B34" s="12"/>
      <c r="C34" s="9" t="s">
        <v>1517</v>
      </c>
    </row>
    <row r="35" spans="1:3" ht="67.5">
      <c r="A35" s="12" t="s">
        <v>1518</v>
      </c>
      <c r="B35" s="12"/>
      <c r="C35" s="9" t="s">
        <v>1519</v>
      </c>
    </row>
    <row r="36" spans="1:3" ht="22.5">
      <c r="A36" s="12" t="s">
        <v>1520</v>
      </c>
      <c r="B36" s="12"/>
      <c r="C36" s="9" t="s">
        <v>1521</v>
      </c>
    </row>
    <row r="37" spans="1:3" ht="22.5">
      <c r="A37" s="12" t="s">
        <v>1522</v>
      </c>
      <c r="B37" s="12"/>
      <c r="C37" s="9" t="s">
        <v>1523</v>
      </c>
    </row>
    <row r="38" spans="1:3" ht="33.75">
      <c r="A38" s="12" t="s">
        <v>1524</v>
      </c>
      <c r="B38" s="12"/>
      <c r="C38" s="9" t="s">
        <v>1525</v>
      </c>
    </row>
    <row r="39" spans="1:3" ht="33.75">
      <c r="A39" s="12" t="s">
        <v>1526</v>
      </c>
      <c r="B39" s="12"/>
      <c r="C39" s="9" t="s">
        <v>1527</v>
      </c>
    </row>
    <row r="40" spans="1:3" ht="22.5">
      <c r="A40" s="12" t="s">
        <v>1528</v>
      </c>
      <c r="B40" s="12"/>
      <c r="C40" s="9" t="s">
        <v>1529</v>
      </c>
    </row>
    <row r="41" spans="1:3" ht="33.75">
      <c r="A41" s="12" t="s">
        <v>1530</v>
      </c>
      <c r="B41" s="12"/>
      <c r="C41" s="9" t="s">
        <v>1531</v>
      </c>
    </row>
    <row r="42" spans="1:3" ht="56.25">
      <c r="A42" s="12" t="s">
        <v>1532</v>
      </c>
      <c r="B42" s="12"/>
      <c r="C42" s="9" t="s">
        <v>1623</v>
      </c>
    </row>
    <row r="43" spans="1:3" ht="22.5">
      <c r="A43" s="12" t="s">
        <v>1533</v>
      </c>
      <c r="B43" s="12"/>
      <c r="C43" s="9" t="s">
        <v>1534</v>
      </c>
    </row>
    <row r="44" spans="1:3" ht="22.5">
      <c r="A44" s="12" t="s">
        <v>1535</v>
      </c>
      <c r="B44" s="12"/>
      <c r="C44" s="9" t="s">
        <v>1536</v>
      </c>
    </row>
    <row r="45" spans="1:3" ht="33.75">
      <c r="A45" s="12" t="s">
        <v>144</v>
      </c>
      <c r="B45" s="12" t="s">
        <v>1538</v>
      </c>
      <c r="C45" s="12" t="s">
        <v>1539</v>
      </c>
    </row>
    <row r="46" spans="1:3" ht="22.5">
      <c r="A46" s="12" t="s">
        <v>145</v>
      </c>
      <c r="B46" s="12" t="s">
        <v>1538</v>
      </c>
      <c r="C46" s="12" t="s">
        <v>1540</v>
      </c>
    </row>
    <row r="47" spans="1:3" ht="45">
      <c r="A47" s="12" t="s">
        <v>140</v>
      </c>
      <c r="B47" s="12" t="s">
        <v>1538</v>
      </c>
      <c r="C47" s="12" t="s">
        <v>1541</v>
      </c>
    </row>
    <row r="48" spans="1:3" ht="22.5">
      <c r="A48" s="12" t="s">
        <v>141</v>
      </c>
      <c r="B48" s="12" t="s">
        <v>1538</v>
      </c>
      <c r="C48" s="12" t="s">
        <v>1542</v>
      </c>
    </row>
    <row r="49" spans="1:3" ht="157.5">
      <c r="A49" s="12" t="s">
        <v>1537</v>
      </c>
      <c r="B49" s="12" t="s">
        <v>1538</v>
      </c>
      <c r="C49" s="12" t="s">
        <v>1543</v>
      </c>
    </row>
  </sheetData>
  <conditionalFormatting sqref="A2:B13">
    <cfRule type="expression" dxfId="10" priority="16">
      <formula>MOD(ROW(),2)=0</formula>
    </cfRule>
  </conditionalFormatting>
  <conditionalFormatting sqref="C2:C13">
    <cfRule type="expression" dxfId="9" priority="15">
      <formula>MOD(ROW(),2)=0</formula>
    </cfRule>
  </conditionalFormatting>
  <conditionalFormatting sqref="C14:C44">
    <cfRule type="expression" dxfId="8" priority="14">
      <formula>MOD(ROW(),2)=0</formula>
    </cfRule>
  </conditionalFormatting>
  <conditionalFormatting sqref="A14:B44">
    <cfRule type="expression" dxfId="7" priority="13">
      <formula>MOD(ROW(),2)=0</formula>
    </cfRule>
  </conditionalFormatting>
  <conditionalFormatting sqref="A45:C49">
    <cfRule type="expression" dxfId="6"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Z1100"/>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2.75"/>
  <cols>
    <col min="1" max="1" width="34" customWidth="1"/>
    <col min="2" max="2" width="15.42578125" customWidth="1"/>
    <col min="3" max="3" width="7.28515625" customWidth="1"/>
    <col min="4" max="5" width="8.85546875" customWidth="1"/>
    <col min="6" max="6" width="19.85546875" customWidth="1"/>
    <col min="7" max="7" width="14.7109375" customWidth="1"/>
    <col min="8" max="8" width="13" customWidth="1"/>
    <col min="9" max="11" width="9.28515625" customWidth="1"/>
    <col min="12" max="12" width="9.28515625" style="174" customWidth="1"/>
    <col min="13" max="13" width="10.42578125" customWidth="1"/>
    <col min="14" max="14" width="12.7109375" hidden="1" customWidth="1"/>
    <col min="15" max="15" width="10" customWidth="1"/>
    <col min="16" max="16" width="11.5703125" hidden="1" customWidth="1"/>
    <col min="17" max="17" width="9.7109375" bestFit="1" customWidth="1"/>
    <col min="18" max="18" width="11.7109375" hidden="1" customWidth="1"/>
    <col min="19" max="19" width="10.5703125" bestFit="1" customWidth="1"/>
    <col min="20" max="20" width="11.7109375" hidden="1" customWidth="1"/>
    <col min="21" max="21" width="11.42578125" bestFit="1" customWidth="1"/>
    <col min="22" max="22" width="12.28515625" hidden="1" customWidth="1"/>
    <col min="23" max="23" width="12.42578125" hidden="1" customWidth="1"/>
    <col min="24" max="24" width="18" customWidth="1"/>
    <col min="25" max="25" width="9.140625" customWidth="1"/>
    <col min="26" max="26" width="9.140625" hidden="1" customWidth="1"/>
    <col min="27" max="28" width="9.140625" customWidth="1"/>
  </cols>
  <sheetData>
    <row r="1" spans="1:26" s="13" customFormat="1" ht="45">
      <c r="A1" s="13" t="s">
        <v>1</v>
      </c>
      <c r="B1" s="13" t="s">
        <v>97</v>
      </c>
      <c r="C1" s="13" t="s">
        <v>0</v>
      </c>
      <c r="D1" s="161" t="s">
        <v>1683</v>
      </c>
      <c r="E1" s="164" t="s">
        <v>1684</v>
      </c>
      <c r="F1" s="13" t="s">
        <v>1465</v>
      </c>
      <c r="G1" s="27" t="s">
        <v>128</v>
      </c>
      <c r="H1" s="28" t="s">
        <v>139</v>
      </c>
      <c r="I1" s="28" t="s">
        <v>142</v>
      </c>
      <c r="J1" s="93" t="s">
        <v>3</v>
      </c>
      <c r="K1" s="93" t="s">
        <v>4</v>
      </c>
      <c r="L1" s="171" t="s">
        <v>143</v>
      </c>
      <c r="M1" s="13" t="s">
        <v>144</v>
      </c>
      <c r="N1" s="13" t="s">
        <v>1544</v>
      </c>
      <c r="O1" s="13" t="s">
        <v>145</v>
      </c>
      <c r="P1" s="13" t="s">
        <v>1545</v>
      </c>
      <c r="Q1" s="13" t="s">
        <v>8</v>
      </c>
      <c r="R1" s="13" t="s">
        <v>1546</v>
      </c>
      <c r="S1" s="13" t="s">
        <v>140</v>
      </c>
      <c r="T1" s="13" t="s">
        <v>1547</v>
      </c>
      <c r="U1" s="13" t="s">
        <v>141</v>
      </c>
      <c r="V1" s="13" t="s">
        <v>1548</v>
      </c>
      <c r="W1" s="13" t="s">
        <v>1549</v>
      </c>
      <c r="Z1" s="13">
        <f>IF(Z4=1,1,0)</f>
        <v>1</v>
      </c>
    </row>
    <row r="2" spans="1:26" s="1" customFormat="1" ht="11.25">
      <c r="A2" s="2" t="s">
        <v>1161</v>
      </c>
      <c r="B2" s="21" t="s">
        <v>351</v>
      </c>
      <c r="C2" s="26" t="s">
        <v>69</v>
      </c>
      <c r="D2" s="163">
        <v>2008</v>
      </c>
      <c r="E2" s="166">
        <v>20008</v>
      </c>
      <c r="F2" s="92" t="s">
        <v>326</v>
      </c>
      <c r="G2" s="20" t="s">
        <v>149</v>
      </c>
      <c r="H2" s="18">
        <v>18351295</v>
      </c>
      <c r="I2" s="18">
        <v>10936</v>
      </c>
      <c r="J2" s="4" t="s">
        <v>12</v>
      </c>
      <c r="K2" s="26" t="s">
        <v>11</v>
      </c>
      <c r="L2" s="172">
        <v>3257</v>
      </c>
      <c r="M2" s="6">
        <v>2</v>
      </c>
      <c r="N2" s="6"/>
      <c r="O2" s="6">
        <v>0</v>
      </c>
      <c r="P2" s="6"/>
      <c r="Q2" s="7">
        <v>2</v>
      </c>
      <c r="R2" s="6"/>
      <c r="S2" s="1">
        <v>0</v>
      </c>
      <c r="U2" s="1">
        <v>0</v>
      </c>
      <c r="W2" s="1" t="str">
        <f t="shared" ref="W2:W65" si="0">IF(V2&amp;T2&amp;R2&amp;P2&amp;N2&lt;&gt;"","Yes","No")</f>
        <v>No</v>
      </c>
      <c r="Z2" s="1" t="s">
        <v>1617</v>
      </c>
    </row>
    <row r="3" spans="1:26" s="1" customFormat="1" ht="11.25">
      <c r="A3" s="2" t="s">
        <v>1161</v>
      </c>
      <c r="B3" s="21" t="s">
        <v>351</v>
      </c>
      <c r="C3" s="26" t="s">
        <v>69</v>
      </c>
      <c r="D3" s="163">
        <v>2008</v>
      </c>
      <c r="E3" s="166">
        <v>20008</v>
      </c>
      <c r="F3" s="92" t="s">
        <v>326</v>
      </c>
      <c r="G3" s="20" t="s">
        <v>149</v>
      </c>
      <c r="H3" s="18">
        <v>18351295</v>
      </c>
      <c r="I3" s="18">
        <v>10936</v>
      </c>
      <c r="J3" s="4" t="s">
        <v>21</v>
      </c>
      <c r="K3" s="26" t="s">
        <v>11</v>
      </c>
      <c r="L3" s="172">
        <v>453</v>
      </c>
      <c r="M3" s="6">
        <v>0</v>
      </c>
      <c r="N3" s="6"/>
      <c r="O3" s="6">
        <v>0</v>
      </c>
      <c r="P3" s="6"/>
      <c r="Q3" s="7">
        <v>0</v>
      </c>
      <c r="R3" s="6"/>
      <c r="S3" s="1">
        <v>0</v>
      </c>
      <c r="U3" s="1">
        <v>0</v>
      </c>
      <c r="W3" s="1" t="str">
        <f t="shared" si="0"/>
        <v>No</v>
      </c>
      <c r="Z3" s="1" t="s">
        <v>1618</v>
      </c>
    </row>
    <row r="4" spans="1:26" s="1" customFormat="1" ht="11.25">
      <c r="A4" s="2" t="s">
        <v>1161</v>
      </c>
      <c r="B4" s="21" t="s">
        <v>351</v>
      </c>
      <c r="C4" s="26" t="s">
        <v>69</v>
      </c>
      <c r="D4" s="163">
        <v>2008</v>
      </c>
      <c r="E4" s="166">
        <v>20008</v>
      </c>
      <c r="F4" s="92" t="s">
        <v>326</v>
      </c>
      <c r="G4" s="20" t="s">
        <v>149</v>
      </c>
      <c r="H4" s="18">
        <v>18351295</v>
      </c>
      <c r="I4" s="18">
        <v>10936</v>
      </c>
      <c r="J4" s="4" t="s">
        <v>25</v>
      </c>
      <c r="K4" s="26" t="s">
        <v>11</v>
      </c>
      <c r="L4" s="172">
        <v>146</v>
      </c>
      <c r="M4" s="6">
        <v>0</v>
      </c>
      <c r="N4" s="6"/>
      <c r="O4" s="6">
        <v>0</v>
      </c>
      <c r="P4" s="6"/>
      <c r="Q4" s="7">
        <v>0</v>
      </c>
      <c r="R4" s="6"/>
      <c r="S4" s="1">
        <v>0</v>
      </c>
      <c r="U4" s="1">
        <v>0</v>
      </c>
      <c r="W4" s="1" t="str">
        <f t="shared" si="0"/>
        <v>No</v>
      </c>
      <c r="Z4" s="1">
        <v>1</v>
      </c>
    </row>
    <row r="5" spans="1:26" s="1" customFormat="1" ht="11.25">
      <c r="A5" s="3" t="s">
        <v>1161</v>
      </c>
      <c r="B5" s="21" t="s">
        <v>351</v>
      </c>
      <c r="C5" s="5" t="s">
        <v>69</v>
      </c>
      <c r="D5" s="162">
        <v>2008</v>
      </c>
      <c r="E5" s="165">
        <v>20008</v>
      </c>
      <c r="F5" s="5" t="s">
        <v>326</v>
      </c>
      <c r="G5" s="5" t="s">
        <v>149</v>
      </c>
      <c r="H5" s="19">
        <v>18351295</v>
      </c>
      <c r="I5" s="19">
        <v>10936</v>
      </c>
      <c r="J5" s="5" t="s">
        <v>24</v>
      </c>
      <c r="K5" s="5" t="s">
        <v>11</v>
      </c>
      <c r="L5" s="173">
        <v>5342</v>
      </c>
      <c r="M5" s="1">
        <v>112</v>
      </c>
      <c r="O5" s="1">
        <v>360</v>
      </c>
      <c r="Q5" s="8">
        <v>472</v>
      </c>
      <c r="S5" s="1">
        <v>291</v>
      </c>
      <c r="U5" s="1">
        <v>266</v>
      </c>
      <c r="W5" s="1" t="str">
        <f t="shared" si="0"/>
        <v>No</v>
      </c>
    </row>
    <row r="6" spans="1:26" s="1" customFormat="1" ht="11.25">
      <c r="A6" s="2" t="s">
        <v>1159</v>
      </c>
      <c r="B6" s="21" t="s">
        <v>1158</v>
      </c>
      <c r="C6" s="26" t="s">
        <v>62</v>
      </c>
      <c r="D6" s="163">
        <v>2080</v>
      </c>
      <c r="E6" s="166">
        <v>20080</v>
      </c>
      <c r="F6" s="92" t="s">
        <v>348</v>
      </c>
      <c r="G6" s="20" t="s">
        <v>149</v>
      </c>
      <c r="H6" s="18">
        <v>18351295</v>
      </c>
      <c r="I6" s="18">
        <v>4013</v>
      </c>
      <c r="J6" s="4" t="s">
        <v>12</v>
      </c>
      <c r="K6" s="26" t="s">
        <v>11</v>
      </c>
      <c r="L6" s="172">
        <v>1853</v>
      </c>
      <c r="M6" s="6">
        <v>30</v>
      </c>
      <c r="N6" s="6"/>
      <c r="O6" s="6">
        <v>0</v>
      </c>
      <c r="P6" s="6"/>
      <c r="Q6" s="7">
        <v>30</v>
      </c>
      <c r="R6" s="6"/>
      <c r="S6" s="1">
        <v>7</v>
      </c>
      <c r="U6" s="1">
        <v>0</v>
      </c>
      <c r="W6" s="1" t="str">
        <f t="shared" si="0"/>
        <v>No</v>
      </c>
    </row>
    <row r="7" spans="1:26" s="1" customFormat="1" ht="11.25">
      <c r="A7" s="2" t="s">
        <v>1159</v>
      </c>
      <c r="B7" s="21" t="s">
        <v>1158</v>
      </c>
      <c r="C7" s="26" t="s">
        <v>62</v>
      </c>
      <c r="D7" s="163">
        <v>2080</v>
      </c>
      <c r="E7" s="166">
        <v>20080</v>
      </c>
      <c r="F7" s="92" t="s">
        <v>348</v>
      </c>
      <c r="G7" s="20" t="s">
        <v>149</v>
      </c>
      <c r="H7" s="18">
        <v>18351295</v>
      </c>
      <c r="I7" s="18">
        <v>4013</v>
      </c>
      <c r="J7" s="4" t="s">
        <v>20</v>
      </c>
      <c r="K7" s="26" t="s">
        <v>11</v>
      </c>
      <c r="L7" s="172">
        <v>1184</v>
      </c>
      <c r="M7" s="6">
        <v>79</v>
      </c>
      <c r="N7" s="6"/>
      <c r="O7" s="6">
        <v>87</v>
      </c>
      <c r="P7" s="6"/>
      <c r="Q7" s="7">
        <v>166</v>
      </c>
      <c r="R7" s="6"/>
      <c r="S7" s="1">
        <v>104</v>
      </c>
      <c r="U7" s="1">
        <v>75</v>
      </c>
      <c r="W7" s="1" t="str">
        <f t="shared" si="0"/>
        <v>No</v>
      </c>
    </row>
    <row r="8" spans="1:26" s="1" customFormat="1" ht="11.25">
      <c r="A8" s="2" t="s">
        <v>1159</v>
      </c>
      <c r="B8" s="21" t="s">
        <v>1158</v>
      </c>
      <c r="C8" s="26" t="s">
        <v>62</v>
      </c>
      <c r="D8" s="163">
        <v>2080</v>
      </c>
      <c r="E8" s="166">
        <v>20080</v>
      </c>
      <c r="F8" s="92" t="s">
        <v>348</v>
      </c>
      <c r="G8" s="20" t="s">
        <v>149</v>
      </c>
      <c r="H8" s="18">
        <v>18351295</v>
      </c>
      <c r="I8" s="18">
        <v>4013</v>
      </c>
      <c r="J8" s="4" t="s">
        <v>12</v>
      </c>
      <c r="K8" s="26" t="s">
        <v>15</v>
      </c>
      <c r="L8" s="172">
        <v>180</v>
      </c>
      <c r="M8" s="6">
        <v>0</v>
      </c>
      <c r="N8" s="6"/>
      <c r="O8" s="6">
        <v>0</v>
      </c>
      <c r="P8" s="6"/>
      <c r="Q8" s="7">
        <v>0</v>
      </c>
      <c r="R8" s="6"/>
      <c r="S8" s="1">
        <v>0</v>
      </c>
      <c r="U8" s="1">
        <v>0</v>
      </c>
      <c r="W8" s="1" t="str">
        <f t="shared" si="0"/>
        <v>No</v>
      </c>
    </row>
    <row r="9" spans="1:26" s="1" customFormat="1" ht="11.25">
      <c r="A9" s="2" t="s">
        <v>1159</v>
      </c>
      <c r="B9" s="21" t="s">
        <v>1158</v>
      </c>
      <c r="C9" s="26" t="s">
        <v>62</v>
      </c>
      <c r="D9" s="163">
        <v>2080</v>
      </c>
      <c r="E9" s="166">
        <v>20080</v>
      </c>
      <c r="F9" s="92" t="s">
        <v>348</v>
      </c>
      <c r="G9" s="20" t="s">
        <v>149</v>
      </c>
      <c r="H9" s="18">
        <v>18351295</v>
      </c>
      <c r="I9" s="18">
        <v>4013</v>
      </c>
      <c r="J9" s="4" t="s">
        <v>18</v>
      </c>
      <c r="K9" s="26" t="s">
        <v>11</v>
      </c>
      <c r="L9" s="172">
        <v>14</v>
      </c>
      <c r="M9" s="6">
        <v>11</v>
      </c>
      <c r="N9" s="6"/>
      <c r="O9" s="6">
        <v>6</v>
      </c>
      <c r="P9" s="6"/>
      <c r="Q9" s="7">
        <v>17</v>
      </c>
      <c r="R9" s="6"/>
      <c r="S9" s="1">
        <v>5</v>
      </c>
      <c r="U9" s="1">
        <v>2</v>
      </c>
      <c r="W9" s="1" t="str">
        <f t="shared" si="0"/>
        <v>No</v>
      </c>
    </row>
    <row r="10" spans="1:26" s="1" customFormat="1" ht="11.25">
      <c r="A10" s="2" t="s">
        <v>1159</v>
      </c>
      <c r="B10" s="21" t="s">
        <v>1158</v>
      </c>
      <c r="C10" s="26" t="s">
        <v>62</v>
      </c>
      <c r="D10" s="163">
        <v>2080</v>
      </c>
      <c r="E10" s="166">
        <v>20080</v>
      </c>
      <c r="F10" s="92" t="s">
        <v>348</v>
      </c>
      <c r="G10" s="20" t="s">
        <v>149</v>
      </c>
      <c r="H10" s="18">
        <v>18351295</v>
      </c>
      <c r="I10" s="18">
        <v>4013</v>
      </c>
      <c r="J10" s="4" t="s">
        <v>26</v>
      </c>
      <c r="K10" s="26" t="s">
        <v>15</v>
      </c>
      <c r="L10" s="172">
        <v>17</v>
      </c>
      <c r="M10" s="6">
        <v>21</v>
      </c>
      <c r="N10" s="6"/>
      <c r="O10" s="6">
        <v>0</v>
      </c>
      <c r="P10" s="6"/>
      <c r="Q10" s="7">
        <v>21</v>
      </c>
      <c r="R10" s="6"/>
      <c r="S10" s="1">
        <v>0</v>
      </c>
      <c r="U10" s="1">
        <v>0</v>
      </c>
      <c r="W10" s="1" t="str">
        <f t="shared" si="0"/>
        <v>No</v>
      </c>
    </row>
    <row r="11" spans="1:26" s="1" customFormat="1" ht="11.25">
      <c r="A11" s="2" t="s">
        <v>1159</v>
      </c>
      <c r="B11" s="21" t="s">
        <v>1158</v>
      </c>
      <c r="C11" s="26" t="s">
        <v>62</v>
      </c>
      <c r="D11" s="163">
        <v>2080</v>
      </c>
      <c r="E11" s="166">
        <v>20080</v>
      </c>
      <c r="F11" s="92" t="s">
        <v>348</v>
      </c>
      <c r="G11" s="20" t="s">
        <v>149</v>
      </c>
      <c r="H11" s="18">
        <v>18351295</v>
      </c>
      <c r="I11" s="18">
        <v>4013</v>
      </c>
      <c r="J11" s="4" t="s">
        <v>18</v>
      </c>
      <c r="K11" s="26" t="s">
        <v>15</v>
      </c>
      <c r="L11" s="172">
        <v>42</v>
      </c>
      <c r="M11" s="6">
        <v>24</v>
      </c>
      <c r="N11" s="6"/>
      <c r="O11" s="6">
        <v>0</v>
      </c>
      <c r="P11" s="6"/>
      <c r="Q11" s="7">
        <v>24</v>
      </c>
      <c r="R11" s="6"/>
      <c r="S11" s="1">
        <v>15</v>
      </c>
      <c r="U11" s="1">
        <v>0</v>
      </c>
      <c r="W11" s="1" t="str">
        <f t="shared" si="0"/>
        <v>No</v>
      </c>
    </row>
    <row r="12" spans="1:26" s="1" customFormat="1" ht="11.25">
      <c r="A12" s="2" t="s">
        <v>1077</v>
      </c>
      <c r="B12" s="21" t="s">
        <v>857</v>
      </c>
      <c r="C12" s="26" t="s">
        <v>19</v>
      </c>
      <c r="D12" s="163">
        <v>9154</v>
      </c>
      <c r="E12" s="166">
        <v>90154</v>
      </c>
      <c r="F12" s="92" t="s">
        <v>160</v>
      </c>
      <c r="G12" s="20" t="s">
        <v>149</v>
      </c>
      <c r="H12" s="18">
        <v>12150996</v>
      </c>
      <c r="I12" s="18">
        <v>3505</v>
      </c>
      <c r="J12" s="4" t="s">
        <v>12</v>
      </c>
      <c r="K12" s="26" t="s">
        <v>11</v>
      </c>
      <c r="L12" s="172">
        <v>1750</v>
      </c>
      <c r="M12" s="6">
        <v>12</v>
      </c>
      <c r="N12" s="6"/>
      <c r="O12" s="6">
        <v>0</v>
      </c>
      <c r="P12" s="6"/>
      <c r="Q12" s="7">
        <v>12</v>
      </c>
      <c r="R12" s="6"/>
      <c r="S12" s="1">
        <v>25</v>
      </c>
      <c r="U12" s="1">
        <v>7</v>
      </c>
      <c r="W12" s="1" t="str">
        <f t="shared" si="0"/>
        <v>No</v>
      </c>
    </row>
    <row r="13" spans="1:26" s="1" customFormat="1" ht="11.25">
      <c r="A13" s="2" t="s">
        <v>1077</v>
      </c>
      <c r="B13" s="21" t="s">
        <v>857</v>
      </c>
      <c r="C13" s="26" t="s">
        <v>19</v>
      </c>
      <c r="D13" s="163">
        <v>9154</v>
      </c>
      <c r="E13" s="166">
        <v>90154</v>
      </c>
      <c r="F13" s="92" t="s">
        <v>160</v>
      </c>
      <c r="G13" s="20" t="s">
        <v>149</v>
      </c>
      <c r="H13" s="18">
        <v>12150996</v>
      </c>
      <c r="I13" s="18">
        <v>3505</v>
      </c>
      <c r="J13" s="4" t="s">
        <v>12</v>
      </c>
      <c r="K13" s="26" t="s">
        <v>15</v>
      </c>
      <c r="L13" s="172">
        <v>133</v>
      </c>
      <c r="M13" s="6">
        <v>45</v>
      </c>
      <c r="N13" s="6"/>
      <c r="O13" s="6">
        <v>0</v>
      </c>
      <c r="P13" s="6"/>
      <c r="Q13" s="7">
        <v>45</v>
      </c>
      <c r="R13" s="6"/>
      <c r="S13" s="1">
        <v>57</v>
      </c>
      <c r="U13" s="1">
        <v>51</v>
      </c>
      <c r="W13" s="1" t="str">
        <f t="shared" si="0"/>
        <v>No</v>
      </c>
    </row>
    <row r="14" spans="1:26" s="1" customFormat="1" ht="11.25">
      <c r="A14" s="2" t="s">
        <v>1077</v>
      </c>
      <c r="B14" s="21" t="s">
        <v>857</v>
      </c>
      <c r="C14" s="26" t="s">
        <v>19</v>
      </c>
      <c r="D14" s="163">
        <v>9154</v>
      </c>
      <c r="E14" s="166">
        <v>90154</v>
      </c>
      <c r="F14" s="92" t="s">
        <v>160</v>
      </c>
      <c r="G14" s="20" t="s">
        <v>149</v>
      </c>
      <c r="H14" s="18">
        <v>12150996</v>
      </c>
      <c r="I14" s="18">
        <v>3505</v>
      </c>
      <c r="J14" s="4" t="s">
        <v>24</v>
      </c>
      <c r="K14" s="26" t="s">
        <v>11</v>
      </c>
      <c r="L14" s="172">
        <v>68</v>
      </c>
      <c r="M14" s="6">
        <v>16</v>
      </c>
      <c r="N14" s="6"/>
      <c r="O14" s="6">
        <v>0</v>
      </c>
      <c r="P14" s="6"/>
      <c r="Q14" s="7">
        <v>16</v>
      </c>
      <c r="R14" s="6"/>
      <c r="S14" s="1">
        <v>55</v>
      </c>
      <c r="U14" s="1">
        <v>108</v>
      </c>
      <c r="W14" s="1" t="str">
        <f t="shared" si="0"/>
        <v>No</v>
      </c>
    </row>
    <row r="15" spans="1:26" s="1" customFormat="1" ht="11.25">
      <c r="A15" s="2" t="s">
        <v>1077</v>
      </c>
      <c r="B15" s="21" t="s">
        <v>857</v>
      </c>
      <c r="C15" s="26" t="s">
        <v>19</v>
      </c>
      <c r="D15" s="163">
        <v>9154</v>
      </c>
      <c r="E15" s="166">
        <v>90154</v>
      </c>
      <c r="F15" s="92" t="s">
        <v>160</v>
      </c>
      <c r="G15" s="20" t="s">
        <v>149</v>
      </c>
      <c r="H15" s="18">
        <v>12150996</v>
      </c>
      <c r="I15" s="18">
        <v>3505</v>
      </c>
      <c r="J15" s="4" t="s">
        <v>25</v>
      </c>
      <c r="K15" s="26" t="s">
        <v>11</v>
      </c>
      <c r="L15" s="172">
        <v>33</v>
      </c>
      <c r="M15" s="6">
        <v>1</v>
      </c>
      <c r="N15" s="6"/>
      <c r="O15" s="6">
        <v>0</v>
      </c>
      <c r="P15" s="6"/>
      <c r="Q15" s="7">
        <v>1</v>
      </c>
      <c r="R15" s="6"/>
      <c r="S15" s="1">
        <v>0</v>
      </c>
      <c r="U15" s="1">
        <v>0</v>
      </c>
      <c r="W15" s="1" t="str">
        <f t="shared" si="0"/>
        <v>No</v>
      </c>
    </row>
    <row r="16" spans="1:26" s="1" customFormat="1" ht="11.25">
      <c r="A16" s="2" t="s">
        <v>1077</v>
      </c>
      <c r="B16" s="21" t="s">
        <v>857</v>
      </c>
      <c r="C16" s="26" t="s">
        <v>19</v>
      </c>
      <c r="D16" s="163">
        <v>9154</v>
      </c>
      <c r="E16" s="166">
        <v>90154</v>
      </c>
      <c r="F16" s="92" t="s">
        <v>160</v>
      </c>
      <c r="G16" s="20" t="s">
        <v>149</v>
      </c>
      <c r="H16" s="18">
        <v>12150996</v>
      </c>
      <c r="I16" s="18">
        <v>3505</v>
      </c>
      <c r="J16" s="4" t="s">
        <v>18</v>
      </c>
      <c r="K16" s="26" t="s">
        <v>11</v>
      </c>
      <c r="L16" s="172">
        <v>181</v>
      </c>
      <c r="M16" s="6">
        <v>79</v>
      </c>
      <c r="N16" s="6"/>
      <c r="O16" s="6">
        <v>0</v>
      </c>
      <c r="P16" s="6"/>
      <c r="Q16" s="7">
        <v>79</v>
      </c>
      <c r="R16" s="6"/>
      <c r="S16" s="1">
        <v>81</v>
      </c>
      <c r="U16" s="1">
        <v>29</v>
      </c>
      <c r="W16" s="1" t="str">
        <f t="shared" si="0"/>
        <v>No</v>
      </c>
    </row>
    <row r="17" spans="1:23" s="1" customFormat="1" ht="11.25">
      <c r="A17" s="2" t="s">
        <v>1685</v>
      </c>
      <c r="B17" s="21" t="s">
        <v>509</v>
      </c>
      <c r="C17" s="26" t="s">
        <v>88</v>
      </c>
      <c r="D17" s="163">
        <v>1</v>
      </c>
      <c r="E17" s="166">
        <v>1</v>
      </c>
      <c r="F17" s="92" t="s">
        <v>152</v>
      </c>
      <c r="G17" s="20" t="s">
        <v>149</v>
      </c>
      <c r="H17" s="18">
        <v>3059393</v>
      </c>
      <c r="I17" s="18">
        <v>3154</v>
      </c>
      <c r="J17" s="4" t="s">
        <v>12</v>
      </c>
      <c r="K17" s="26" t="s">
        <v>15</v>
      </c>
      <c r="L17" s="172">
        <v>29</v>
      </c>
      <c r="M17" s="6">
        <v>0</v>
      </c>
      <c r="N17" s="6"/>
      <c r="O17" s="6">
        <v>0</v>
      </c>
      <c r="P17" s="6"/>
      <c r="Q17" s="7">
        <v>0</v>
      </c>
      <c r="R17" s="6"/>
      <c r="S17" s="1">
        <v>0</v>
      </c>
      <c r="U17" s="1">
        <v>0</v>
      </c>
      <c r="W17" s="1" t="str">
        <f t="shared" si="0"/>
        <v>No</v>
      </c>
    </row>
    <row r="18" spans="1:23" s="1" customFormat="1" ht="11.25">
      <c r="A18" s="2" t="s">
        <v>1685</v>
      </c>
      <c r="B18" s="21" t="s">
        <v>509</v>
      </c>
      <c r="C18" s="26" t="s">
        <v>88</v>
      </c>
      <c r="D18" s="163">
        <v>1</v>
      </c>
      <c r="E18" s="166">
        <v>1</v>
      </c>
      <c r="F18" s="92" t="s">
        <v>152</v>
      </c>
      <c r="G18" s="20" t="s">
        <v>149</v>
      </c>
      <c r="H18" s="18">
        <v>3059393</v>
      </c>
      <c r="I18" s="18">
        <v>3154</v>
      </c>
      <c r="J18" s="4" t="s">
        <v>33</v>
      </c>
      <c r="K18" s="26" t="s">
        <v>11</v>
      </c>
      <c r="L18" s="172">
        <v>8</v>
      </c>
      <c r="M18" s="6">
        <v>25</v>
      </c>
      <c r="N18" s="6"/>
      <c r="O18" s="6">
        <v>0</v>
      </c>
      <c r="P18" s="6"/>
      <c r="Q18" s="7">
        <v>25</v>
      </c>
      <c r="R18" s="6"/>
      <c r="S18" s="1">
        <v>0</v>
      </c>
      <c r="U18" s="1">
        <v>0</v>
      </c>
      <c r="W18" s="1" t="str">
        <f t="shared" si="0"/>
        <v>No</v>
      </c>
    </row>
    <row r="19" spans="1:23" s="1" customFormat="1" ht="11.25">
      <c r="A19" s="2" t="s">
        <v>1685</v>
      </c>
      <c r="B19" s="21" t="s">
        <v>509</v>
      </c>
      <c r="C19" s="26" t="s">
        <v>88</v>
      </c>
      <c r="D19" s="163">
        <v>1</v>
      </c>
      <c r="E19" s="166">
        <v>1</v>
      </c>
      <c r="F19" s="92" t="s">
        <v>152</v>
      </c>
      <c r="G19" s="20" t="s">
        <v>149</v>
      </c>
      <c r="H19" s="18">
        <v>3059393</v>
      </c>
      <c r="I19" s="18">
        <v>3154</v>
      </c>
      <c r="J19" s="4" t="s">
        <v>22</v>
      </c>
      <c r="K19" s="26" t="s">
        <v>11</v>
      </c>
      <c r="L19" s="172">
        <v>2</v>
      </c>
      <c r="M19" s="6">
        <v>0</v>
      </c>
      <c r="N19" s="6"/>
      <c r="O19" s="6">
        <v>3</v>
      </c>
      <c r="P19" s="6"/>
      <c r="Q19" s="7">
        <v>3</v>
      </c>
      <c r="R19" s="6"/>
      <c r="S19" s="1">
        <v>0</v>
      </c>
      <c r="U19" s="1">
        <v>0</v>
      </c>
      <c r="W19" s="1" t="str">
        <f t="shared" si="0"/>
        <v>No</v>
      </c>
    </row>
    <row r="20" spans="1:23" s="1" customFormat="1" ht="11.25">
      <c r="A20" s="2" t="s">
        <v>1685</v>
      </c>
      <c r="B20" s="21" t="s">
        <v>509</v>
      </c>
      <c r="C20" s="26" t="s">
        <v>88</v>
      </c>
      <c r="D20" s="163">
        <v>1</v>
      </c>
      <c r="E20" s="166">
        <v>1</v>
      </c>
      <c r="F20" s="92" t="s">
        <v>152</v>
      </c>
      <c r="G20" s="20" t="s">
        <v>149</v>
      </c>
      <c r="H20" s="18">
        <v>3059393</v>
      </c>
      <c r="I20" s="18">
        <v>3154</v>
      </c>
      <c r="J20" s="4" t="s">
        <v>46</v>
      </c>
      <c r="K20" s="26" t="s">
        <v>11</v>
      </c>
      <c r="L20" s="172">
        <v>140</v>
      </c>
      <c r="M20" s="6">
        <v>0</v>
      </c>
      <c r="N20" s="6"/>
      <c r="O20" s="6">
        <v>0</v>
      </c>
      <c r="P20" s="6"/>
      <c r="Q20" s="7">
        <v>0</v>
      </c>
      <c r="R20" s="6"/>
      <c r="S20" s="1">
        <v>0</v>
      </c>
      <c r="U20" s="1">
        <v>0</v>
      </c>
      <c r="W20" s="1" t="str">
        <f t="shared" si="0"/>
        <v>No</v>
      </c>
    </row>
    <row r="21" spans="1:23" s="1" customFormat="1" ht="11.25">
      <c r="A21" s="2" t="s">
        <v>1685</v>
      </c>
      <c r="B21" s="21" t="s">
        <v>509</v>
      </c>
      <c r="C21" s="26" t="s">
        <v>88</v>
      </c>
      <c r="D21" s="163">
        <v>1</v>
      </c>
      <c r="E21" s="166">
        <v>1</v>
      </c>
      <c r="F21" s="92" t="s">
        <v>152</v>
      </c>
      <c r="G21" s="20" t="s">
        <v>149</v>
      </c>
      <c r="H21" s="18">
        <v>3059393</v>
      </c>
      <c r="I21" s="18">
        <v>3154</v>
      </c>
      <c r="J21" s="4" t="s">
        <v>12</v>
      </c>
      <c r="K21" s="26" t="s">
        <v>11</v>
      </c>
      <c r="L21" s="172">
        <v>986</v>
      </c>
      <c r="M21" s="6">
        <v>14</v>
      </c>
      <c r="N21" s="6"/>
      <c r="O21" s="6">
        <v>0</v>
      </c>
      <c r="P21" s="6"/>
      <c r="Q21" s="7">
        <v>14</v>
      </c>
      <c r="R21" s="6"/>
      <c r="S21" s="1">
        <v>38</v>
      </c>
      <c r="U21" s="1">
        <v>40</v>
      </c>
      <c r="W21" s="1" t="str">
        <f t="shared" si="0"/>
        <v>No</v>
      </c>
    </row>
    <row r="22" spans="1:23" s="1" customFormat="1" ht="11.25">
      <c r="A22" s="2" t="s">
        <v>1358</v>
      </c>
      <c r="B22" s="21" t="s">
        <v>229</v>
      </c>
      <c r="C22" s="26" t="s">
        <v>31</v>
      </c>
      <c r="D22" s="163">
        <v>3030</v>
      </c>
      <c r="E22" s="166">
        <v>30030</v>
      </c>
      <c r="F22" s="92" t="s">
        <v>160</v>
      </c>
      <c r="G22" s="20" t="s">
        <v>149</v>
      </c>
      <c r="H22" s="18">
        <v>4586770</v>
      </c>
      <c r="I22" s="18">
        <v>3129</v>
      </c>
      <c r="J22" s="4" t="s">
        <v>24</v>
      </c>
      <c r="K22" s="26" t="s">
        <v>11</v>
      </c>
      <c r="L22" s="172">
        <v>954</v>
      </c>
      <c r="M22" s="6">
        <v>91</v>
      </c>
      <c r="N22" s="6"/>
      <c r="O22" s="6">
        <v>0</v>
      </c>
      <c r="P22" s="6"/>
      <c r="Q22" s="7">
        <v>91</v>
      </c>
      <c r="R22" s="6"/>
      <c r="S22" s="1">
        <v>278</v>
      </c>
      <c r="U22" s="1">
        <v>618</v>
      </c>
      <c r="W22" s="1" t="str">
        <f t="shared" si="0"/>
        <v>No</v>
      </c>
    </row>
    <row r="23" spans="1:23" s="1" customFormat="1" ht="11.25">
      <c r="A23" s="2" t="s">
        <v>1358</v>
      </c>
      <c r="B23" s="21" t="s">
        <v>229</v>
      </c>
      <c r="C23" s="26" t="s">
        <v>31</v>
      </c>
      <c r="D23" s="163">
        <v>3030</v>
      </c>
      <c r="E23" s="166">
        <v>30030</v>
      </c>
      <c r="F23" s="92" t="s">
        <v>160</v>
      </c>
      <c r="G23" s="20" t="s">
        <v>149</v>
      </c>
      <c r="H23" s="18">
        <v>4586770</v>
      </c>
      <c r="I23" s="18">
        <v>3129</v>
      </c>
      <c r="J23" s="4" t="s">
        <v>12</v>
      </c>
      <c r="K23" s="26" t="s">
        <v>11</v>
      </c>
      <c r="L23" s="172">
        <v>1290</v>
      </c>
      <c r="M23" s="6">
        <v>3</v>
      </c>
      <c r="N23" s="6"/>
      <c r="O23" s="6">
        <v>0</v>
      </c>
      <c r="P23" s="6"/>
      <c r="Q23" s="7">
        <v>3</v>
      </c>
      <c r="R23" s="6"/>
      <c r="S23" s="1">
        <v>0</v>
      </c>
      <c r="U23" s="1">
        <v>0</v>
      </c>
      <c r="W23" s="1" t="str">
        <f t="shared" si="0"/>
        <v>No</v>
      </c>
    </row>
    <row r="24" spans="1:23" s="1" customFormat="1" ht="11.25">
      <c r="A24" s="2" t="s">
        <v>719</v>
      </c>
      <c r="B24" s="21" t="s">
        <v>720</v>
      </c>
      <c r="C24" s="26" t="s">
        <v>39</v>
      </c>
      <c r="D24" s="163">
        <v>5066</v>
      </c>
      <c r="E24" s="166">
        <v>50066</v>
      </c>
      <c r="F24" s="92" t="s">
        <v>160</v>
      </c>
      <c r="G24" s="20" t="s">
        <v>149</v>
      </c>
      <c r="H24" s="18">
        <v>8608208</v>
      </c>
      <c r="I24" s="18">
        <v>2719</v>
      </c>
      <c r="J24" s="4" t="s">
        <v>24</v>
      </c>
      <c r="K24" s="26" t="s">
        <v>11</v>
      </c>
      <c r="L24" s="172">
        <v>1140</v>
      </c>
      <c r="M24" s="6">
        <v>101</v>
      </c>
      <c r="N24" s="6"/>
      <c r="O24" s="6">
        <v>44</v>
      </c>
      <c r="P24" s="6"/>
      <c r="Q24" s="7">
        <v>145</v>
      </c>
      <c r="R24" s="6"/>
      <c r="S24" s="1">
        <v>178</v>
      </c>
      <c r="U24" s="1">
        <v>166</v>
      </c>
      <c r="W24" s="1" t="str">
        <f t="shared" si="0"/>
        <v>No</v>
      </c>
    </row>
    <row r="25" spans="1:23" s="1" customFormat="1" ht="11.25">
      <c r="A25" s="2" t="s">
        <v>719</v>
      </c>
      <c r="B25" s="21" t="s">
        <v>720</v>
      </c>
      <c r="C25" s="26" t="s">
        <v>39</v>
      </c>
      <c r="D25" s="163">
        <v>5066</v>
      </c>
      <c r="E25" s="166">
        <v>50066</v>
      </c>
      <c r="F25" s="92" t="s">
        <v>160</v>
      </c>
      <c r="G25" s="20" t="s">
        <v>149</v>
      </c>
      <c r="H25" s="18">
        <v>8608208</v>
      </c>
      <c r="I25" s="18">
        <v>2719</v>
      </c>
      <c r="J25" s="4" t="s">
        <v>12</v>
      </c>
      <c r="K25" s="26" t="s">
        <v>11</v>
      </c>
      <c r="L25" s="172">
        <v>1579</v>
      </c>
      <c r="M25" s="6">
        <v>0</v>
      </c>
      <c r="N25" s="6"/>
      <c r="O25" s="6">
        <v>0</v>
      </c>
      <c r="P25" s="6"/>
      <c r="Q25" s="7">
        <v>0</v>
      </c>
      <c r="R25" s="6"/>
      <c r="S25" s="1">
        <v>0</v>
      </c>
      <c r="U25" s="1">
        <v>0</v>
      </c>
      <c r="W25" s="1" t="str">
        <f t="shared" si="0"/>
        <v>No</v>
      </c>
    </row>
    <row r="26" spans="1:23" s="1" customFormat="1" ht="11.25">
      <c r="A26" s="2" t="s">
        <v>1095</v>
      </c>
      <c r="B26" s="21" t="s">
        <v>1096</v>
      </c>
      <c r="C26" s="26" t="s">
        <v>45</v>
      </c>
      <c r="D26" s="163">
        <v>1003</v>
      </c>
      <c r="E26" s="166">
        <v>10003</v>
      </c>
      <c r="F26" s="92" t="s">
        <v>160</v>
      </c>
      <c r="G26" s="20" t="s">
        <v>149</v>
      </c>
      <c r="H26" s="18">
        <v>4181019</v>
      </c>
      <c r="I26" s="18">
        <v>2453</v>
      </c>
      <c r="J26" s="4" t="s">
        <v>46</v>
      </c>
      <c r="K26" s="26" t="s">
        <v>11</v>
      </c>
      <c r="L26" s="172">
        <v>22</v>
      </c>
      <c r="M26" s="6">
        <v>1</v>
      </c>
      <c r="N26" s="6"/>
      <c r="O26" s="6">
        <v>0</v>
      </c>
      <c r="P26" s="6"/>
      <c r="Q26" s="7">
        <v>1</v>
      </c>
      <c r="R26" s="6"/>
      <c r="S26" s="1">
        <v>0</v>
      </c>
      <c r="U26" s="1">
        <v>0</v>
      </c>
      <c r="W26" s="1" t="str">
        <f t="shared" si="0"/>
        <v>No</v>
      </c>
    </row>
    <row r="27" spans="1:23" s="1" customFormat="1" ht="11.25">
      <c r="A27" s="2" t="s">
        <v>1095</v>
      </c>
      <c r="B27" s="21" t="s">
        <v>1096</v>
      </c>
      <c r="C27" s="26" t="s">
        <v>45</v>
      </c>
      <c r="D27" s="163">
        <v>1003</v>
      </c>
      <c r="E27" s="166">
        <v>10003</v>
      </c>
      <c r="F27" s="92" t="s">
        <v>160</v>
      </c>
      <c r="G27" s="20" t="s">
        <v>149</v>
      </c>
      <c r="H27" s="18">
        <v>4181019</v>
      </c>
      <c r="I27" s="18">
        <v>2453</v>
      </c>
      <c r="J27" s="4" t="s">
        <v>22</v>
      </c>
      <c r="K27" s="26" t="s">
        <v>15</v>
      </c>
      <c r="L27" s="172">
        <v>9</v>
      </c>
      <c r="M27" s="6">
        <v>8</v>
      </c>
      <c r="N27" s="6"/>
      <c r="O27" s="6">
        <v>1</v>
      </c>
      <c r="P27" s="6"/>
      <c r="Q27" s="7">
        <v>9</v>
      </c>
      <c r="R27" s="6"/>
      <c r="S27" s="1">
        <v>0</v>
      </c>
      <c r="U27" s="1">
        <v>0</v>
      </c>
      <c r="W27" s="1" t="str">
        <f t="shared" si="0"/>
        <v>No</v>
      </c>
    </row>
    <row r="28" spans="1:23" s="1" customFormat="1" ht="11.25">
      <c r="A28" s="2" t="s">
        <v>1095</v>
      </c>
      <c r="B28" s="21" t="s">
        <v>1096</v>
      </c>
      <c r="C28" s="26" t="s">
        <v>45</v>
      </c>
      <c r="D28" s="163">
        <v>1003</v>
      </c>
      <c r="E28" s="166">
        <v>10003</v>
      </c>
      <c r="F28" s="92" t="s">
        <v>160</v>
      </c>
      <c r="G28" s="20" t="s">
        <v>149</v>
      </c>
      <c r="H28" s="18">
        <v>4181019</v>
      </c>
      <c r="I28" s="18">
        <v>2453</v>
      </c>
      <c r="J28" s="4" t="s">
        <v>12</v>
      </c>
      <c r="K28" s="26" t="s">
        <v>15</v>
      </c>
      <c r="L28" s="172">
        <v>8</v>
      </c>
      <c r="M28" s="6">
        <v>0</v>
      </c>
      <c r="N28" s="6"/>
      <c r="O28" s="6">
        <v>0</v>
      </c>
      <c r="P28" s="6"/>
      <c r="Q28" s="7">
        <v>0</v>
      </c>
      <c r="R28" s="6"/>
      <c r="S28" s="1">
        <v>0</v>
      </c>
      <c r="U28" s="1">
        <v>0</v>
      </c>
      <c r="W28" s="1" t="str">
        <f t="shared" si="0"/>
        <v>No</v>
      </c>
    </row>
    <row r="29" spans="1:23" s="1" customFormat="1" ht="11.25">
      <c r="A29" s="2" t="s">
        <v>1095</v>
      </c>
      <c r="B29" s="21" t="s">
        <v>1096</v>
      </c>
      <c r="C29" s="26" t="s">
        <v>45</v>
      </c>
      <c r="D29" s="163">
        <v>1003</v>
      </c>
      <c r="E29" s="166">
        <v>10003</v>
      </c>
      <c r="F29" s="92" t="s">
        <v>160</v>
      </c>
      <c r="G29" s="20" t="s">
        <v>149</v>
      </c>
      <c r="H29" s="18">
        <v>4181019</v>
      </c>
      <c r="I29" s="18">
        <v>2453</v>
      </c>
      <c r="J29" s="4" t="s">
        <v>24</v>
      </c>
      <c r="K29" s="26" t="s">
        <v>11</v>
      </c>
      <c r="L29" s="172">
        <v>336</v>
      </c>
      <c r="M29" s="6">
        <v>52</v>
      </c>
      <c r="N29" s="6"/>
      <c r="O29" s="6">
        <v>2</v>
      </c>
      <c r="P29" s="6"/>
      <c r="Q29" s="7">
        <v>54</v>
      </c>
      <c r="R29" s="6"/>
      <c r="S29" s="1">
        <v>135</v>
      </c>
      <c r="U29" s="1">
        <v>151</v>
      </c>
      <c r="W29" s="1" t="str">
        <f t="shared" si="0"/>
        <v>No</v>
      </c>
    </row>
    <row r="30" spans="1:23" s="1" customFormat="1" ht="11.25">
      <c r="A30" s="2" t="s">
        <v>1095</v>
      </c>
      <c r="B30" s="21" t="s">
        <v>1096</v>
      </c>
      <c r="C30" s="26" t="s">
        <v>45</v>
      </c>
      <c r="D30" s="163">
        <v>1003</v>
      </c>
      <c r="E30" s="166">
        <v>10003</v>
      </c>
      <c r="F30" s="92" t="s">
        <v>160</v>
      </c>
      <c r="G30" s="20" t="s">
        <v>149</v>
      </c>
      <c r="H30" s="18">
        <v>4181019</v>
      </c>
      <c r="I30" s="18">
        <v>2453</v>
      </c>
      <c r="J30" s="4" t="s">
        <v>25</v>
      </c>
      <c r="K30" s="26" t="s">
        <v>11</v>
      </c>
      <c r="L30" s="172">
        <v>30</v>
      </c>
      <c r="M30" s="6">
        <v>15</v>
      </c>
      <c r="N30" s="6"/>
      <c r="O30" s="6">
        <v>0</v>
      </c>
      <c r="P30" s="6"/>
      <c r="Q30" s="7">
        <v>15</v>
      </c>
      <c r="R30" s="6"/>
      <c r="S30" s="1">
        <v>7</v>
      </c>
      <c r="U30" s="1">
        <v>11</v>
      </c>
      <c r="W30" s="1" t="str">
        <f t="shared" si="0"/>
        <v>No</v>
      </c>
    </row>
    <row r="31" spans="1:23" s="1" customFormat="1" ht="11.25">
      <c r="A31" s="2" t="s">
        <v>1095</v>
      </c>
      <c r="B31" s="21" t="s">
        <v>1096</v>
      </c>
      <c r="C31" s="26" t="s">
        <v>45</v>
      </c>
      <c r="D31" s="163">
        <v>1003</v>
      </c>
      <c r="E31" s="166">
        <v>10003</v>
      </c>
      <c r="F31" s="92" t="s">
        <v>160</v>
      </c>
      <c r="G31" s="20" t="s">
        <v>149</v>
      </c>
      <c r="H31" s="18">
        <v>4181019</v>
      </c>
      <c r="I31" s="18">
        <v>2453</v>
      </c>
      <c r="J31" s="4" t="s">
        <v>18</v>
      </c>
      <c r="K31" s="26" t="s">
        <v>11</v>
      </c>
      <c r="L31" s="172">
        <v>156</v>
      </c>
      <c r="M31" s="6">
        <v>39</v>
      </c>
      <c r="N31" s="6"/>
      <c r="O31" s="6">
        <v>35</v>
      </c>
      <c r="P31" s="6"/>
      <c r="Q31" s="7">
        <v>74</v>
      </c>
      <c r="R31" s="6"/>
      <c r="S31" s="1">
        <v>23</v>
      </c>
      <c r="U31" s="1">
        <v>18</v>
      </c>
      <c r="W31" s="1" t="str">
        <f t="shared" si="0"/>
        <v>No</v>
      </c>
    </row>
    <row r="32" spans="1:23" s="1" customFormat="1" ht="11.25">
      <c r="A32" s="2" t="s">
        <v>1095</v>
      </c>
      <c r="B32" s="21" t="s">
        <v>1096</v>
      </c>
      <c r="C32" s="26" t="s">
        <v>45</v>
      </c>
      <c r="D32" s="163">
        <v>1003</v>
      </c>
      <c r="E32" s="166">
        <v>10003</v>
      </c>
      <c r="F32" s="92" t="s">
        <v>160</v>
      </c>
      <c r="G32" s="20" t="s">
        <v>149</v>
      </c>
      <c r="H32" s="18">
        <v>4181019</v>
      </c>
      <c r="I32" s="18">
        <v>2453</v>
      </c>
      <c r="J32" s="4" t="s">
        <v>20</v>
      </c>
      <c r="K32" s="26" t="s">
        <v>15</v>
      </c>
      <c r="L32" s="172">
        <v>436</v>
      </c>
      <c r="M32" s="6">
        <v>104</v>
      </c>
      <c r="N32" s="6"/>
      <c r="O32" s="6">
        <v>34</v>
      </c>
      <c r="P32" s="6"/>
      <c r="Q32" s="7">
        <v>138</v>
      </c>
      <c r="R32" s="6"/>
      <c r="S32" s="1">
        <v>4</v>
      </c>
      <c r="U32" s="1">
        <v>11</v>
      </c>
      <c r="W32" s="1" t="str">
        <f t="shared" si="0"/>
        <v>No</v>
      </c>
    </row>
    <row r="33" spans="1:23" s="1" customFormat="1" ht="11.25">
      <c r="A33" s="2" t="s">
        <v>1095</v>
      </c>
      <c r="B33" s="21" t="s">
        <v>1096</v>
      </c>
      <c r="C33" s="26" t="s">
        <v>45</v>
      </c>
      <c r="D33" s="163">
        <v>1003</v>
      </c>
      <c r="E33" s="166">
        <v>10003</v>
      </c>
      <c r="F33" s="92" t="s">
        <v>160</v>
      </c>
      <c r="G33" s="20" t="s">
        <v>149</v>
      </c>
      <c r="H33" s="18">
        <v>4181019</v>
      </c>
      <c r="I33" s="18">
        <v>2453</v>
      </c>
      <c r="J33" s="4" t="s">
        <v>12</v>
      </c>
      <c r="K33" s="26" t="s">
        <v>11</v>
      </c>
      <c r="L33" s="172">
        <v>767</v>
      </c>
      <c r="M33" s="6">
        <v>52</v>
      </c>
      <c r="N33" s="6"/>
      <c r="O33" s="6">
        <v>0</v>
      </c>
      <c r="P33" s="6"/>
      <c r="Q33" s="7">
        <v>52</v>
      </c>
      <c r="R33" s="6"/>
      <c r="S33" s="1">
        <v>12</v>
      </c>
      <c r="U33" s="1">
        <v>8</v>
      </c>
      <c r="W33" s="1" t="str">
        <f t="shared" si="0"/>
        <v>No</v>
      </c>
    </row>
    <row r="34" spans="1:23" s="1" customFormat="1" ht="11.25">
      <c r="A34" s="2" t="s">
        <v>1277</v>
      </c>
      <c r="B34" s="21" t="s">
        <v>1278</v>
      </c>
      <c r="C34" s="26" t="s">
        <v>75</v>
      </c>
      <c r="D34" s="163">
        <v>3019</v>
      </c>
      <c r="E34" s="166">
        <v>30019</v>
      </c>
      <c r="F34" s="92" t="s">
        <v>160</v>
      </c>
      <c r="G34" s="20" t="s">
        <v>149</v>
      </c>
      <c r="H34" s="18">
        <v>5441567</v>
      </c>
      <c r="I34" s="18">
        <v>2375</v>
      </c>
      <c r="J34" s="4" t="s">
        <v>12</v>
      </c>
      <c r="K34" s="26" t="s">
        <v>15</v>
      </c>
      <c r="L34" s="172">
        <v>6</v>
      </c>
      <c r="M34" s="6">
        <v>0</v>
      </c>
      <c r="N34" s="6"/>
      <c r="O34" s="6">
        <v>0</v>
      </c>
      <c r="P34" s="6"/>
      <c r="Q34" s="7">
        <v>0</v>
      </c>
      <c r="R34" s="6"/>
      <c r="S34" s="1">
        <v>0</v>
      </c>
      <c r="U34" s="1">
        <v>0</v>
      </c>
      <c r="W34" s="1" t="str">
        <f t="shared" si="0"/>
        <v>No</v>
      </c>
    </row>
    <row r="35" spans="1:23" s="1" customFormat="1" ht="11.25">
      <c r="A35" s="2" t="s">
        <v>1277</v>
      </c>
      <c r="B35" s="21" t="s">
        <v>1278</v>
      </c>
      <c r="C35" s="26" t="s">
        <v>75</v>
      </c>
      <c r="D35" s="163">
        <v>3019</v>
      </c>
      <c r="E35" s="166">
        <v>30019</v>
      </c>
      <c r="F35" s="92" t="s">
        <v>160</v>
      </c>
      <c r="G35" s="20" t="s">
        <v>149</v>
      </c>
      <c r="H35" s="18">
        <v>5441567</v>
      </c>
      <c r="I35" s="18">
        <v>2375</v>
      </c>
      <c r="J35" s="4" t="s">
        <v>20</v>
      </c>
      <c r="K35" s="26" t="s">
        <v>11</v>
      </c>
      <c r="L35" s="172">
        <v>350</v>
      </c>
      <c r="M35" s="6">
        <v>71</v>
      </c>
      <c r="N35" s="6"/>
      <c r="O35" s="6">
        <v>84</v>
      </c>
      <c r="P35" s="6"/>
      <c r="Q35" s="7">
        <v>155</v>
      </c>
      <c r="R35" s="6"/>
      <c r="S35" s="1">
        <v>39</v>
      </c>
      <c r="U35" s="1">
        <v>22</v>
      </c>
      <c r="W35" s="1" t="str">
        <f t="shared" si="0"/>
        <v>No</v>
      </c>
    </row>
    <row r="36" spans="1:23" s="1" customFormat="1" ht="11.25">
      <c r="A36" s="2" t="s">
        <v>1277</v>
      </c>
      <c r="B36" s="21" t="s">
        <v>1278</v>
      </c>
      <c r="C36" s="26" t="s">
        <v>75</v>
      </c>
      <c r="D36" s="163">
        <v>3019</v>
      </c>
      <c r="E36" s="166">
        <v>30019</v>
      </c>
      <c r="F36" s="92" t="s">
        <v>160</v>
      </c>
      <c r="G36" s="20" t="s">
        <v>149</v>
      </c>
      <c r="H36" s="18">
        <v>5441567</v>
      </c>
      <c r="I36" s="18">
        <v>2375</v>
      </c>
      <c r="J36" s="4" t="s">
        <v>33</v>
      </c>
      <c r="K36" s="26" t="s">
        <v>11</v>
      </c>
      <c r="L36" s="172">
        <v>122</v>
      </c>
      <c r="M36" s="6">
        <v>2</v>
      </c>
      <c r="N36" s="6"/>
      <c r="O36" s="6">
        <v>46</v>
      </c>
      <c r="P36" s="6"/>
      <c r="Q36" s="7">
        <v>48</v>
      </c>
      <c r="R36" s="6"/>
      <c r="S36" s="1">
        <v>4</v>
      </c>
      <c r="U36" s="1">
        <v>1</v>
      </c>
      <c r="W36" s="1" t="str">
        <f t="shared" si="0"/>
        <v>No</v>
      </c>
    </row>
    <row r="37" spans="1:23" s="1" customFormat="1" ht="11.25">
      <c r="A37" s="2" t="s">
        <v>1277</v>
      </c>
      <c r="B37" s="21" t="s">
        <v>1278</v>
      </c>
      <c r="C37" s="26" t="s">
        <v>75</v>
      </c>
      <c r="D37" s="163">
        <v>3019</v>
      </c>
      <c r="E37" s="166">
        <v>30019</v>
      </c>
      <c r="F37" s="92" t="s">
        <v>160</v>
      </c>
      <c r="G37" s="20" t="s">
        <v>149</v>
      </c>
      <c r="H37" s="18">
        <v>5441567</v>
      </c>
      <c r="I37" s="18">
        <v>2375</v>
      </c>
      <c r="J37" s="4" t="s">
        <v>24</v>
      </c>
      <c r="K37" s="26" t="s">
        <v>11</v>
      </c>
      <c r="L37" s="172">
        <v>286</v>
      </c>
      <c r="M37" s="6">
        <v>39</v>
      </c>
      <c r="N37" s="6"/>
      <c r="O37" s="6">
        <v>36</v>
      </c>
      <c r="P37" s="6"/>
      <c r="Q37" s="7">
        <v>75</v>
      </c>
      <c r="R37" s="6"/>
      <c r="S37" s="1">
        <v>78</v>
      </c>
      <c r="U37" s="1">
        <v>36</v>
      </c>
      <c r="W37" s="1" t="str">
        <f t="shared" si="0"/>
        <v>No</v>
      </c>
    </row>
    <row r="38" spans="1:23" s="1" customFormat="1" ht="11.25">
      <c r="A38" s="2" t="s">
        <v>1277</v>
      </c>
      <c r="B38" s="21" t="s">
        <v>1278</v>
      </c>
      <c r="C38" s="26" t="s">
        <v>75</v>
      </c>
      <c r="D38" s="163">
        <v>3019</v>
      </c>
      <c r="E38" s="166">
        <v>30019</v>
      </c>
      <c r="F38" s="92" t="s">
        <v>160</v>
      </c>
      <c r="G38" s="20" t="s">
        <v>149</v>
      </c>
      <c r="H38" s="18">
        <v>5441567</v>
      </c>
      <c r="I38" s="18">
        <v>2375</v>
      </c>
      <c r="J38" s="4" t="s">
        <v>46</v>
      </c>
      <c r="K38" s="26" t="s">
        <v>11</v>
      </c>
      <c r="L38" s="172">
        <v>30</v>
      </c>
      <c r="M38" s="6">
        <v>0</v>
      </c>
      <c r="N38" s="6"/>
      <c r="O38" s="6">
        <v>0</v>
      </c>
      <c r="P38" s="6"/>
      <c r="Q38" s="7">
        <v>0</v>
      </c>
      <c r="R38" s="6"/>
      <c r="S38" s="1">
        <v>0</v>
      </c>
      <c r="U38" s="1">
        <v>0</v>
      </c>
      <c r="W38" s="1" t="str">
        <f t="shared" si="0"/>
        <v>No</v>
      </c>
    </row>
    <row r="39" spans="1:23" s="1" customFormat="1" ht="11.25">
      <c r="A39" s="2" t="s">
        <v>1277</v>
      </c>
      <c r="B39" s="21" t="s">
        <v>1278</v>
      </c>
      <c r="C39" s="26" t="s">
        <v>75</v>
      </c>
      <c r="D39" s="163">
        <v>3019</v>
      </c>
      <c r="E39" s="166">
        <v>30019</v>
      </c>
      <c r="F39" s="92" t="s">
        <v>160</v>
      </c>
      <c r="G39" s="20" t="s">
        <v>149</v>
      </c>
      <c r="H39" s="18">
        <v>5441567</v>
      </c>
      <c r="I39" s="18">
        <v>2375</v>
      </c>
      <c r="J39" s="4" t="s">
        <v>12</v>
      </c>
      <c r="K39" s="26" t="s">
        <v>11</v>
      </c>
      <c r="L39" s="172">
        <v>1187</v>
      </c>
      <c r="M39" s="6">
        <v>0</v>
      </c>
      <c r="N39" s="6"/>
      <c r="O39" s="6">
        <v>0</v>
      </c>
      <c r="P39" s="6"/>
      <c r="Q39" s="7">
        <v>0</v>
      </c>
      <c r="R39" s="6"/>
      <c r="S39" s="1">
        <v>0</v>
      </c>
      <c r="U39" s="1">
        <v>0</v>
      </c>
      <c r="W39" s="1" t="str">
        <f t="shared" si="0"/>
        <v>No</v>
      </c>
    </row>
    <row r="40" spans="1:23" s="1" customFormat="1" ht="11.25">
      <c r="A40" s="2" t="s">
        <v>1821</v>
      </c>
      <c r="B40" s="21" t="s">
        <v>288</v>
      </c>
      <c r="C40" s="26" t="s">
        <v>84</v>
      </c>
      <c r="D40" s="163">
        <v>6008</v>
      </c>
      <c r="E40" s="166">
        <v>60008</v>
      </c>
      <c r="F40" s="92" t="s">
        <v>160</v>
      </c>
      <c r="G40" s="20" t="s">
        <v>149</v>
      </c>
      <c r="H40" s="18">
        <v>4944332</v>
      </c>
      <c r="I40" s="18">
        <v>2121</v>
      </c>
      <c r="J40" s="4" t="s">
        <v>12</v>
      </c>
      <c r="K40" s="26" t="s">
        <v>11</v>
      </c>
      <c r="L40" s="172">
        <v>591</v>
      </c>
      <c r="M40" s="6">
        <v>42</v>
      </c>
      <c r="N40" s="6"/>
      <c r="O40" s="6">
        <v>0</v>
      </c>
      <c r="P40" s="6"/>
      <c r="Q40" s="7">
        <v>42</v>
      </c>
      <c r="R40" s="6"/>
      <c r="S40" s="1">
        <v>3</v>
      </c>
      <c r="U40" s="1">
        <v>2</v>
      </c>
      <c r="W40" s="1" t="str">
        <f t="shared" si="0"/>
        <v>No</v>
      </c>
    </row>
    <row r="41" spans="1:23" s="1" customFormat="1" ht="11.25">
      <c r="A41" s="2" t="s">
        <v>1821</v>
      </c>
      <c r="B41" s="21" t="s">
        <v>288</v>
      </c>
      <c r="C41" s="26" t="s">
        <v>84</v>
      </c>
      <c r="D41" s="163">
        <v>6008</v>
      </c>
      <c r="E41" s="166">
        <v>60008</v>
      </c>
      <c r="F41" s="92" t="s">
        <v>160</v>
      </c>
      <c r="G41" s="20" t="s">
        <v>149</v>
      </c>
      <c r="H41" s="18">
        <v>4944332</v>
      </c>
      <c r="I41" s="18">
        <v>2121</v>
      </c>
      <c r="J41" s="4" t="s">
        <v>21</v>
      </c>
      <c r="K41" s="26" t="s">
        <v>11</v>
      </c>
      <c r="L41" s="172">
        <v>246</v>
      </c>
      <c r="M41" s="6">
        <v>31</v>
      </c>
      <c r="N41" s="6"/>
      <c r="O41" s="6">
        <v>0</v>
      </c>
      <c r="P41" s="6"/>
      <c r="Q41" s="7">
        <v>31</v>
      </c>
      <c r="R41" s="6"/>
      <c r="S41" s="1">
        <v>3</v>
      </c>
      <c r="U41" s="1">
        <v>2</v>
      </c>
      <c r="W41" s="1" t="str">
        <f t="shared" si="0"/>
        <v>No</v>
      </c>
    </row>
    <row r="42" spans="1:23" s="1" customFormat="1" ht="11.25">
      <c r="A42" s="2" t="s">
        <v>1821</v>
      </c>
      <c r="B42" s="21" t="s">
        <v>288</v>
      </c>
      <c r="C42" s="26" t="s">
        <v>84</v>
      </c>
      <c r="D42" s="163">
        <v>6008</v>
      </c>
      <c r="E42" s="166">
        <v>60008</v>
      </c>
      <c r="F42" s="92" t="s">
        <v>160</v>
      </c>
      <c r="G42" s="20" t="s">
        <v>149</v>
      </c>
      <c r="H42" s="18">
        <v>4944332</v>
      </c>
      <c r="I42" s="18">
        <v>2121</v>
      </c>
      <c r="J42" s="4" t="s">
        <v>12</v>
      </c>
      <c r="K42" s="26" t="s">
        <v>15</v>
      </c>
      <c r="L42" s="172">
        <v>101</v>
      </c>
      <c r="M42" s="6">
        <v>18</v>
      </c>
      <c r="N42" s="6"/>
      <c r="O42" s="6">
        <v>0</v>
      </c>
      <c r="P42" s="6"/>
      <c r="Q42" s="7">
        <v>18</v>
      </c>
      <c r="R42" s="6"/>
      <c r="S42" s="1">
        <v>3</v>
      </c>
      <c r="U42" s="1">
        <v>2</v>
      </c>
      <c r="W42" s="1" t="str">
        <f t="shared" si="0"/>
        <v>No</v>
      </c>
    </row>
    <row r="43" spans="1:23" s="1" customFormat="1" ht="11.25">
      <c r="A43" s="2" t="s">
        <v>1821</v>
      </c>
      <c r="B43" s="21" t="s">
        <v>288</v>
      </c>
      <c r="C43" s="26" t="s">
        <v>84</v>
      </c>
      <c r="D43" s="163">
        <v>6008</v>
      </c>
      <c r="E43" s="166">
        <v>60008</v>
      </c>
      <c r="F43" s="92" t="s">
        <v>160</v>
      </c>
      <c r="G43" s="20" t="s">
        <v>149</v>
      </c>
      <c r="H43" s="18">
        <v>4944332</v>
      </c>
      <c r="I43" s="18">
        <v>2121</v>
      </c>
      <c r="J43" s="4" t="s">
        <v>21</v>
      </c>
      <c r="K43" s="26" t="s">
        <v>15</v>
      </c>
      <c r="L43" s="172">
        <v>64</v>
      </c>
      <c r="M43" s="6">
        <v>15</v>
      </c>
      <c r="N43" s="6"/>
      <c r="O43" s="6">
        <v>0</v>
      </c>
      <c r="P43" s="6"/>
      <c r="Q43" s="7">
        <v>15</v>
      </c>
      <c r="R43" s="6"/>
      <c r="S43" s="1">
        <v>5</v>
      </c>
      <c r="U43" s="1">
        <v>0</v>
      </c>
      <c r="W43" s="1" t="str">
        <f t="shared" si="0"/>
        <v>No</v>
      </c>
    </row>
    <row r="44" spans="1:23" s="1" customFormat="1" ht="11.25">
      <c r="A44" s="2" t="s">
        <v>1821</v>
      </c>
      <c r="B44" s="21" t="s">
        <v>288</v>
      </c>
      <c r="C44" s="26" t="s">
        <v>84</v>
      </c>
      <c r="D44" s="163">
        <v>6008</v>
      </c>
      <c r="E44" s="166">
        <v>60008</v>
      </c>
      <c r="F44" s="92" t="s">
        <v>160</v>
      </c>
      <c r="G44" s="20" t="s">
        <v>149</v>
      </c>
      <c r="H44" s="18">
        <v>4944332</v>
      </c>
      <c r="I44" s="18">
        <v>2121</v>
      </c>
      <c r="J44" s="4" t="s">
        <v>18</v>
      </c>
      <c r="K44" s="26" t="s">
        <v>11</v>
      </c>
      <c r="L44" s="172">
        <v>54</v>
      </c>
      <c r="M44" s="6">
        <v>39</v>
      </c>
      <c r="N44" s="6"/>
      <c r="O44" s="6">
        <v>0</v>
      </c>
      <c r="P44" s="6"/>
      <c r="Q44" s="7">
        <v>39</v>
      </c>
      <c r="R44" s="6"/>
      <c r="S44" s="1">
        <v>2</v>
      </c>
      <c r="U44" s="1">
        <v>2</v>
      </c>
      <c r="W44" s="1" t="str">
        <f t="shared" si="0"/>
        <v>No</v>
      </c>
    </row>
    <row r="45" spans="1:23" s="1" customFormat="1" ht="11.25">
      <c r="A45" s="2" t="s">
        <v>1091</v>
      </c>
      <c r="B45" s="21" t="s">
        <v>1092</v>
      </c>
      <c r="C45" s="26" t="s">
        <v>47</v>
      </c>
      <c r="D45" s="163">
        <v>3034</v>
      </c>
      <c r="E45" s="166">
        <v>30034</v>
      </c>
      <c r="F45" s="92" t="s">
        <v>269</v>
      </c>
      <c r="G45" s="20" t="s">
        <v>149</v>
      </c>
      <c r="H45" s="18">
        <v>2203663</v>
      </c>
      <c r="I45" s="18">
        <v>1680</v>
      </c>
      <c r="J45" s="4" t="s">
        <v>20</v>
      </c>
      <c r="K45" s="26" t="s">
        <v>15</v>
      </c>
      <c r="L45" s="172">
        <v>147</v>
      </c>
      <c r="M45" s="6">
        <v>24</v>
      </c>
      <c r="N45" s="6"/>
      <c r="O45" s="6">
        <v>18</v>
      </c>
      <c r="P45" s="6"/>
      <c r="Q45" s="7">
        <v>42</v>
      </c>
      <c r="R45" s="6"/>
      <c r="S45" s="1">
        <v>3</v>
      </c>
      <c r="U45" s="1">
        <v>10</v>
      </c>
      <c r="W45" s="1" t="str">
        <f t="shared" si="0"/>
        <v>No</v>
      </c>
    </row>
    <row r="46" spans="1:23" s="1" customFormat="1" ht="11.25">
      <c r="A46" s="2" t="s">
        <v>1091</v>
      </c>
      <c r="B46" s="21" t="s">
        <v>1092</v>
      </c>
      <c r="C46" s="26" t="s">
        <v>47</v>
      </c>
      <c r="D46" s="163">
        <v>3034</v>
      </c>
      <c r="E46" s="166">
        <v>30034</v>
      </c>
      <c r="F46" s="92" t="s">
        <v>269</v>
      </c>
      <c r="G46" s="20" t="s">
        <v>149</v>
      </c>
      <c r="H46" s="18">
        <v>2203663</v>
      </c>
      <c r="I46" s="18">
        <v>1680</v>
      </c>
      <c r="J46" s="4" t="s">
        <v>24</v>
      </c>
      <c r="K46" s="26" t="s">
        <v>11</v>
      </c>
      <c r="L46" s="172">
        <v>54</v>
      </c>
      <c r="M46" s="6">
        <v>14</v>
      </c>
      <c r="N46" s="6"/>
      <c r="O46" s="6">
        <v>0</v>
      </c>
      <c r="P46" s="6"/>
      <c r="Q46" s="7">
        <v>14</v>
      </c>
      <c r="R46" s="6"/>
      <c r="S46" s="1">
        <v>27</v>
      </c>
      <c r="U46" s="1">
        <v>81</v>
      </c>
      <c r="W46" s="1" t="str">
        <f t="shared" si="0"/>
        <v>No</v>
      </c>
    </row>
    <row r="47" spans="1:23" s="1" customFormat="1" ht="11.25">
      <c r="A47" s="2" t="s">
        <v>1091</v>
      </c>
      <c r="B47" s="21" t="s">
        <v>1092</v>
      </c>
      <c r="C47" s="26" t="s">
        <v>47</v>
      </c>
      <c r="D47" s="163">
        <v>3034</v>
      </c>
      <c r="E47" s="166">
        <v>30034</v>
      </c>
      <c r="F47" s="92" t="s">
        <v>269</v>
      </c>
      <c r="G47" s="20" t="s">
        <v>149</v>
      </c>
      <c r="H47" s="18">
        <v>2203663</v>
      </c>
      <c r="I47" s="18">
        <v>1680</v>
      </c>
      <c r="J47" s="4" t="s">
        <v>18</v>
      </c>
      <c r="K47" s="26" t="s">
        <v>11</v>
      </c>
      <c r="L47" s="172">
        <v>38</v>
      </c>
      <c r="M47" s="6">
        <v>33</v>
      </c>
      <c r="N47" s="6"/>
      <c r="O47" s="6">
        <v>0</v>
      </c>
      <c r="P47" s="6"/>
      <c r="Q47" s="7">
        <v>33</v>
      </c>
      <c r="R47" s="6"/>
      <c r="S47" s="1">
        <v>1</v>
      </c>
      <c r="U47" s="1">
        <v>0</v>
      </c>
      <c r="W47" s="1" t="str">
        <f t="shared" si="0"/>
        <v>No</v>
      </c>
    </row>
    <row r="48" spans="1:23" s="1" customFormat="1" ht="11.25">
      <c r="A48" s="2" t="s">
        <v>1091</v>
      </c>
      <c r="B48" s="21" t="s">
        <v>1092</v>
      </c>
      <c r="C48" s="26" t="s">
        <v>47</v>
      </c>
      <c r="D48" s="163">
        <v>3034</v>
      </c>
      <c r="E48" s="166">
        <v>30034</v>
      </c>
      <c r="F48" s="92" t="s">
        <v>269</v>
      </c>
      <c r="G48" s="20" t="s">
        <v>149</v>
      </c>
      <c r="H48" s="18">
        <v>2203663</v>
      </c>
      <c r="I48" s="18">
        <v>1680</v>
      </c>
      <c r="J48" s="4" t="s">
        <v>21</v>
      </c>
      <c r="K48" s="26" t="s">
        <v>15</v>
      </c>
      <c r="L48" s="172">
        <v>280</v>
      </c>
      <c r="M48" s="6">
        <v>0</v>
      </c>
      <c r="N48" s="6"/>
      <c r="O48" s="6">
        <v>0</v>
      </c>
      <c r="P48" s="6"/>
      <c r="Q48" s="7">
        <v>0</v>
      </c>
      <c r="R48" s="6"/>
      <c r="S48" s="1">
        <v>0</v>
      </c>
      <c r="U48" s="1">
        <v>0</v>
      </c>
      <c r="W48" s="1" t="str">
        <f t="shared" si="0"/>
        <v>No</v>
      </c>
    </row>
    <row r="49" spans="1:23" s="1" customFormat="1" ht="11.25">
      <c r="A49" s="2" t="s">
        <v>1091</v>
      </c>
      <c r="B49" s="21" t="s">
        <v>1092</v>
      </c>
      <c r="C49" s="26" t="s">
        <v>47</v>
      </c>
      <c r="D49" s="163">
        <v>3034</v>
      </c>
      <c r="E49" s="166">
        <v>30034</v>
      </c>
      <c r="F49" s="92" t="s">
        <v>269</v>
      </c>
      <c r="G49" s="20" t="s">
        <v>149</v>
      </c>
      <c r="H49" s="18">
        <v>2203663</v>
      </c>
      <c r="I49" s="18">
        <v>1680</v>
      </c>
      <c r="J49" s="4" t="s">
        <v>12</v>
      </c>
      <c r="K49" s="26" t="s">
        <v>11</v>
      </c>
      <c r="L49" s="172">
        <v>604</v>
      </c>
      <c r="M49" s="6">
        <v>1</v>
      </c>
      <c r="N49" s="6"/>
      <c r="O49" s="6">
        <v>0</v>
      </c>
      <c r="P49" s="6"/>
      <c r="Q49" s="7">
        <v>1</v>
      </c>
      <c r="R49" s="6"/>
      <c r="S49" s="1">
        <v>0</v>
      </c>
      <c r="U49" s="1">
        <v>0</v>
      </c>
      <c r="W49" s="1" t="str">
        <f t="shared" si="0"/>
        <v>No</v>
      </c>
    </row>
    <row r="50" spans="1:23" s="1" customFormat="1" ht="11.25">
      <c r="A50" s="2" t="s">
        <v>1181</v>
      </c>
      <c r="B50" s="21" t="s">
        <v>388</v>
      </c>
      <c r="C50" s="26" t="s">
        <v>39</v>
      </c>
      <c r="D50" s="163">
        <v>5113</v>
      </c>
      <c r="E50" s="166">
        <v>50113</v>
      </c>
      <c r="F50" s="92" t="s">
        <v>160</v>
      </c>
      <c r="G50" s="20" t="s">
        <v>149</v>
      </c>
      <c r="H50" s="18">
        <v>8608208</v>
      </c>
      <c r="I50" s="18">
        <v>1582</v>
      </c>
      <c r="J50" s="4" t="s">
        <v>12</v>
      </c>
      <c r="K50" s="26" t="s">
        <v>11</v>
      </c>
      <c r="L50" s="172">
        <v>552</v>
      </c>
      <c r="M50" s="6">
        <v>126</v>
      </c>
      <c r="N50" s="6"/>
      <c r="O50" s="6">
        <v>31</v>
      </c>
      <c r="P50" s="6"/>
      <c r="Q50" s="7">
        <v>157</v>
      </c>
      <c r="R50" s="6"/>
      <c r="S50" s="1">
        <v>22</v>
      </c>
      <c r="U50" s="1">
        <v>22</v>
      </c>
      <c r="W50" s="1" t="str">
        <f t="shared" si="0"/>
        <v>No</v>
      </c>
    </row>
    <row r="51" spans="1:23" s="1" customFormat="1" ht="11.25">
      <c r="A51" s="2" t="s">
        <v>1181</v>
      </c>
      <c r="B51" s="21" t="s">
        <v>388</v>
      </c>
      <c r="C51" s="26" t="s">
        <v>39</v>
      </c>
      <c r="D51" s="163">
        <v>5113</v>
      </c>
      <c r="E51" s="166">
        <v>50113</v>
      </c>
      <c r="F51" s="92" t="s">
        <v>160</v>
      </c>
      <c r="G51" s="20" t="s">
        <v>149</v>
      </c>
      <c r="H51" s="18">
        <v>8608208</v>
      </c>
      <c r="I51" s="18">
        <v>1582</v>
      </c>
      <c r="J51" s="4" t="s">
        <v>12</v>
      </c>
      <c r="K51" s="26" t="s">
        <v>15</v>
      </c>
      <c r="L51" s="172">
        <v>83</v>
      </c>
      <c r="M51" s="6">
        <v>27</v>
      </c>
      <c r="N51" s="6"/>
      <c r="O51" s="6">
        <v>2</v>
      </c>
      <c r="P51" s="6"/>
      <c r="Q51" s="7">
        <v>29</v>
      </c>
      <c r="R51" s="6"/>
      <c r="S51" s="1">
        <v>1</v>
      </c>
      <c r="U51" s="1">
        <v>1</v>
      </c>
      <c r="W51" s="1" t="str">
        <f t="shared" si="0"/>
        <v>No</v>
      </c>
    </row>
    <row r="52" spans="1:23" s="1" customFormat="1" ht="11.25">
      <c r="A52" s="2" t="s">
        <v>1176</v>
      </c>
      <c r="B52" s="21" t="s">
        <v>1177</v>
      </c>
      <c r="C52" s="26" t="s">
        <v>19</v>
      </c>
      <c r="D52" s="163">
        <v>9036</v>
      </c>
      <c r="E52" s="166">
        <v>90036</v>
      </c>
      <c r="F52" s="92" t="s">
        <v>160</v>
      </c>
      <c r="G52" s="20" t="s">
        <v>149</v>
      </c>
      <c r="H52" s="18">
        <v>12150996</v>
      </c>
      <c r="I52" s="18">
        <v>1501</v>
      </c>
      <c r="J52" s="4" t="s">
        <v>21</v>
      </c>
      <c r="K52" s="26" t="s">
        <v>11</v>
      </c>
      <c r="L52" s="172">
        <v>6</v>
      </c>
      <c r="M52" s="6">
        <v>4</v>
      </c>
      <c r="N52" s="6"/>
      <c r="O52" s="6">
        <v>0</v>
      </c>
      <c r="P52" s="6"/>
      <c r="Q52" s="7">
        <v>4</v>
      </c>
      <c r="R52" s="6"/>
      <c r="S52" s="1">
        <v>0</v>
      </c>
      <c r="U52" s="1">
        <v>0</v>
      </c>
      <c r="W52" s="1" t="str">
        <f t="shared" si="0"/>
        <v>No</v>
      </c>
    </row>
    <row r="53" spans="1:23" s="1" customFormat="1" ht="11.25">
      <c r="A53" s="2" t="s">
        <v>1176</v>
      </c>
      <c r="B53" s="21" t="s">
        <v>1177</v>
      </c>
      <c r="C53" s="26" t="s">
        <v>19</v>
      </c>
      <c r="D53" s="163">
        <v>9036</v>
      </c>
      <c r="E53" s="166">
        <v>90036</v>
      </c>
      <c r="F53" s="92" t="s">
        <v>160</v>
      </c>
      <c r="G53" s="20" t="s">
        <v>149</v>
      </c>
      <c r="H53" s="18">
        <v>12150996</v>
      </c>
      <c r="I53" s="18">
        <v>1501</v>
      </c>
      <c r="J53" s="4" t="s">
        <v>21</v>
      </c>
      <c r="K53" s="26" t="s">
        <v>15</v>
      </c>
      <c r="L53" s="172">
        <v>22</v>
      </c>
      <c r="M53" s="6">
        <v>6</v>
      </c>
      <c r="N53" s="6"/>
      <c r="O53" s="6">
        <v>0</v>
      </c>
      <c r="P53" s="6"/>
      <c r="Q53" s="7">
        <v>6</v>
      </c>
      <c r="R53" s="6"/>
      <c r="S53" s="1">
        <v>6</v>
      </c>
      <c r="U53" s="1">
        <v>0</v>
      </c>
      <c r="W53" s="1" t="str">
        <f t="shared" si="0"/>
        <v>No</v>
      </c>
    </row>
    <row r="54" spans="1:23" s="1" customFormat="1" ht="11.25">
      <c r="A54" s="2" t="s">
        <v>1176</v>
      </c>
      <c r="B54" s="21" t="s">
        <v>1177</v>
      </c>
      <c r="C54" s="26" t="s">
        <v>19</v>
      </c>
      <c r="D54" s="163">
        <v>9036</v>
      </c>
      <c r="E54" s="166">
        <v>90036</v>
      </c>
      <c r="F54" s="92" t="s">
        <v>160</v>
      </c>
      <c r="G54" s="20" t="s">
        <v>149</v>
      </c>
      <c r="H54" s="18">
        <v>12150996</v>
      </c>
      <c r="I54" s="18">
        <v>1501</v>
      </c>
      <c r="J54" s="4" t="s">
        <v>12</v>
      </c>
      <c r="K54" s="26" t="s">
        <v>11</v>
      </c>
      <c r="L54" s="172">
        <v>257</v>
      </c>
      <c r="M54" s="6">
        <v>15</v>
      </c>
      <c r="N54" s="6"/>
      <c r="O54" s="6">
        <v>0</v>
      </c>
      <c r="P54" s="6"/>
      <c r="Q54" s="7">
        <v>15</v>
      </c>
      <c r="R54" s="6"/>
      <c r="S54" s="1">
        <v>13</v>
      </c>
      <c r="U54" s="1">
        <v>2</v>
      </c>
      <c r="W54" s="1" t="str">
        <f t="shared" si="0"/>
        <v>No</v>
      </c>
    </row>
    <row r="55" spans="1:23" s="1" customFormat="1" ht="11.25">
      <c r="A55" s="2" t="s">
        <v>1176</v>
      </c>
      <c r="B55" s="21" t="s">
        <v>1177</v>
      </c>
      <c r="C55" s="26" t="s">
        <v>19</v>
      </c>
      <c r="D55" s="163">
        <v>9036</v>
      </c>
      <c r="E55" s="166">
        <v>90036</v>
      </c>
      <c r="F55" s="92" t="s">
        <v>160</v>
      </c>
      <c r="G55" s="20" t="s">
        <v>149</v>
      </c>
      <c r="H55" s="18">
        <v>12150996</v>
      </c>
      <c r="I55" s="18">
        <v>1501</v>
      </c>
      <c r="J55" s="4" t="s">
        <v>12</v>
      </c>
      <c r="K55" s="26" t="s">
        <v>15</v>
      </c>
      <c r="L55" s="172">
        <v>181</v>
      </c>
      <c r="M55" s="6">
        <v>15</v>
      </c>
      <c r="N55" s="6"/>
      <c r="O55" s="6">
        <v>0</v>
      </c>
      <c r="P55" s="6"/>
      <c r="Q55" s="7">
        <v>15</v>
      </c>
      <c r="R55" s="6"/>
      <c r="S55" s="1">
        <v>13</v>
      </c>
      <c r="U55" s="1">
        <v>2</v>
      </c>
      <c r="W55" s="1" t="str">
        <f t="shared" si="0"/>
        <v>No</v>
      </c>
    </row>
    <row r="56" spans="1:23" s="1" customFormat="1" ht="11.25">
      <c r="A56" s="2" t="s">
        <v>1221</v>
      </c>
      <c r="B56" s="21" t="s">
        <v>215</v>
      </c>
      <c r="C56" s="26" t="s">
        <v>28</v>
      </c>
      <c r="D56" s="163">
        <v>8006</v>
      </c>
      <c r="E56" s="166">
        <v>80006</v>
      </c>
      <c r="F56" s="92" t="s">
        <v>160</v>
      </c>
      <c r="G56" s="20" t="s">
        <v>149</v>
      </c>
      <c r="H56" s="18">
        <v>2374203</v>
      </c>
      <c r="I56" s="18">
        <v>1480</v>
      </c>
      <c r="J56" s="4" t="s">
        <v>12</v>
      </c>
      <c r="K56" s="26" t="s">
        <v>11</v>
      </c>
      <c r="L56" s="172">
        <v>488</v>
      </c>
      <c r="M56" s="6">
        <v>3</v>
      </c>
      <c r="N56" s="6"/>
      <c r="O56" s="6">
        <v>0</v>
      </c>
      <c r="P56" s="6"/>
      <c r="Q56" s="7">
        <v>3</v>
      </c>
      <c r="R56" s="6"/>
      <c r="S56" s="1">
        <v>2</v>
      </c>
      <c r="U56" s="1">
        <v>3</v>
      </c>
      <c r="W56" s="1" t="str">
        <f t="shared" si="0"/>
        <v>No</v>
      </c>
    </row>
    <row r="57" spans="1:23" s="1" customFormat="1" ht="11.25">
      <c r="A57" s="2" t="s">
        <v>1221</v>
      </c>
      <c r="B57" s="21" t="s">
        <v>215</v>
      </c>
      <c r="C57" s="26" t="s">
        <v>28</v>
      </c>
      <c r="D57" s="163">
        <v>8006</v>
      </c>
      <c r="E57" s="166">
        <v>80006</v>
      </c>
      <c r="F57" s="92" t="s">
        <v>160</v>
      </c>
      <c r="G57" s="20" t="s">
        <v>149</v>
      </c>
      <c r="H57" s="18">
        <v>2374203</v>
      </c>
      <c r="I57" s="18">
        <v>1480</v>
      </c>
      <c r="J57" s="4" t="s">
        <v>12</v>
      </c>
      <c r="K57" s="26" t="s">
        <v>15</v>
      </c>
      <c r="L57" s="172">
        <v>379</v>
      </c>
      <c r="M57" s="6">
        <v>3</v>
      </c>
      <c r="N57" s="6"/>
      <c r="O57" s="6">
        <v>0</v>
      </c>
      <c r="P57" s="6"/>
      <c r="Q57" s="7">
        <v>3</v>
      </c>
      <c r="R57" s="6"/>
      <c r="S57" s="1">
        <v>2</v>
      </c>
      <c r="U57" s="1">
        <v>3</v>
      </c>
      <c r="W57" s="1" t="str">
        <f t="shared" si="0"/>
        <v>No</v>
      </c>
    </row>
    <row r="58" spans="1:23" s="1" customFormat="1" ht="11.25">
      <c r="A58" s="2" t="s">
        <v>1221</v>
      </c>
      <c r="B58" s="21" t="s">
        <v>215</v>
      </c>
      <c r="C58" s="26" t="s">
        <v>28</v>
      </c>
      <c r="D58" s="163">
        <v>8006</v>
      </c>
      <c r="E58" s="166">
        <v>80006</v>
      </c>
      <c r="F58" s="92" t="s">
        <v>160</v>
      </c>
      <c r="G58" s="20" t="s">
        <v>149</v>
      </c>
      <c r="H58" s="18">
        <v>2374203</v>
      </c>
      <c r="I58" s="18">
        <v>1480</v>
      </c>
      <c r="J58" s="4" t="s">
        <v>20</v>
      </c>
      <c r="K58" s="26" t="s">
        <v>15</v>
      </c>
      <c r="L58" s="172">
        <v>20</v>
      </c>
      <c r="M58" s="6">
        <v>9</v>
      </c>
      <c r="N58" s="6"/>
      <c r="O58" s="6">
        <v>0</v>
      </c>
      <c r="P58" s="6"/>
      <c r="Q58" s="7">
        <v>9</v>
      </c>
      <c r="R58" s="6"/>
      <c r="S58" s="1">
        <v>14</v>
      </c>
      <c r="U58" s="1">
        <v>6</v>
      </c>
      <c r="W58" s="1" t="str">
        <f t="shared" si="0"/>
        <v>No</v>
      </c>
    </row>
    <row r="59" spans="1:23" s="1" customFormat="1" ht="11.25">
      <c r="A59" s="2" t="s">
        <v>1221</v>
      </c>
      <c r="B59" s="21" t="s">
        <v>215</v>
      </c>
      <c r="C59" s="26" t="s">
        <v>28</v>
      </c>
      <c r="D59" s="163">
        <v>8006</v>
      </c>
      <c r="E59" s="166">
        <v>80006</v>
      </c>
      <c r="F59" s="92" t="s">
        <v>160</v>
      </c>
      <c r="G59" s="20" t="s">
        <v>149</v>
      </c>
      <c r="H59" s="18">
        <v>2374203</v>
      </c>
      <c r="I59" s="18">
        <v>1480</v>
      </c>
      <c r="J59" s="4" t="s">
        <v>18</v>
      </c>
      <c r="K59" s="26" t="s">
        <v>11</v>
      </c>
      <c r="L59" s="172">
        <v>159</v>
      </c>
      <c r="M59" s="6">
        <v>54</v>
      </c>
      <c r="N59" s="6"/>
      <c r="O59" s="6">
        <v>0</v>
      </c>
      <c r="P59" s="6"/>
      <c r="Q59" s="7">
        <v>54</v>
      </c>
      <c r="R59" s="6"/>
      <c r="S59" s="1">
        <v>55</v>
      </c>
      <c r="U59" s="1">
        <v>0</v>
      </c>
      <c r="W59" s="1" t="str">
        <f t="shared" si="0"/>
        <v>No</v>
      </c>
    </row>
    <row r="60" spans="1:23" s="1" customFormat="1" ht="11.25">
      <c r="A60" s="2" t="s">
        <v>1119</v>
      </c>
      <c r="B60" s="21" t="s">
        <v>207</v>
      </c>
      <c r="C60" s="26" t="s">
        <v>32</v>
      </c>
      <c r="D60" s="163">
        <v>4034</v>
      </c>
      <c r="E60" s="166">
        <v>40034</v>
      </c>
      <c r="F60" s="92" t="s">
        <v>152</v>
      </c>
      <c r="G60" s="20" t="s">
        <v>149</v>
      </c>
      <c r="H60" s="18">
        <v>5502379</v>
      </c>
      <c r="I60" s="18">
        <v>1221</v>
      </c>
      <c r="J60" s="4" t="s">
        <v>12</v>
      </c>
      <c r="K60" s="26" t="s">
        <v>11</v>
      </c>
      <c r="L60" s="172">
        <v>709</v>
      </c>
      <c r="M60" s="6">
        <v>0</v>
      </c>
      <c r="N60" s="6"/>
      <c r="O60" s="6">
        <v>0</v>
      </c>
      <c r="P60" s="6"/>
      <c r="Q60" s="7">
        <v>0</v>
      </c>
      <c r="R60" s="6"/>
      <c r="S60" s="1">
        <v>0</v>
      </c>
      <c r="U60" s="1">
        <v>0</v>
      </c>
      <c r="W60" s="1" t="str">
        <f t="shared" si="0"/>
        <v>No</v>
      </c>
    </row>
    <row r="61" spans="1:23" s="1" customFormat="1" ht="11.25">
      <c r="A61" s="2" t="s">
        <v>1119</v>
      </c>
      <c r="B61" s="21" t="s">
        <v>207</v>
      </c>
      <c r="C61" s="26" t="s">
        <v>32</v>
      </c>
      <c r="D61" s="163">
        <v>4034</v>
      </c>
      <c r="E61" s="166">
        <v>40034</v>
      </c>
      <c r="F61" s="92" t="s">
        <v>152</v>
      </c>
      <c r="G61" s="20" t="s">
        <v>149</v>
      </c>
      <c r="H61" s="18">
        <v>5502379</v>
      </c>
      <c r="I61" s="18">
        <v>1221</v>
      </c>
      <c r="J61" s="4" t="s">
        <v>12</v>
      </c>
      <c r="K61" s="26" t="s">
        <v>15</v>
      </c>
      <c r="L61" s="172">
        <v>29</v>
      </c>
      <c r="M61" s="6">
        <v>1</v>
      </c>
      <c r="N61" s="6"/>
      <c r="O61" s="6">
        <v>0</v>
      </c>
      <c r="P61" s="6"/>
      <c r="Q61" s="7">
        <v>1</v>
      </c>
      <c r="R61" s="6"/>
      <c r="S61" s="1">
        <v>0</v>
      </c>
      <c r="U61" s="1">
        <v>0</v>
      </c>
      <c r="W61" s="1" t="str">
        <f t="shared" si="0"/>
        <v>No</v>
      </c>
    </row>
    <row r="62" spans="1:23" s="1" customFormat="1" ht="11.25">
      <c r="A62" s="2" t="s">
        <v>1119</v>
      </c>
      <c r="B62" s="21" t="s">
        <v>207</v>
      </c>
      <c r="C62" s="26" t="s">
        <v>32</v>
      </c>
      <c r="D62" s="163">
        <v>4034</v>
      </c>
      <c r="E62" s="166">
        <v>40034</v>
      </c>
      <c r="F62" s="92" t="s">
        <v>152</v>
      </c>
      <c r="G62" s="20" t="s">
        <v>149</v>
      </c>
      <c r="H62" s="18">
        <v>5502379</v>
      </c>
      <c r="I62" s="18">
        <v>1221</v>
      </c>
      <c r="J62" s="4" t="s">
        <v>21</v>
      </c>
      <c r="K62" s="26" t="s">
        <v>15</v>
      </c>
      <c r="L62" s="172">
        <v>9</v>
      </c>
      <c r="M62" s="6">
        <v>0</v>
      </c>
      <c r="N62" s="6"/>
      <c r="O62" s="6">
        <v>0</v>
      </c>
      <c r="P62" s="6"/>
      <c r="Q62" s="7">
        <v>0</v>
      </c>
      <c r="R62" s="6"/>
      <c r="S62" s="1">
        <v>0</v>
      </c>
      <c r="U62" s="1">
        <v>0</v>
      </c>
      <c r="W62" s="1" t="str">
        <f t="shared" si="0"/>
        <v>No</v>
      </c>
    </row>
    <row r="63" spans="1:23" s="1" customFormat="1" ht="11.25">
      <c r="A63" s="2" t="s">
        <v>1119</v>
      </c>
      <c r="B63" s="21" t="s">
        <v>207</v>
      </c>
      <c r="C63" s="26" t="s">
        <v>32</v>
      </c>
      <c r="D63" s="163">
        <v>4034</v>
      </c>
      <c r="E63" s="166">
        <v>40034</v>
      </c>
      <c r="F63" s="92" t="s">
        <v>152</v>
      </c>
      <c r="G63" s="20" t="s">
        <v>149</v>
      </c>
      <c r="H63" s="18">
        <v>5502379</v>
      </c>
      <c r="I63" s="18">
        <v>1221</v>
      </c>
      <c r="J63" s="4" t="s">
        <v>34</v>
      </c>
      <c r="K63" s="26" t="s">
        <v>11</v>
      </c>
      <c r="L63" s="172">
        <v>21</v>
      </c>
      <c r="M63" s="6">
        <v>21</v>
      </c>
      <c r="N63" s="6"/>
      <c r="O63" s="6">
        <v>0</v>
      </c>
      <c r="P63" s="6"/>
      <c r="Q63" s="7">
        <v>21</v>
      </c>
      <c r="R63" s="6"/>
      <c r="S63" s="1">
        <v>18</v>
      </c>
      <c r="U63" s="1">
        <v>21</v>
      </c>
      <c r="W63" s="1" t="str">
        <f t="shared" si="0"/>
        <v>No</v>
      </c>
    </row>
    <row r="64" spans="1:23" s="1" customFormat="1" ht="11.25">
      <c r="A64" s="2" t="s">
        <v>1119</v>
      </c>
      <c r="B64" s="21" t="s">
        <v>207</v>
      </c>
      <c r="C64" s="26" t="s">
        <v>32</v>
      </c>
      <c r="D64" s="163">
        <v>4034</v>
      </c>
      <c r="E64" s="166">
        <v>40034</v>
      </c>
      <c r="F64" s="92" t="s">
        <v>152</v>
      </c>
      <c r="G64" s="20" t="s">
        <v>149</v>
      </c>
      <c r="H64" s="18">
        <v>5502379</v>
      </c>
      <c r="I64" s="18">
        <v>1221</v>
      </c>
      <c r="J64" s="4" t="s">
        <v>24</v>
      </c>
      <c r="K64" s="26" t="s">
        <v>11</v>
      </c>
      <c r="L64" s="172">
        <v>84</v>
      </c>
      <c r="M64" s="6">
        <v>23</v>
      </c>
      <c r="N64" s="6"/>
      <c r="O64" s="6">
        <v>0</v>
      </c>
      <c r="P64" s="6"/>
      <c r="Q64" s="7">
        <v>23</v>
      </c>
      <c r="R64" s="6"/>
      <c r="S64" s="1">
        <v>68</v>
      </c>
      <c r="U64" s="1">
        <v>65</v>
      </c>
      <c r="W64" s="1" t="str">
        <f t="shared" si="0"/>
        <v>No</v>
      </c>
    </row>
    <row r="65" spans="1:23" s="1" customFormat="1" ht="11.25">
      <c r="A65" s="2" t="s">
        <v>1109</v>
      </c>
      <c r="B65" s="21" t="s">
        <v>351</v>
      </c>
      <c r="C65" s="26" t="s">
        <v>69</v>
      </c>
      <c r="D65" s="163">
        <v>2078</v>
      </c>
      <c r="E65" s="166">
        <v>20078</v>
      </c>
      <c r="F65" s="92" t="s">
        <v>326</v>
      </c>
      <c r="G65" s="20" t="s">
        <v>149</v>
      </c>
      <c r="H65" s="18">
        <v>18351295</v>
      </c>
      <c r="I65" s="18">
        <v>1178</v>
      </c>
      <c r="J65" s="4" t="s">
        <v>12</v>
      </c>
      <c r="K65" s="26" t="s">
        <v>15</v>
      </c>
      <c r="L65" s="172">
        <v>9</v>
      </c>
      <c r="M65" s="6">
        <v>1</v>
      </c>
      <c r="N65" s="6"/>
      <c r="O65" s="6">
        <v>1</v>
      </c>
      <c r="P65" s="6"/>
      <c r="Q65" s="7">
        <v>2</v>
      </c>
      <c r="R65" s="6"/>
      <c r="S65" s="1">
        <v>2</v>
      </c>
      <c r="U65" s="1">
        <v>0</v>
      </c>
      <c r="W65" s="1" t="str">
        <f t="shared" si="0"/>
        <v>No</v>
      </c>
    </row>
    <row r="66" spans="1:23" s="1" customFormat="1" ht="11.25">
      <c r="A66" s="2" t="s">
        <v>1109</v>
      </c>
      <c r="B66" s="21" t="s">
        <v>351</v>
      </c>
      <c r="C66" s="26" t="s">
        <v>69</v>
      </c>
      <c r="D66" s="163">
        <v>2078</v>
      </c>
      <c r="E66" s="166">
        <v>20078</v>
      </c>
      <c r="F66" s="92" t="s">
        <v>326</v>
      </c>
      <c r="G66" s="20" t="s">
        <v>149</v>
      </c>
      <c r="H66" s="18">
        <v>18351295</v>
      </c>
      <c r="I66" s="18">
        <v>1178</v>
      </c>
      <c r="J66" s="4" t="s">
        <v>20</v>
      </c>
      <c r="K66" s="26" t="s">
        <v>11</v>
      </c>
      <c r="L66" s="172">
        <v>1167</v>
      </c>
      <c r="M66" s="6">
        <v>47</v>
      </c>
      <c r="N66" s="6"/>
      <c r="O66" s="6">
        <v>65</v>
      </c>
      <c r="P66" s="6"/>
      <c r="Q66" s="7">
        <v>112</v>
      </c>
      <c r="R66" s="6"/>
      <c r="S66" s="1">
        <v>141</v>
      </c>
      <c r="U66" s="1">
        <v>32</v>
      </c>
      <c r="W66" s="1" t="str">
        <f t="shared" ref="W66:W129" si="1">IF(V66&amp;T66&amp;R66&amp;P66&amp;N66&lt;&gt;"","Yes","No")</f>
        <v>No</v>
      </c>
    </row>
    <row r="67" spans="1:23" s="1" customFormat="1" ht="11.25">
      <c r="A67" s="2" t="s">
        <v>1109</v>
      </c>
      <c r="B67" s="21" t="s">
        <v>351</v>
      </c>
      <c r="C67" s="26" t="s">
        <v>69</v>
      </c>
      <c r="D67" s="163">
        <v>2078</v>
      </c>
      <c r="E67" s="166">
        <v>20078</v>
      </c>
      <c r="F67" s="92" t="s">
        <v>326</v>
      </c>
      <c r="G67" s="20" t="s">
        <v>149</v>
      </c>
      <c r="H67" s="18">
        <v>18351295</v>
      </c>
      <c r="I67" s="18">
        <v>1178</v>
      </c>
      <c r="J67" s="4" t="s">
        <v>22</v>
      </c>
      <c r="K67" s="26" t="s">
        <v>15</v>
      </c>
      <c r="L67" s="172">
        <v>2</v>
      </c>
      <c r="M67" s="6">
        <v>4</v>
      </c>
      <c r="N67" s="6"/>
      <c r="O67" s="6">
        <v>0</v>
      </c>
      <c r="P67" s="6"/>
      <c r="Q67" s="7">
        <v>4</v>
      </c>
      <c r="R67" s="6"/>
      <c r="S67" s="1">
        <v>5</v>
      </c>
      <c r="U67" s="1">
        <v>0</v>
      </c>
      <c r="W67" s="1" t="str">
        <f t="shared" si="1"/>
        <v>No</v>
      </c>
    </row>
    <row r="68" spans="1:23" s="1" customFormat="1" ht="11.25">
      <c r="A68" s="2" t="s">
        <v>350</v>
      </c>
      <c r="B68" s="21" t="s">
        <v>351</v>
      </c>
      <c r="C68" s="26" t="s">
        <v>69</v>
      </c>
      <c r="D68" s="163">
        <v>2188</v>
      </c>
      <c r="E68" s="166">
        <v>20188</v>
      </c>
      <c r="F68" s="92" t="s">
        <v>326</v>
      </c>
      <c r="G68" s="20" t="s">
        <v>149</v>
      </c>
      <c r="H68" s="18">
        <v>18351295</v>
      </c>
      <c r="I68" s="18">
        <v>1098</v>
      </c>
      <c r="J68" s="4" t="s">
        <v>12</v>
      </c>
      <c r="K68" s="26" t="s">
        <v>11</v>
      </c>
      <c r="L68" s="172">
        <v>1098</v>
      </c>
      <c r="M68" s="6">
        <v>1</v>
      </c>
      <c r="N68" s="6"/>
      <c r="O68" s="6">
        <v>1</v>
      </c>
      <c r="P68" s="6"/>
      <c r="Q68" s="7">
        <v>2</v>
      </c>
      <c r="R68" s="6"/>
      <c r="S68" s="1">
        <v>0</v>
      </c>
      <c r="U68" s="1">
        <v>0</v>
      </c>
      <c r="W68" s="1" t="str">
        <f t="shared" si="1"/>
        <v>No</v>
      </c>
    </row>
    <row r="69" spans="1:23" s="1" customFormat="1" ht="11.25">
      <c r="A69" s="2" t="s">
        <v>1345</v>
      </c>
      <c r="B69" s="21" t="s">
        <v>1346</v>
      </c>
      <c r="C69" s="26" t="s">
        <v>85</v>
      </c>
      <c r="D69" s="163">
        <v>8001</v>
      </c>
      <c r="E69" s="166">
        <v>80001</v>
      </c>
      <c r="F69" s="92" t="s">
        <v>160</v>
      </c>
      <c r="G69" s="20" t="s">
        <v>149</v>
      </c>
      <c r="H69" s="18">
        <v>1021243</v>
      </c>
      <c r="I69" s="18">
        <v>1086</v>
      </c>
      <c r="J69" s="4" t="s">
        <v>12</v>
      </c>
      <c r="K69" s="26" t="s">
        <v>11</v>
      </c>
      <c r="L69" s="172">
        <v>388</v>
      </c>
      <c r="M69" s="6">
        <v>28</v>
      </c>
      <c r="N69" s="6"/>
      <c r="O69" s="6">
        <v>0</v>
      </c>
      <c r="P69" s="6"/>
      <c r="Q69" s="7">
        <v>28</v>
      </c>
      <c r="R69" s="6"/>
      <c r="S69" s="1">
        <v>0</v>
      </c>
      <c r="U69" s="1">
        <v>0</v>
      </c>
      <c r="W69" s="1" t="str">
        <f t="shared" si="1"/>
        <v>No</v>
      </c>
    </row>
    <row r="70" spans="1:23" s="1" customFormat="1" ht="11.25">
      <c r="A70" s="2" t="s">
        <v>1345</v>
      </c>
      <c r="B70" s="21" t="s">
        <v>1346</v>
      </c>
      <c r="C70" s="26" t="s">
        <v>85</v>
      </c>
      <c r="D70" s="163">
        <v>8001</v>
      </c>
      <c r="E70" s="166">
        <v>80001</v>
      </c>
      <c r="F70" s="92" t="s">
        <v>160</v>
      </c>
      <c r="G70" s="20" t="s">
        <v>149</v>
      </c>
      <c r="H70" s="18">
        <v>1021243</v>
      </c>
      <c r="I70" s="18">
        <v>1086</v>
      </c>
      <c r="J70" s="4" t="s">
        <v>21</v>
      </c>
      <c r="K70" s="26" t="s">
        <v>11</v>
      </c>
      <c r="L70" s="172">
        <v>43</v>
      </c>
      <c r="M70" s="6">
        <v>0</v>
      </c>
      <c r="N70" s="6"/>
      <c r="O70" s="6">
        <v>0</v>
      </c>
      <c r="P70" s="6"/>
      <c r="Q70" s="7">
        <v>0</v>
      </c>
      <c r="R70" s="6"/>
      <c r="S70" s="1">
        <v>0</v>
      </c>
      <c r="U70" s="1">
        <v>0</v>
      </c>
      <c r="W70" s="1" t="str">
        <f t="shared" si="1"/>
        <v>No</v>
      </c>
    </row>
    <row r="71" spans="1:23" s="1" customFormat="1" ht="11.25">
      <c r="A71" s="2" t="s">
        <v>1345</v>
      </c>
      <c r="B71" s="21" t="s">
        <v>1346</v>
      </c>
      <c r="C71" s="26" t="s">
        <v>85</v>
      </c>
      <c r="D71" s="163">
        <v>8001</v>
      </c>
      <c r="E71" s="166">
        <v>80001</v>
      </c>
      <c r="F71" s="92" t="s">
        <v>160</v>
      </c>
      <c r="G71" s="20" t="s">
        <v>149</v>
      </c>
      <c r="H71" s="18">
        <v>1021243</v>
      </c>
      <c r="I71" s="18">
        <v>1086</v>
      </c>
      <c r="J71" s="4" t="s">
        <v>12</v>
      </c>
      <c r="K71" s="26" t="s">
        <v>15</v>
      </c>
      <c r="L71" s="172">
        <v>6</v>
      </c>
      <c r="M71" s="6">
        <v>1</v>
      </c>
      <c r="N71" s="6"/>
      <c r="O71" s="6">
        <v>0</v>
      </c>
      <c r="P71" s="6"/>
      <c r="Q71" s="7">
        <v>1</v>
      </c>
      <c r="R71" s="6"/>
      <c r="S71" s="1">
        <v>0</v>
      </c>
      <c r="U71" s="1">
        <v>0</v>
      </c>
      <c r="W71" s="1" t="str">
        <f t="shared" si="1"/>
        <v>No</v>
      </c>
    </row>
    <row r="72" spans="1:23" s="1" customFormat="1" ht="11.25">
      <c r="A72" s="2" t="s">
        <v>1345</v>
      </c>
      <c r="B72" s="21" t="s">
        <v>1346</v>
      </c>
      <c r="C72" s="26" t="s">
        <v>85</v>
      </c>
      <c r="D72" s="163">
        <v>8001</v>
      </c>
      <c r="E72" s="166">
        <v>80001</v>
      </c>
      <c r="F72" s="92" t="s">
        <v>160</v>
      </c>
      <c r="G72" s="20" t="s">
        <v>149</v>
      </c>
      <c r="H72" s="18">
        <v>1021243</v>
      </c>
      <c r="I72" s="18">
        <v>1086</v>
      </c>
      <c r="J72" s="4" t="s">
        <v>20</v>
      </c>
      <c r="K72" s="26" t="s">
        <v>11</v>
      </c>
      <c r="L72" s="172">
        <v>45</v>
      </c>
      <c r="M72" s="6">
        <v>16</v>
      </c>
      <c r="N72" s="6"/>
      <c r="O72" s="6">
        <v>0</v>
      </c>
      <c r="P72" s="6"/>
      <c r="Q72" s="7">
        <v>16</v>
      </c>
      <c r="R72" s="6"/>
      <c r="S72" s="1">
        <v>6</v>
      </c>
      <c r="U72" s="1">
        <v>2</v>
      </c>
      <c r="W72" s="1" t="str">
        <f t="shared" si="1"/>
        <v>No</v>
      </c>
    </row>
    <row r="73" spans="1:23" s="1" customFormat="1" ht="11.25">
      <c r="A73" s="2" t="s">
        <v>1345</v>
      </c>
      <c r="B73" s="21" t="s">
        <v>1346</v>
      </c>
      <c r="C73" s="26" t="s">
        <v>85</v>
      </c>
      <c r="D73" s="163">
        <v>8001</v>
      </c>
      <c r="E73" s="166">
        <v>80001</v>
      </c>
      <c r="F73" s="92" t="s">
        <v>160</v>
      </c>
      <c r="G73" s="20" t="s">
        <v>149</v>
      </c>
      <c r="H73" s="18">
        <v>1021243</v>
      </c>
      <c r="I73" s="18">
        <v>1086</v>
      </c>
      <c r="J73" s="4" t="s">
        <v>18</v>
      </c>
      <c r="K73" s="26" t="s">
        <v>11</v>
      </c>
      <c r="L73" s="172">
        <v>91</v>
      </c>
      <c r="M73" s="6">
        <v>56</v>
      </c>
      <c r="N73" s="6"/>
      <c r="O73" s="6">
        <v>0</v>
      </c>
      <c r="P73" s="6"/>
      <c r="Q73" s="7">
        <v>56</v>
      </c>
      <c r="R73" s="6"/>
      <c r="S73" s="1">
        <v>6</v>
      </c>
      <c r="U73" s="1">
        <v>0</v>
      </c>
      <c r="W73" s="1" t="str">
        <f t="shared" si="1"/>
        <v>No</v>
      </c>
    </row>
    <row r="74" spans="1:23" s="1" customFormat="1" ht="11.25">
      <c r="A74" s="2" t="s">
        <v>1166</v>
      </c>
      <c r="B74" s="21" t="s">
        <v>720</v>
      </c>
      <c r="C74" s="26" t="s">
        <v>39</v>
      </c>
      <c r="D74" s="163">
        <v>5118</v>
      </c>
      <c r="E74" s="166">
        <v>50118</v>
      </c>
      <c r="F74" s="92" t="s">
        <v>160</v>
      </c>
      <c r="G74" s="20" t="s">
        <v>149</v>
      </c>
      <c r="H74" s="18">
        <v>8608208</v>
      </c>
      <c r="I74" s="18">
        <v>1064</v>
      </c>
      <c r="J74" s="4" t="s">
        <v>20</v>
      </c>
      <c r="K74" s="26" t="s">
        <v>11</v>
      </c>
      <c r="L74" s="172">
        <v>1064</v>
      </c>
      <c r="M74" s="6">
        <v>184</v>
      </c>
      <c r="N74" s="6"/>
      <c r="O74" s="6">
        <v>57</v>
      </c>
      <c r="P74" s="6"/>
      <c r="Q74" s="7">
        <v>241</v>
      </c>
      <c r="R74" s="6"/>
      <c r="S74" s="1">
        <v>36</v>
      </c>
      <c r="U74" s="1">
        <v>24</v>
      </c>
      <c r="W74" s="1" t="str">
        <f t="shared" si="1"/>
        <v>No</v>
      </c>
    </row>
    <row r="75" spans="1:23" s="1" customFormat="1" ht="11.25">
      <c r="A75" s="2" t="s">
        <v>949</v>
      </c>
      <c r="B75" s="21" t="s">
        <v>230</v>
      </c>
      <c r="C75" s="26" t="s">
        <v>84</v>
      </c>
      <c r="D75" s="163">
        <v>6056</v>
      </c>
      <c r="E75" s="166">
        <v>60056</v>
      </c>
      <c r="F75" s="92" t="s">
        <v>160</v>
      </c>
      <c r="G75" s="20" t="s">
        <v>149</v>
      </c>
      <c r="H75" s="18">
        <v>5121892</v>
      </c>
      <c r="I75" s="18">
        <v>1061</v>
      </c>
      <c r="J75" s="4" t="s">
        <v>20</v>
      </c>
      <c r="K75" s="26" t="s">
        <v>15</v>
      </c>
      <c r="L75" s="172">
        <v>23</v>
      </c>
      <c r="M75" s="6">
        <v>10</v>
      </c>
      <c r="N75" s="6"/>
      <c r="O75" s="6">
        <v>0</v>
      </c>
      <c r="P75" s="6"/>
      <c r="Q75" s="7">
        <v>10</v>
      </c>
      <c r="R75" s="6"/>
      <c r="S75" s="1">
        <v>2</v>
      </c>
      <c r="U75" s="1">
        <v>0</v>
      </c>
      <c r="W75" s="1" t="str">
        <f t="shared" si="1"/>
        <v>No</v>
      </c>
    </row>
    <row r="76" spans="1:23" s="1" customFormat="1" ht="11.25">
      <c r="A76" s="2" t="s">
        <v>949</v>
      </c>
      <c r="B76" s="21" t="s">
        <v>230</v>
      </c>
      <c r="C76" s="26" t="s">
        <v>84</v>
      </c>
      <c r="D76" s="163">
        <v>6056</v>
      </c>
      <c r="E76" s="166">
        <v>60056</v>
      </c>
      <c r="F76" s="92" t="s">
        <v>160</v>
      </c>
      <c r="G76" s="20" t="s">
        <v>149</v>
      </c>
      <c r="H76" s="18">
        <v>5121892</v>
      </c>
      <c r="I76" s="18">
        <v>1061</v>
      </c>
      <c r="J76" s="4" t="s">
        <v>18</v>
      </c>
      <c r="K76" s="26" t="s">
        <v>11</v>
      </c>
      <c r="L76" s="172">
        <v>106</v>
      </c>
      <c r="M76" s="6">
        <v>64</v>
      </c>
      <c r="N76" s="6"/>
      <c r="O76" s="6">
        <v>0</v>
      </c>
      <c r="P76" s="6"/>
      <c r="Q76" s="7">
        <v>64</v>
      </c>
      <c r="R76" s="6"/>
      <c r="S76" s="1">
        <v>30</v>
      </c>
      <c r="U76" s="1">
        <v>8</v>
      </c>
      <c r="W76" s="1" t="str">
        <f t="shared" si="1"/>
        <v>No</v>
      </c>
    </row>
    <row r="77" spans="1:23" s="1" customFormat="1" ht="11.25">
      <c r="A77" s="2" t="s">
        <v>949</v>
      </c>
      <c r="B77" s="21" t="s">
        <v>230</v>
      </c>
      <c r="C77" s="26" t="s">
        <v>84</v>
      </c>
      <c r="D77" s="163">
        <v>6056</v>
      </c>
      <c r="E77" s="166">
        <v>60056</v>
      </c>
      <c r="F77" s="92" t="s">
        <v>160</v>
      </c>
      <c r="G77" s="20" t="s">
        <v>149</v>
      </c>
      <c r="H77" s="18">
        <v>5121892</v>
      </c>
      <c r="I77" s="18">
        <v>1061</v>
      </c>
      <c r="J77" s="4" t="s">
        <v>12</v>
      </c>
      <c r="K77" s="26" t="s">
        <v>11</v>
      </c>
      <c r="L77" s="172">
        <v>537</v>
      </c>
      <c r="M77" s="6">
        <v>18</v>
      </c>
      <c r="N77" s="6"/>
      <c r="O77" s="6">
        <v>0</v>
      </c>
      <c r="P77" s="6"/>
      <c r="Q77" s="7">
        <v>18</v>
      </c>
      <c r="R77" s="6"/>
      <c r="S77" s="1">
        <v>0</v>
      </c>
      <c r="U77" s="1">
        <v>0</v>
      </c>
      <c r="W77" s="1" t="str">
        <f t="shared" si="1"/>
        <v>No</v>
      </c>
    </row>
    <row r="78" spans="1:23" s="1" customFormat="1" ht="11.25">
      <c r="A78" s="2" t="s">
        <v>949</v>
      </c>
      <c r="B78" s="21" t="s">
        <v>230</v>
      </c>
      <c r="C78" s="26" t="s">
        <v>84</v>
      </c>
      <c r="D78" s="163">
        <v>6056</v>
      </c>
      <c r="E78" s="166">
        <v>60056</v>
      </c>
      <c r="F78" s="92" t="s">
        <v>160</v>
      </c>
      <c r="G78" s="20" t="s">
        <v>149</v>
      </c>
      <c r="H78" s="18">
        <v>5121892</v>
      </c>
      <c r="I78" s="18">
        <v>1061</v>
      </c>
      <c r="J78" s="4" t="s">
        <v>33</v>
      </c>
      <c r="K78" s="26" t="s">
        <v>11</v>
      </c>
      <c r="L78" s="172">
        <v>2</v>
      </c>
      <c r="M78" s="6">
        <v>6</v>
      </c>
      <c r="N78" s="6"/>
      <c r="O78" s="6">
        <v>0</v>
      </c>
      <c r="P78" s="6"/>
      <c r="Q78" s="7">
        <v>6</v>
      </c>
      <c r="R78" s="6"/>
      <c r="S78" s="1">
        <v>0</v>
      </c>
      <c r="U78" s="1">
        <v>0</v>
      </c>
      <c r="W78" s="1" t="str">
        <f t="shared" si="1"/>
        <v>No</v>
      </c>
    </row>
    <row r="79" spans="1:23" s="1" customFormat="1" ht="11.25">
      <c r="A79" s="2" t="s">
        <v>1073</v>
      </c>
      <c r="B79" s="21" t="s">
        <v>1074</v>
      </c>
      <c r="C79" s="26" t="s">
        <v>69</v>
      </c>
      <c r="D79" s="163">
        <v>2100</v>
      </c>
      <c r="E79" s="166">
        <v>20100</v>
      </c>
      <c r="F79" s="92" t="s">
        <v>326</v>
      </c>
      <c r="G79" s="20" t="s">
        <v>149</v>
      </c>
      <c r="H79" s="18">
        <v>18351295</v>
      </c>
      <c r="I79" s="18">
        <v>1036</v>
      </c>
      <c r="J79" s="4" t="s">
        <v>20</v>
      </c>
      <c r="K79" s="26" t="s">
        <v>11</v>
      </c>
      <c r="L79" s="172">
        <v>1036</v>
      </c>
      <c r="M79" s="6">
        <v>103</v>
      </c>
      <c r="N79" s="6"/>
      <c r="O79" s="6">
        <v>21</v>
      </c>
      <c r="P79" s="6"/>
      <c r="Q79" s="7">
        <v>124</v>
      </c>
      <c r="R79" s="6"/>
      <c r="S79" s="1">
        <v>37</v>
      </c>
      <c r="U79" s="1">
        <v>19</v>
      </c>
      <c r="W79" s="1" t="str">
        <f t="shared" si="1"/>
        <v>No</v>
      </c>
    </row>
    <row r="80" spans="1:23" s="1" customFormat="1" ht="11.25">
      <c r="A80" s="2" t="s">
        <v>1245</v>
      </c>
      <c r="B80" s="21" t="s">
        <v>626</v>
      </c>
      <c r="C80" s="26" t="s">
        <v>19</v>
      </c>
      <c r="D80" s="163">
        <v>9015</v>
      </c>
      <c r="E80" s="166">
        <v>90015</v>
      </c>
      <c r="F80" s="92" t="s">
        <v>152</v>
      </c>
      <c r="G80" s="20" t="s">
        <v>149</v>
      </c>
      <c r="H80" s="18">
        <v>3281212</v>
      </c>
      <c r="I80" s="18">
        <v>988</v>
      </c>
      <c r="J80" s="4" t="s">
        <v>33</v>
      </c>
      <c r="K80" s="26" t="s">
        <v>11</v>
      </c>
      <c r="L80" s="172">
        <v>24</v>
      </c>
      <c r="M80" s="6">
        <v>0</v>
      </c>
      <c r="N80" s="6"/>
      <c r="O80" s="6">
        <v>0</v>
      </c>
      <c r="P80" s="6"/>
      <c r="Q80" s="7">
        <v>0</v>
      </c>
      <c r="R80" s="6"/>
      <c r="S80" s="1">
        <v>0</v>
      </c>
      <c r="U80" s="1">
        <v>0</v>
      </c>
      <c r="W80" s="1" t="str">
        <f t="shared" si="1"/>
        <v>No</v>
      </c>
    </row>
    <row r="81" spans="1:23" s="1" customFormat="1" ht="11.25">
      <c r="A81" s="2" t="s">
        <v>1245</v>
      </c>
      <c r="B81" s="21" t="s">
        <v>626</v>
      </c>
      <c r="C81" s="26" t="s">
        <v>19</v>
      </c>
      <c r="D81" s="163">
        <v>9015</v>
      </c>
      <c r="E81" s="166">
        <v>90015</v>
      </c>
      <c r="F81" s="92" t="s">
        <v>152</v>
      </c>
      <c r="G81" s="20" t="s">
        <v>149</v>
      </c>
      <c r="H81" s="18">
        <v>3281212</v>
      </c>
      <c r="I81" s="18">
        <v>988</v>
      </c>
      <c r="J81" s="4" t="s">
        <v>1246</v>
      </c>
      <c r="K81" s="26" t="s">
        <v>11</v>
      </c>
      <c r="L81" s="172">
        <v>27</v>
      </c>
      <c r="M81" s="6">
        <v>0</v>
      </c>
      <c r="N81" s="6"/>
      <c r="O81" s="6">
        <v>0</v>
      </c>
      <c r="P81" s="6"/>
      <c r="Q81" s="7">
        <v>0</v>
      </c>
      <c r="R81" s="6"/>
      <c r="S81" s="1">
        <v>0</v>
      </c>
      <c r="U81" s="1">
        <v>0</v>
      </c>
      <c r="W81" s="1" t="str">
        <f t="shared" si="1"/>
        <v>No</v>
      </c>
    </row>
    <row r="82" spans="1:23" s="1" customFormat="1" ht="11.25">
      <c r="A82" s="2" t="s">
        <v>1245</v>
      </c>
      <c r="B82" s="21" t="s">
        <v>626</v>
      </c>
      <c r="C82" s="26" t="s">
        <v>19</v>
      </c>
      <c r="D82" s="163">
        <v>9015</v>
      </c>
      <c r="E82" s="166">
        <v>90015</v>
      </c>
      <c r="F82" s="92" t="s">
        <v>152</v>
      </c>
      <c r="G82" s="20" t="s">
        <v>149</v>
      </c>
      <c r="H82" s="18">
        <v>3281212</v>
      </c>
      <c r="I82" s="18">
        <v>988</v>
      </c>
      <c r="J82" s="4" t="s">
        <v>46</v>
      </c>
      <c r="K82" s="26" t="s">
        <v>11</v>
      </c>
      <c r="L82" s="172">
        <v>197</v>
      </c>
      <c r="M82" s="6">
        <v>0</v>
      </c>
      <c r="N82" s="6"/>
      <c r="O82" s="6">
        <v>0</v>
      </c>
      <c r="P82" s="6"/>
      <c r="Q82" s="7">
        <v>0</v>
      </c>
      <c r="R82" s="6"/>
      <c r="S82" s="1">
        <v>0</v>
      </c>
      <c r="U82" s="1">
        <v>0</v>
      </c>
      <c r="W82" s="1" t="str">
        <f t="shared" si="1"/>
        <v>No</v>
      </c>
    </row>
    <row r="83" spans="1:23" s="1" customFormat="1" ht="11.25">
      <c r="A83" s="2" t="s">
        <v>1245</v>
      </c>
      <c r="B83" s="21" t="s">
        <v>626</v>
      </c>
      <c r="C83" s="26" t="s">
        <v>19</v>
      </c>
      <c r="D83" s="163">
        <v>9015</v>
      </c>
      <c r="E83" s="166">
        <v>90015</v>
      </c>
      <c r="F83" s="92" t="s">
        <v>152</v>
      </c>
      <c r="G83" s="20" t="s">
        <v>149</v>
      </c>
      <c r="H83" s="18">
        <v>3281212</v>
      </c>
      <c r="I83" s="18">
        <v>988</v>
      </c>
      <c r="J83" s="4" t="s">
        <v>18</v>
      </c>
      <c r="K83" s="26" t="s">
        <v>11</v>
      </c>
      <c r="L83" s="172">
        <v>131</v>
      </c>
      <c r="M83" s="6">
        <v>9</v>
      </c>
      <c r="N83" s="6"/>
      <c r="O83" s="6">
        <v>0</v>
      </c>
      <c r="P83" s="6"/>
      <c r="Q83" s="7">
        <v>9</v>
      </c>
      <c r="R83" s="6"/>
      <c r="S83" s="1">
        <v>11</v>
      </c>
      <c r="U83" s="1">
        <v>28</v>
      </c>
      <c r="W83" s="1" t="str">
        <f t="shared" si="1"/>
        <v>No</v>
      </c>
    </row>
    <row r="84" spans="1:23" s="1" customFormat="1" ht="11.25">
      <c r="A84" s="2" t="s">
        <v>1245</v>
      </c>
      <c r="B84" s="21" t="s">
        <v>626</v>
      </c>
      <c r="C84" s="26" t="s">
        <v>19</v>
      </c>
      <c r="D84" s="163">
        <v>9015</v>
      </c>
      <c r="E84" s="166">
        <v>90015</v>
      </c>
      <c r="F84" s="92" t="s">
        <v>152</v>
      </c>
      <c r="G84" s="20" t="s">
        <v>149</v>
      </c>
      <c r="H84" s="18">
        <v>3281212</v>
      </c>
      <c r="I84" s="18">
        <v>988</v>
      </c>
      <c r="J84" s="4" t="s">
        <v>12</v>
      </c>
      <c r="K84" s="26" t="s">
        <v>11</v>
      </c>
      <c r="L84" s="172">
        <v>477</v>
      </c>
      <c r="M84" s="6">
        <v>0</v>
      </c>
      <c r="N84" s="6"/>
      <c r="O84" s="6">
        <v>0</v>
      </c>
      <c r="P84" s="6"/>
      <c r="Q84" s="7">
        <v>0</v>
      </c>
      <c r="R84" s="6"/>
      <c r="S84" s="1">
        <v>0</v>
      </c>
      <c r="U84" s="1">
        <v>0</v>
      </c>
      <c r="W84" s="1" t="str">
        <f t="shared" si="1"/>
        <v>No</v>
      </c>
    </row>
    <row r="85" spans="1:23" s="1" customFormat="1" ht="11.25">
      <c r="A85" s="2" t="s">
        <v>1339</v>
      </c>
      <c r="B85" s="21" t="s">
        <v>291</v>
      </c>
      <c r="C85" s="26" t="s">
        <v>74</v>
      </c>
      <c r="D85" s="163">
        <v>8</v>
      </c>
      <c r="E85" s="166">
        <v>8</v>
      </c>
      <c r="F85" s="92" t="s">
        <v>160</v>
      </c>
      <c r="G85" s="20" t="s">
        <v>149</v>
      </c>
      <c r="H85" s="18">
        <v>1849898</v>
      </c>
      <c r="I85" s="18">
        <v>964</v>
      </c>
      <c r="J85" s="4" t="s">
        <v>18</v>
      </c>
      <c r="K85" s="26" t="s">
        <v>11</v>
      </c>
      <c r="L85" s="172">
        <v>116</v>
      </c>
      <c r="M85" s="6">
        <v>44</v>
      </c>
      <c r="N85" s="6"/>
      <c r="O85" s="6">
        <v>0</v>
      </c>
      <c r="P85" s="6"/>
      <c r="Q85" s="7">
        <v>44</v>
      </c>
      <c r="R85" s="6"/>
      <c r="S85" s="1">
        <v>16</v>
      </c>
      <c r="U85" s="1">
        <v>0</v>
      </c>
      <c r="W85" s="1" t="str">
        <f t="shared" si="1"/>
        <v>No</v>
      </c>
    </row>
    <row r="86" spans="1:23" s="1" customFormat="1" ht="11.25">
      <c r="A86" s="2" t="s">
        <v>1339</v>
      </c>
      <c r="B86" s="21" t="s">
        <v>291</v>
      </c>
      <c r="C86" s="26" t="s">
        <v>74</v>
      </c>
      <c r="D86" s="163">
        <v>8</v>
      </c>
      <c r="E86" s="166">
        <v>8</v>
      </c>
      <c r="F86" s="92" t="s">
        <v>160</v>
      </c>
      <c r="G86" s="20" t="s">
        <v>149</v>
      </c>
      <c r="H86" s="18">
        <v>1849898</v>
      </c>
      <c r="I86" s="18">
        <v>964</v>
      </c>
      <c r="J86" s="4" t="s">
        <v>12</v>
      </c>
      <c r="K86" s="26" t="s">
        <v>11</v>
      </c>
      <c r="L86" s="172">
        <v>550</v>
      </c>
      <c r="M86" s="6">
        <v>6</v>
      </c>
      <c r="N86" s="6"/>
      <c r="O86" s="6">
        <v>0</v>
      </c>
      <c r="P86" s="6"/>
      <c r="Q86" s="7">
        <v>6</v>
      </c>
      <c r="R86" s="6"/>
      <c r="S86" s="1">
        <v>0</v>
      </c>
      <c r="U86" s="1">
        <v>0</v>
      </c>
      <c r="W86" s="1" t="str">
        <f t="shared" si="1"/>
        <v>No</v>
      </c>
    </row>
    <row r="87" spans="1:23" s="1" customFormat="1" ht="11.25">
      <c r="A87" s="2" t="s">
        <v>1339</v>
      </c>
      <c r="B87" s="21" t="s">
        <v>291</v>
      </c>
      <c r="C87" s="26" t="s">
        <v>74</v>
      </c>
      <c r="D87" s="163">
        <v>8</v>
      </c>
      <c r="E87" s="166">
        <v>8</v>
      </c>
      <c r="F87" s="92" t="s">
        <v>160</v>
      </c>
      <c r="G87" s="20" t="s">
        <v>149</v>
      </c>
      <c r="H87" s="18">
        <v>1849898</v>
      </c>
      <c r="I87" s="18">
        <v>964</v>
      </c>
      <c r="J87" s="4" t="s">
        <v>26</v>
      </c>
      <c r="K87" s="26" t="s">
        <v>15</v>
      </c>
      <c r="L87" s="172">
        <v>4</v>
      </c>
      <c r="M87" s="6">
        <v>5</v>
      </c>
      <c r="N87" s="6"/>
      <c r="O87" s="6">
        <v>0</v>
      </c>
      <c r="P87" s="6"/>
      <c r="Q87" s="7">
        <v>5</v>
      </c>
      <c r="R87" s="6"/>
      <c r="S87" s="1">
        <v>0</v>
      </c>
      <c r="U87" s="1">
        <v>0</v>
      </c>
      <c r="W87" s="1" t="str">
        <f t="shared" si="1"/>
        <v>No</v>
      </c>
    </row>
    <row r="88" spans="1:23" s="1" customFormat="1" ht="11.25">
      <c r="A88" s="2" t="s">
        <v>1204</v>
      </c>
      <c r="B88" s="21" t="s">
        <v>1205</v>
      </c>
      <c r="C88" s="26" t="s">
        <v>75</v>
      </c>
      <c r="D88" s="163">
        <v>3022</v>
      </c>
      <c r="E88" s="166">
        <v>30022</v>
      </c>
      <c r="F88" s="92" t="s">
        <v>160</v>
      </c>
      <c r="G88" s="20" t="s">
        <v>149</v>
      </c>
      <c r="H88" s="18">
        <v>1733853</v>
      </c>
      <c r="I88" s="18">
        <v>939</v>
      </c>
      <c r="J88" s="4" t="s">
        <v>18</v>
      </c>
      <c r="K88" s="26" t="s">
        <v>11</v>
      </c>
      <c r="L88" s="172">
        <v>57</v>
      </c>
      <c r="M88" s="6">
        <v>30</v>
      </c>
      <c r="N88" s="6"/>
      <c r="O88" s="6">
        <v>0</v>
      </c>
      <c r="P88" s="6"/>
      <c r="Q88" s="7">
        <v>30</v>
      </c>
      <c r="R88" s="6"/>
      <c r="S88" s="1">
        <v>19</v>
      </c>
      <c r="U88" s="1">
        <v>17</v>
      </c>
      <c r="W88" s="1" t="str">
        <f t="shared" si="1"/>
        <v>No</v>
      </c>
    </row>
    <row r="89" spans="1:23" s="1" customFormat="1" ht="11.25">
      <c r="A89" s="2" t="s">
        <v>1204</v>
      </c>
      <c r="B89" s="21" t="s">
        <v>1205</v>
      </c>
      <c r="C89" s="26" t="s">
        <v>75</v>
      </c>
      <c r="D89" s="163">
        <v>3022</v>
      </c>
      <c r="E89" s="166">
        <v>30022</v>
      </c>
      <c r="F89" s="92" t="s">
        <v>160</v>
      </c>
      <c r="G89" s="20" t="s">
        <v>149</v>
      </c>
      <c r="H89" s="18">
        <v>1733853</v>
      </c>
      <c r="I89" s="18">
        <v>939</v>
      </c>
      <c r="J89" s="4" t="s">
        <v>12</v>
      </c>
      <c r="K89" s="26" t="s">
        <v>11</v>
      </c>
      <c r="L89" s="172">
        <v>614</v>
      </c>
      <c r="M89" s="6">
        <v>16</v>
      </c>
      <c r="N89" s="6"/>
      <c r="O89" s="6">
        <v>0</v>
      </c>
      <c r="P89" s="6"/>
      <c r="Q89" s="7">
        <v>16</v>
      </c>
      <c r="R89" s="6"/>
      <c r="S89" s="1">
        <v>0</v>
      </c>
      <c r="U89" s="1">
        <v>0</v>
      </c>
      <c r="W89" s="1" t="str">
        <f t="shared" si="1"/>
        <v>No</v>
      </c>
    </row>
    <row r="90" spans="1:23" s="1" customFormat="1" ht="11.25">
      <c r="A90" s="2" t="s">
        <v>1204</v>
      </c>
      <c r="B90" s="21" t="s">
        <v>1205</v>
      </c>
      <c r="C90" s="26" t="s">
        <v>75</v>
      </c>
      <c r="D90" s="163">
        <v>3022</v>
      </c>
      <c r="E90" s="166">
        <v>30022</v>
      </c>
      <c r="F90" s="92" t="s">
        <v>160</v>
      </c>
      <c r="G90" s="20" t="s">
        <v>149</v>
      </c>
      <c r="H90" s="18">
        <v>1733853</v>
      </c>
      <c r="I90" s="18">
        <v>939</v>
      </c>
      <c r="J90" s="4" t="s">
        <v>76</v>
      </c>
      <c r="K90" s="26" t="s">
        <v>11</v>
      </c>
      <c r="L90" s="172">
        <v>2</v>
      </c>
      <c r="M90" s="6">
        <v>2</v>
      </c>
      <c r="N90" s="6"/>
      <c r="O90" s="6">
        <v>0</v>
      </c>
      <c r="P90" s="6"/>
      <c r="Q90" s="7">
        <v>2</v>
      </c>
      <c r="R90" s="6"/>
      <c r="S90" s="1">
        <v>0</v>
      </c>
      <c r="U90" s="1">
        <v>0</v>
      </c>
      <c r="W90" s="1" t="str">
        <f t="shared" si="1"/>
        <v>No</v>
      </c>
    </row>
    <row r="91" spans="1:23" s="1" customFormat="1" ht="11.25">
      <c r="A91" s="2" t="s">
        <v>1822</v>
      </c>
      <c r="B91" s="21" t="s">
        <v>262</v>
      </c>
      <c r="C91" s="26" t="s">
        <v>52</v>
      </c>
      <c r="D91" s="163">
        <v>5027</v>
      </c>
      <c r="E91" s="166">
        <v>50027</v>
      </c>
      <c r="F91" s="92" t="s">
        <v>326</v>
      </c>
      <c r="G91" s="20" t="s">
        <v>149</v>
      </c>
      <c r="H91" s="18">
        <v>2650890</v>
      </c>
      <c r="I91" s="18">
        <v>850</v>
      </c>
      <c r="J91" s="4" t="s">
        <v>20</v>
      </c>
      <c r="K91" s="26" t="s">
        <v>15</v>
      </c>
      <c r="L91" s="172">
        <v>20</v>
      </c>
      <c r="M91" s="6">
        <v>7</v>
      </c>
      <c r="N91" s="6"/>
      <c r="O91" s="6">
        <v>0</v>
      </c>
      <c r="P91" s="6"/>
      <c r="Q91" s="7">
        <v>7</v>
      </c>
      <c r="R91" s="6"/>
      <c r="S91" s="1">
        <v>10</v>
      </c>
      <c r="U91" s="1">
        <v>1</v>
      </c>
      <c r="W91" s="1" t="str">
        <f t="shared" si="1"/>
        <v>No</v>
      </c>
    </row>
    <row r="92" spans="1:23" s="1" customFormat="1" ht="11.25">
      <c r="A92" s="2" t="s">
        <v>1822</v>
      </c>
      <c r="B92" s="21" t="s">
        <v>262</v>
      </c>
      <c r="C92" s="26" t="s">
        <v>52</v>
      </c>
      <c r="D92" s="163">
        <v>5027</v>
      </c>
      <c r="E92" s="166">
        <v>50027</v>
      </c>
      <c r="F92" s="92" t="s">
        <v>326</v>
      </c>
      <c r="G92" s="20" t="s">
        <v>149</v>
      </c>
      <c r="H92" s="18">
        <v>2650890</v>
      </c>
      <c r="I92" s="18">
        <v>850</v>
      </c>
      <c r="J92" s="4" t="s">
        <v>18</v>
      </c>
      <c r="K92" s="26" t="s">
        <v>11</v>
      </c>
      <c r="L92" s="172">
        <v>76</v>
      </c>
      <c r="M92" s="6">
        <v>37</v>
      </c>
      <c r="N92" s="6"/>
      <c r="O92" s="6">
        <v>0</v>
      </c>
      <c r="P92" s="6"/>
      <c r="Q92" s="7">
        <v>37</v>
      </c>
      <c r="R92" s="6"/>
      <c r="S92" s="1">
        <v>16</v>
      </c>
      <c r="U92" s="1">
        <v>9</v>
      </c>
      <c r="W92" s="1" t="str">
        <f t="shared" si="1"/>
        <v>No</v>
      </c>
    </row>
    <row r="93" spans="1:23" s="1" customFormat="1" ht="11.25">
      <c r="A93" s="2" t="s">
        <v>1822</v>
      </c>
      <c r="B93" s="21" t="s">
        <v>262</v>
      </c>
      <c r="C93" s="26" t="s">
        <v>52</v>
      </c>
      <c r="D93" s="163">
        <v>5027</v>
      </c>
      <c r="E93" s="166">
        <v>50027</v>
      </c>
      <c r="F93" s="92" t="s">
        <v>326</v>
      </c>
      <c r="G93" s="20" t="s">
        <v>149</v>
      </c>
      <c r="H93" s="18">
        <v>2650890</v>
      </c>
      <c r="I93" s="18">
        <v>850</v>
      </c>
      <c r="J93" s="4" t="s">
        <v>12</v>
      </c>
      <c r="K93" s="26" t="s">
        <v>11</v>
      </c>
      <c r="L93" s="172">
        <v>754</v>
      </c>
      <c r="M93" s="6">
        <v>27</v>
      </c>
      <c r="N93" s="6"/>
      <c r="O93" s="6">
        <v>0</v>
      </c>
      <c r="P93" s="6"/>
      <c r="Q93" s="7">
        <v>27</v>
      </c>
      <c r="R93" s="6"/>
      <c r="S93" s="1">
        <v>30</v>
      </c>
      <c r="U93" s="1">
        <v>15</v>
      </c>
      <c r="W93" s="1" t="str">
        <f t="shared" si="1"/>
        <v>No</v>
      </c>
    </row>
    <row r="94" spans="1:23" s="1" customFormat="1" ht="11.25">
      <c r="A94" s="2" t="s">
        <v>1110</v>
      </c>
      <c r="B94" s="21" t="s">
        <v>324</v>
      </c>
      <c r="C94" s="26" t="s">
        <v>35</v>
      </c>
      <c r="D94" s="163">
        <v>4022</v>
      </c>
      <c r="E94" s="166">
        <v>40022</v>
      </c>
      <c r="F94" s="92" t="s">
        <v>160</v>
      </c>
      <c r="G94" s="20" t="s">
        <v>149</v>
      </c>
      <c r="H94" s="18">
        <v>4515419</v>
      </c>
      <c r="I94" s="18">
        <v>845</v>
      </c>
      <c r="J94" s="4" t="s">
        <v>12</v>
      </c>
      <c r="K94" s="26" t="s">
        <v>11</v>
      </c>
      <c r="L94" s="172">
        <v>466</v>
      </c>
      <c r="M94" s="6">
        <v>1</v>
      </c>
      <c r="N94" s="6"/>
      <c r="O94" s="6">
        <v>0</v>
      </c>
      <c r="P94" s="6"/>
      <c r="Q94" s="7">
        <v>1</v>
      </c>
      <c r="R94" s="6"/>
      <c r="S94" s="1">
        <v>0</v>
      </c>
      <c r="U94" s="1">
        <v>0</v>
      </c>
      <c r="W94" s="1" t="str">
        <f t="shared" si="1"/>
        <v>No</v>
      </c>
    </row>
    <row r="95" spans="1:23" s="1" customFormat="1" ht="11.25">
      <c r="A95" s="2" t="s">
        <v>1110</v>
      </c>
      <c r="B95" s="21" t="s">
        <v>324</v>
      </c>
      <c r="C95" s="26" t="s">
        <v>35</v>
      </c>
      <c r="D95" s="163">
        <v>4022</v>
      </c>
      <c r="E95" s="166">
        <v>40022</v>
      </c>
      <c r="F95" s="92" t="s">
        <v>160</v>
      </c>
      <c r="G95" s="20" t="s">
        <v>149</v>
      </c>
      <c r="H95" s="18">
        <v>4515419</v>
      </c>
      <c r="I95" s="18">
        <v>845</v>
      </c>
      <c r="J95" s="4" t="s">
        <v>24</v>
      </c>
      <c r="K95" s="26" t="s">
        <v>11</v>
      </c>
      <c r="L95" s="172">
        <v>210</v>
      </c>
      <c r="M95" s="6">
        <v>38</v>
      </c>
      <c r="N95" s="6"/>
      <c r="O95" s="6">
        <v>0</v>
      </c>
      <c r="P95" s="6"/>
      <c r="Q95" s="7">
        <v>38</v>
      </c>
      <c r="R95" s="6"/>
      <c r="S95" s="1">
        <v>97</v>
      </c>
      <c r="U95" s="1">
        <v>149</v>
      </c>
      <c r="W95" s="1" t="str">
        <f t="shared" si="1"/>
        <v>No</v>
      </c>
    </row>
    <row r="96" spans="1:23" s="1" customFormat="1" ht="11.25">
      <c r="A96" s="2" t="s">
        <v>1347</v>
      </c>
      <c r="B96" s="21" t="s">
        <v>1348</v>
      </c>
      <c r="C96" s="26" t="s">
        <v>84</v>
      </c>
      <c r="D96" s="163">
        <v>6011</v>
      </c>
      <c r="E96" s="166">
        <v>60011</v>
      </c>
      <c r="F96" s="92" t="s">
        <v>160</v>
      </c>
      <c r="G96" s="20" t="s">
        <v>149</v>
      </c>
      <c r="H96" s="18">
        <v>1758210</v>
      </c>
      <c r="I96" s="18">
        <v>814</v>
      </c>
      <c r="J96" s="4" t="s">
        <v>12</v>
      </c>
      <c r="K96" s="26" t="s">
        <v>11</v>
      </c>
      <c r="L96" s="172">
        <v>378</v>
      </c>
      <c r="M96" s="6">
        <v>10</v>
      </c>
      <c r="N96" s="6"/>
      <c r="O96" s="6">
        <v>0</v>
      </c>
      <c r="P96" s="6"/>
      <c r="Q96" s="7">
        <v>10</v>
      </c>
      <c r="R96" s="6"/>
      <c r="S96" s="1">
        <v>0</v>
      </c>
      <c r="U96" s="1">
        <v>0</v>
      </c>
      <c r="W96" s="1" t="str">
        <f t="shared" si="1"/>
        <v>No</v>
      </c>
    </row>
    <row r="97" spans="1:23" s="1" customFormat="1" ht="11.25">
      <c r="A97" s="2" t="s">
        <v>1656</v>
      </c>
      <c r="B97" s="21" t="s">
        <v>280</v>
      </c>
      <c r="C97" s="26" t="s">
        <v>19</v>
      </c>
      <c r="D97" s="163">
        <v>9014</v>
      </c>
      <c r="E97" s="166">
        <v>90014</v>
      </c>
      <c r="F97" s="92" t="s">
        <v>160</v>
      </c>
      <c r="G97" s="20" t="s">
        <v>149</v>
      </c>
      <c r="H97" s="18">
        <v>3281212</v>
      </c>
      <c r="I97" s="18">
        <v>794</v>
      </c>
      <c r="J97" s="4" t="s">
        <v>12</v>
      </c>
      <c r="K97" s="26" t="s">
        <v>15</v>
      </c>
      <c r="L97" s="172">
        <v>14</v>
      </c>
      <c r="M97" s="6">
        <v>0</v>
      </c>
      <c r="N97" s="6"/>
      <c r="O97" s="6">
        <v>0</v>
      </c>
      <c r="P97" s="6"/>
      <c r="Q97" s="7">
        <v>0</v>
      </c>
      <c r="R97" s="6"/>
      <c r="S97" s="1">
        <v>0</v>
      </c>
      <c r="U97" s="1">
        <v>0</v>
      </c>
      <c r="W97" s="1" t="str">
        <f t="shared" si="1"/>
        <v>No</v>
      </c>
    </row>
    <row r="98" spans="1:23" s="1" customFormat="1" ht="11.25">
      <c r="A98" s="2" t="s">
        <v>1656</v>
      </c>
      <c r="B98" s="21" t="s">
        <v>280</v>
      </c>
      <c r="C98" s="26" t="s">
        <v>19</v>
      </c>
      <c r="D98" s="163">
        <v>9014</v>
      </c>
      <c r="E98" s="166">
        <v>90014</v>
      </c>
      <c r="F98" s="92" t="s">
        <v>160</v>
      </c>
      <c r="G98" s="20" t="s">
        <v>149</v>
      </c>
      <c r="H98" s="18">
        <v>3281212</v>
      </c>
      <c r="I98" s="18">
        <v>794</v>
      </c>
      <c r="J98" s="4" t="s">
        <v>21</v>
      </c>
      <c r="K98" s="26" t="s">
        <v>11</v>
      </c>
      <c r="L98" s="172">
        <v>117</v>
      </c>
      <c r="M98" s="6">
        <v>3</v>
      </c>
      <c r="N98" s="6"/>
      <c r="O98" s="6">
        <v>0</v>
      </c>
      <c r="P98" s="6"/>
      <c r="Q98" s="7">
        <v>3</v>
      </c>
      <c r="R98" s="6"/>
      <c r="S98" s="1">
        <v>9</v>
      </c>
      <c r="U98" s="1">
        <v>0</v>
      </c>
      <c r="W98" s="1" t="str">
        <f t="shared" si="1"/>
        <v>No</v>
      </c>
    </row>
    <row r="99" spans="1:23" s="1" customFormat="1" ht="11.25">
      <c r="A99" s="2" t="s">
        <v>1656</v>
      </c>
      <c r="B99" s="21" t="s">
        <v>280</v>
      </c>
      <c r="C99" s="26" t="s">
        <v>19</v>
      </c>
      <c r="D99" s="163">
        <v>9014</v>
      </c>
      <c r="E99" s="166">
        <v>90014</v>
      </c>
      <c r="F99" s="92" t="s">
        <v>160</v>
      </c>
      <c r="G99" s="20" t="s">
        <v>149</v>
      </c>
      <c r="H99" s="18">
        <v>3281212</v>
      </c>
      <c r="I99" s="18">
        <v>794</v>
      </c>
      <c r="J99" s="4" t="s">
        <v>12</v>
      </c>
      <c r="K99" s="26" t="s">
        <v>11</v>
      </c>
      <c r="L99" s="172">
        <v>457</v>
      </c>
      <c r="M99" s="6">
        <v>3</v>
      </c>
      <c r="N99" s="6"/>
      <c r="O99" s="6">
        <v>0</v>
      </c>
      <c r="P99" s="6"/>
      <c r="Q99" s="7">
        <v>3</v>
      </c>
      <c r="R99" s="6"/>
      <c r="S99" s="1">
        <v>13</v>
      </c>
      <c r="U99" s="1">
        <v>0</v>
      </c>
      <c r="W99" s="1" t="str">
        <f t="shared" si="1"/>
        <v>No</v>
      </c>
    </row>
    <row r="100" spans="1:23" s="1" customFormat="1" ht="11.25">
      <c r="A100" s="2" t="s">
        <v>733</v>
      </c>
      <c r="B100" s="21" t="s">
        <v>734</v>
      </c>
      <c r="C100" s="26" t="s">
        <v>36</v>
      </c>
      <c r="D100" s="163">
        <v>9002</v>
      </c>
      <c r="E100" s="166">
        <v>90002</v>
      </c>
      <c r="F100" s="92" t="s">
        <v>152</v>
      </c>
      <c r="G100" s="20" t="s">
        <v>149</v>
      </c>
      <c r="H100" s="18">
        <v>802459</v>
      </c>
      <c r="I100" s="18">
        <v>794</v>
      </c>
      <c r="J100" s="4" t="s">
        <v>12</v>
      </c>
      <c r="K100" s="26" t="s">
        <v>15</v>
      </c>
      <c r="L100" s="172">
        <v>452</v>
      </c>
      <c r="M100" s="6">
        <v>1</v>
      </c>
      <c r="N100" s="6"/>
      <c r="O100" s="6">
        <v>0</v>
      </c>
      <c r="P100" s="6"/>
      <c r="Q100" s="7">
        <v>1</v>
      </c>
      <c r="R100" s="6"/>
      <c r="S100" s="1">
        <v>0</v>
      </c>
      <c r="U100" s="1">
        <v>0</v>
      </c>
      <c r="W100" s="1" t="str">
        <f t="shared" si="1"/>
        <v>No</v>
      </c>
    </row>
    <row r="101" spans="1:23" s="1" customFormat="1" ht="11.25">
      <c r="A101" s="2" t="s">
        <v>1243</v>
      </c>
      <c r="B101" s="21" t="s">
        <v>1242</v>
      </c>
      <c r="C101" s="26" t="s">
        <v>19</v>
      </c>
      <c r="D101" s="163">
        <v>9026</v>
      </c>
      <c r="E101" s="166">
        <v>90026</v>
      </c>
      <c r="F101" s="92" t="s">
        <v>160</v>
      </c>
      <c r="G101" s="20" t="s">
        <v>149</v>
      </c>
      <c r="H101" s="18">
        <v>2956746</v>
      </c>
      <c r="I101" s="18">
        <v>783</v>
      </c>
      <c r="J101" s="4" t="s">
        <v>12</v>
      </c>
      <c r="K101" s="26" t="s">
        <v>15</v>
      </c>
      <c r="L101" s="172">
        <v>263</v>
      </c>
      <c r="M101" s="6">
        <v>0</v>
      </c>
      <c r="N101" s="6"/>
      <c r="O101" s="6">
        <v>0</v>
      </c>
      <c r="P101" s="6"/>
      <c r="Q101" s="7">
        <v>0</v>
      </c>
      <c r="R101" s="6"/>
      <c r="S101" s="1">
        <v>0</v>
      </c>
      <c r="U101" s="1">
        <v>0</v>
      </c>
      <c r="W101" s="1" t="str">
        <f t="shared" si="1"/>
        <v>No</v>
      </c>
    </row>
    <row r="102" spans="1:23" s="1" customFormat="1" ht="11.25">
      <c r="A102" s="2" t="s">
        <v>1243</v>
      </c>
      <c r="B102" s="21" t="s">
        <v>1242</v>
      </c>
      <c r="C102" s="26" t="s">
        <v>19</v>
      </c>
      <c r="D102" s="163">
        <v>9026</v>
      </c>
      <c r="E102" s="166">
        <v>90026</v>
      </c>
      <c r="F102" s="92" t="s">
        <v>160</v>
      </c>
      <c r="G102" s="20" t="s">
        <v>149</v>
      </c>
      <c r="H102" s="18">
        <v>2956746</v>
      </c>
      <c r="I102" s="18">
        <v>783</v>
      </c>
      <c r="J102" s="4" t="s">
        <v>21</v>
      </c>
      <c r="K102" s="26" t="s">
        <v>15</v>
      </c>
      <c r="L102" s="172">
        <v>17</v>
      </c>
      <c r="M102" s="6">
        <v>0</v>
      </c>
      <c r="N102" s="6"/>
      <c r="O102" s="6">
        <v>0</v>
      </c>
      <c r="P102" s="6"/>
      <c r="Q102" s="7">
        <v>0</v>
      </c>
      <c r="R102" s="6"/>
      <c r="S102" s="1">
        <v>0</v>
      </c>
      <c r="U102" s="1">
        <v>0</v>
      </c>
      <c r="W102" s="1" t="str">
        <f t="shared" si="1"/>
        <v>No</v>
      </c>
    </row>
    <row r="103" spans="1:23" s="1" customFormat="1" ht="11.25">
      <c r="A103" s="2" t="s">
        <v>1243</v>
      </c>
      <c r="B103" s="21" t="s">
        <v>1242</v>
      </c>
      <c r="C103" s="26" t="s">
        <v>19</v>
      </c>
      <c r="D103" s="163">
        <v>9026</v>
      </c>
      <c r="E103" s="166">
        <v>90026</v>
      </c>
      <c r="F103" s="92" t="s">
        <v>160</v>
      </c>
      <c r="G103" s="20" t="s">
        <v>149</v>
      </c>
      <c r="H103" s="18">
        <v>2956746</v>
      </c>
      <c r="I103" s="18">
        <v>783</v>
      </c>
      <c r="J103" s="4" t="s">
        <v>18</v>
      </c>
      <c r="K103" s="26" t="s">
        <v>11</v>
      </c>
      <c r="L103" s="172">
        <v>97</v>
      </c>
      <c r="M103" s="6">
        <v>53</v>
      </c>
      <c r="N103" s="6"/>
      <c r="O103" s="6">
        <v>0</v>
      </c>
      <c r="P103" s="6"/>
      <c r="Q103" s="7">
        <v>53</v>
      </c>
      <c r="R103" s="6"/>
      <c r="S103" s="1">
        <v>10</v>
      </c>
      <c r="U103" s="1">
        <v>4</v>
      </c>
      <c r="W103" s="1" t="str">
        <f t="shared" si="1"/>
        <v>No</v>
      </c>
    </row>
    <row r="104" spans="1:23" s="1" customFormat="1" ht="11.25">
      <c r="A104" s="2" t="s">
        <v>1243</v>
      </c>
      <c r="B104" s="21" t="s">
        <v>1242</v>
      </c>
      <c r="C104" s="26" t="s">
        <v>19</v>
      </c>
      <c r="D104" s="163">
        <v>9026</v>
      </c>
      <c r="E104" s="166">
        <v>90026</v>
      </c>
      <c r="F104" s="92" t="s">
        <v>160</v>
      </c>
      <c r="G104" s="20" t="s">
        <v>149</v>
      </c>
      <c r="H104" s="18">
        <v>2956746</v>
      </c>
      <c r="I104" s="18">
        <v>783</v>
      </c>
      <c r="J104" s="4" t="s">
        <v>12</v>
      </c>
      <c r="K104" s="26" t="s">
        <v>11</v>
      </c>
      <c r="L104" s="172">
        <v>232</v>
      </c>
      <c r="M104" s="6">
        <v>4</v>
      </c>
      <c r="N104" s="6"/>
      <c r="O104" s="6">
        <v>0</v>
      </c>
      <c r="P104" s="6"/>
      <c r="Q104" s="7">
        <v>4</v>
      </c>
      <c r="R104" s="6"/>
      <c r="S104" s="1">
        <v>1</v>
      </c>
      <c r="U104" s="1">
        <v>0</v>
      </c>
      <c r="W104" s="1" t="str">
        <f t="shared" si="1"/>
        <v>No</v>
      </c>
    </row>
    <row r="105" spans="1:23" s="1" customFormat="1" ht="11.25">
      <c r="A105" s="2" t="s">
        <v>672</v>
      </c>
      <c r="B105" s="21" t="s">
        <v>286</v>
      </c>
      <c r="C105" s="26" t="s">
        <v>84</v>
      </c>
      <c r="D105" s="163">
        <v>6048</v>
      </c>
      <c r="E105" s="166">
        <v>60048</v>
      </c>
      <c r="F105" s="92" t="s">
        <v>160</v>
      </c>
      <c r="G105" s="20" t="s">
        <v>149</v>
      </c>
      <c r="H105" s="18">
        <v>1362416</v>
      </c>
      <c r="I105" s="18">
        <v>751</v>
      </c>
      <c r="J105" s="4" t="s">
        <v>26</v>
      </c>
      <c r="K105" s="26" t="s">
        <v>15</v>
      </c>
      <c r="L105" s="172">
        <v>4</v>
      </c>
      <c r="M105" s="6">
        <v>9</v>
      </c>
      <c r="N105" s="6"/>
      <c r="O105" s="6">
        <v>0</v>
      </c>
      <c r="P105" s="6"/>
      <c r="Q105" s="7">
        <v>9</v>
      </c>
      <c r="R105" s="6"/>
      <c r="S105" s="1">
        <v>0</v>
      </c>
      <c r="U105" s="1">
        <v>0</v>
      </c>
      <c r="W105" s="1" t="str">
        <f t="shared" si="1"/>
        <v>No</v>
      </c>
    </row>
    <row r="106" spans="1:23" s="1" customFormat="1" ht="11.25">
      <c r="A106" s="2" t="s">
        <v>672</v>
      </c>
      <c r="B106" s="21" t="s">
        <v>286</v>
      </c>
      <c r="C106" s="26" t="s">
        <v>84</v>
      </c>
      <c r="D106" s="163">
        <v>6048</v>
      </c>
      <c r="E106" s="166">
        <v>60048</v>
      </c>
      <c r="F106" s="92" t="s">
        <v>160</v>
      </c>
      <c r="G106" s="20" t="s">
        <v>149</v>
      </c>
      <c r="H106" s="18">
        <v>1362416</v>
      </c>
      <c r="I106" s="18">
        <v>751</v>
      </c>
      <c r="J106" s="4" t="s">
        <v>21</v>
      </c>
      <c r="K106" s="26" t="s">
        <v>15</v>
      </c>
      <c r="L106" s="172">
        <v>35</v>
      </c>
      <c r="M106" s="6">
        <v>2</v>
      </c>
      <c r="N106" s="6"/>
      <c r="O106" s="6">
        <v>0</v>
      </c>
      <c r="P106" s="6"/>
      <c r="Q106" s="7">
        <v>2</v>
      </c>
      <c r="R106" s="6"/>
      <c r="S106" s="1">
        <v>0</v>
      </c>
      <c r="U106" s="1">
        <v>0</v>
      </c>
      <c r="W106" s="1" t="str">
        <f t="shared" si="1"/>
        <v>No</v>
      </c>
    </row>
    <row r="107" spans="1:23" s="1" customFormat="1" ht="11.25">
      <c r="A107" s="2" t="s">
        <v>672</v>
      </c>
      <c r="B107" s="21" t="s">
        <v>286</v>
      </c>
      <c r="C107" s="26" t="s">
        <v>84</v>
      </c>
      <c r="D107" s="163">
        <v>6048</v>
      </c>
      <c r="E107" s="166">
        <v>60048</v>
      </c>
      <c r="F107" s="92" t="s">
        <v>160</v>
      </c>
      <c r="G107" s="20" t="s">
        <v>149</v>
      </c>
      <c r="H107" s="18">
        <v>1362416</v>
      </c>
      <c r="I107" s="18">
        <v>751</v>
      </c>
      <c r="J107" s="4" t="s">
        <v>12</v>
      </c>
      <c r="K107" s="26" t="s">
        <v>15</v>
      </c>
      <c r="L107" s="172">
        <v>314</v>
      </c>
      <c r="M107" s="6">
        <v>6</v>
      </c>
      <c r="N107" s="6"/>
      <c r="O107" s="6">
        <v>0</v>
      </c>
      <c r="P107" s="6"/>
      <c r="Q107" s="7">
        <v>6</v>
      </c>
      <c r="R107" s="6"/>
      <c r="S107" s="1">
        <v>0</v>
      </c>
      <c r="U107" s="1">
        <v>0</v>
      </c>
      <c r="W107" s="1" t="str">
        <f t="shared" si="1"/>
        <v>No</v>
      </c>
    </row>
    <row r="108" spans="1:23" s="1" customFormat="1" ht="11.25">
      <c r="A108" s="2" t="s">
        <v>1250</v>
      </c>
      <c r="B108" s="21" t="s">
        <v>1251</v>
      </c>
      <c r="C108" s="26" t="s">
        <v>19</v>
      </c>
      <c r="D108" s="163">
        <v>9013</v>
      </c>
      <c r="E108" s="166">
        <v>90013</v>
      </c>
      <c r="F108" s="92" t="s">
        <v>160</v>
      </c>
      <c r="G108" s="20" t="s">
        <v>149</v>
      </c>
      <c r="H108" s="18">
        <v>1664496</v>
      </c>
      <c r="I108" s="18">
        <v>654</v>
      </c>
      <c r="J108" s="4" t="s">
        <v>12</v>
      </c>
      <c r="K108" s="26" t="s">
        <v>11</v>
      </c>
      <c r="L108" s="172">
        <v>389</v>
      </c>
      <c r="M108" s="6">
        <v>12</v>
      </c>
      <c r="N108" s="6"/>
      <c r="O108" s="6">
        <v>0</v>
      </c>
      <c r="P108" s="6"/>
      <c r="Q108" s="7">
        <v>12</v>
      </c>
      <c r="R108" s="6"/>
      <c r="S108" s="1">
        <v>1</v>
      </c>
      <c r="U108" s="1">
        <v>0</v>
      </c>
      <c r="W108" s="1" t="str">
        <f t="shared" si="1"/>
        <v>No</v>
      </c>
    </row>
    <row r="109" spans="1:23" s="1" customFormat="1" ht="11.25">
      <c r="A109" s="2" t="s">
        <v>1250</v>
      </c>
      <c r="B109" s="21" t="s">
        <v>1251</v>
      </c>
      <c r="C109" s="26" t="s">
        <v>19</v>
      </c>
      <c r="D109" s="163">
        <v>9013</v>
      </c>
      <c r="E109" s="166">
        <v>90013</v>
      </c>
      <c r="F109" s="92" t="s">
        <v>160</v>
      </c>
      <c r="G109" s="20" t="s">
        <v>149</v>
      </c>
      <c r="H109" s="18">
        <v>1664496</v>
      </c>
      <c r="I109" s="18">
        <v>654</v>
      </c>
      <c r="J109" s="4" t="s">
        <v>12</v>
      </c>
      <c r="K109" s="26" t="s">
        <v>15</v>
      </c>
      <c r="L109" s="172">
        <v>11</v>
      </c>
      <c r="M109" s="6">
        <v>1</v>
      </c>
      <c r="N109" s="6"/>
      <c r="O109" s="6">
        <v>0</v>
      </c>
      <c r="P109" s="6"/>
      <c r="Q109" s="7">
        <v>1</v>
      </c>
      <c r="R109" s="6"/>
      <c r="S109" s="1">
        <v>0</v>
      </c>
      <c r="U109" s="1">
        <v>0</v>
      </c>
      <c r="W109" s="1" t="str">
        <f t="shared" si="1"/>
        <v>No</v>
      </c>
    </row>
    <row r="110" spans="1:23" s="1" customFormat="1" ht="11.25">
      <c r="A110" s="2" t="s">
        <v>1250</v>
      </c>
      <c r="B110" s="21" t="s">
        <v>1251</v>
      </c>
      <c r="C110" s="26" t="s">
        <v>19</v>
      </c>
      <c r="D110" s="163">
        <v>9013</v>
      </c>
      <c r="E110" s="166">
        <v>90013</v>
      </c>
      <c r="F110" s="92" t="s">
        <v>160</v>
      </c>
      <c r="G110" s="20" t="s">
        <v>149</v>
      </c>
      <c r="H110" s="18">
        <v>1664496</v>
      </c>
      <c r="I110" s="18">
        <v>654</v>
      </c>
      <c r="J110" s="4" t="s">
        <v>18</v>
      </c>
      <c r="K110" s="26" t="s">
        <v>11</v>
      </c>
      <c r="L110" s="172">
        <v>59</v>
      </c>
      <c r="M110" s="6">
        <v>64</v>
      </c>
      <c r="N110" s="6"/>
      <c r="O110" s="6">
        <v>0</v>
      </c>
      <c r="P110" s="6"/>
      <c r="Q110" s="7">
        <v>64</v>
      </c>
      <c r="R110" s="6"/>
      <c r="S110" s="1">
        <v>10</v>
      </c>
      <c r="U110" s="1">
        <v>28</v>
      </c>
      <c r="W110" s="1" t="str">
        <f t="shared" si="1"/>
        <v>No</v>
      </c>
    </row>
    <row r="111" spans="1:23" s="1" customFormat="1" ht="11.25">
      <c r="A111" s="2" t="s">
        <v>1272</v>
      </c>
      <c r="B111" s="21" t="s">
        <v>977</v>
      </c>
      <c r="C111" s="26" t="s">
        <v>88</v>
      </c>
      <c r="D111" s="163">
        <v>29</v>
      </c>
      <c r="E111" s="166">
        <v>29</v>
      </c>
      <c r="F111" s="92" t="s">
        <v>160</v>
      </c>
      <c r="G111" s="20" t="s">
        <v>149</v>
      </c>
      <c r="H111" s="18">
        <v>3059393</v>
      </c>
      <c r="I111" s="18">
        <v>621</v>
      </c>
      <c r="J111" s="4" t="s">
        <v>21</v>
      </c>
      <c r="K111" s="26" t="s">
        <v>15</v>
      </c>
      <c r="L111" s="172">
        <v>54</v>
      </c>
      <c r="M111" s="6">
        <v>1</v>
      </c>
      <c r="N111" s="6"/>
      <c r="O111" s="6">
        <v>0</v>
      </c>
      <c r="P111" s="6"/>
      <c r="Q111" s="7">
        <v>1</v>
      </c>
      <c r="R111" s="6"/>
      <c r="S111" s="1">
        <v>0</v>
      </c>
      <c r="U111" s="1">
        <v>0</v>
      </c>
      <c r="W111" s="1" t="str">
        <f t="shared" si="1"/>
        <v>No</v>
      </c>
    </row>
    <row r="112" spans="1:23" s="1" customFormat="1" ht="11.25">
      <c r="A112" s="2" t="s">
        <v>1272</v>
      </c>
      <c r="B112" s="21" t="s">
        <v>977</v>
      </c>
      <c r="C112" s="26" t="s">
        <v>88</v>
      </c>
      <c r="D112" s="163">
        <v>29</v>
      </c>
      <c r="E112" s="166">
        <v>29</v>
      </c>
      <c r="F112" s="92" t="s">
        <v>160</v>
      </c>
      <c r="G112" s="20" t="s">
        <v>149</v>
      </c>
      <c r="H112" s="18">
        <v>3059393</v>
      </c>
      <c r="I112" s="18">
        <v>621</v>
      </c>
      <c r="J112" s="4" t="s">
        <v>12</v>
      </c>
      <c r="K112" s="26" t="s">
        <v>11</v>
      </c>
      <c r="L112" s="172">
        <v>108</v>
      </c>
      <c r="M112" s="6">
        <v>1</v>
      </c>
      <c r="N112" s="6"/>
      <c r="O112" s="6">
        <v>0</v>
      </c>
      <c r="P112" s="6"/>
      <c r="Q112" s="7">
        <v>1</v>
      </c>
      <c r="R112" s="6"/>
      <c r="S112" s="1">
        <v>0</v>
      </c>
      <c r="U112" s="1">
        <v>0</v>
      </c>
      <c r="W112" s="1" t="str">
        <f t="shared" si="1"/>
        <v>No</v>
      </c>
    </row>
    <row r="113" spans="1:23" s="1" customFormat="1" ht="11.25">
      <c r="A113" s="2" t="s">
        <v>1272</v>
      </c>
      <c r="B113" s="21" t="s">
        <v>977</v>
      </c>
      <c r="C113" s="26" t="s">
        <v>88</v>
      </c>
      <c r="D113" s="163">
        <v>29</v>
      </c>
      <c r="E113" s="166">
        <v>29</v>
      </c>
      <c r="F113" s="92" t="s">
        <v>160</v>
      </c>
      <c r="G113" s="20" t="s">
        <v>149</v>
      </c>
      <c r="H113" s="18">
        <v>3059393</v>
      </c>
      <c r="I113" s="18">
        <v>621</v>
      </c>
      <c r="J113" s="4" t="s">
        <v>21</v>
      </c>
      <c r="K113" s="26" t="s">
        <v>11</v>
      </c>
      <c r="L113" s="172">
        <v>43</v>
      </c>
      <c r="M113" s="6">
        <v>1</v>
      </c>
      <c r="N113" s="6"/>
      <c r="O113" s="6">
        <v>0</v>
      </c>
      <c r="P113" s="6"/>
      <c r="Q113" s="7">
        <v>1</v>
      </c>
      <c r="R113" s="6"/>
      <c r="S113" s="1">
        <v>0</v>
      </c>
      <c r="U113" s="1">
        <v>0</v>
      </c>
      <c r="W113" s="1" t="str">
        <f t="shared" si="1"/>
        <v>No</v>
      </c>
    </row>
    <row r="114" spans="1:23" s="1" customFormat="1" ht="11.25">
      <c r="A114" s="2" t="s">
        <v>679</v>
      </c>
      <c r="B114" s="21" t="s">
        <v>680</v>
      </c>
      <c r="C114" s="26" t="s">
        <v>32</v>
      </c>
      <c r="D114" s="163">
        <v>4035</v>
      </c>
      <c r="E114" s="166">
        <v>40035</v>
      </c>
      <c r="F114" s="92" t="s">
        <v>160</v>
      </c>
      <c r="G114" s="20" t="s">
        <v>149</v>
      </c>
      <c r="H114" s="18">
        <v>1510516</v>
      </c>
      <c r="I114" s="18">
        <v>610</v>
      </c>
      <c r="J114" s="4" t="s">
        <v>12</v>
      </c>
      <c r="K114" s="26" t="s">
        <v>11</v>
      </c>
      <c r="L114" s="172">
        <v>245</v>
      </c>
      <c r="M114" s="6">
        <v>2</v>
      </c>
      <c r="N114" s="6"/>
      <c r="O114" s="6">
        <v>0</v>
      </c>
      <c r="P114" s="6"/>
      <c r="Q114" s="7">
        <v>2</v>
      </c>
      <c r="R114" s="6"/>
      <c r="S114" s="1">
        <v>0</v>
      </c>
      <c r="U114" s="1">
        <v>0</v>
      </c>
      <c r="W114" s="1" t="str">
        <f t="shared" si="1"/>
        <v>No</v>
      </c>
    </row>
    <row r="115" spans="1:23" s="1" customFormat="1" ht="11.25">
      <c r="A115" s="2" t="s">
        <v>679</v>
      </c>
      <c r="B115" s="21" t="s">
        <v>680</v>
      </c>
      <c r="C115" s="26" t="s">
        <v>32</v>
      </c>
      <c r="D115" s="163">
        <v>4035</v>
      </c>
      <c r="E115" s="166">
        <v>40035</v>
      </c>
      <c r="F115" s="92" t="s">
        <v>160</v>
      </c>
      <c r="G115" s="20" t="s">
        <v>149</v>
      </c>
      <c r="H115" s="18">
        <v>1510516</v>
      </c>
      <c r="I115" s="18">
        <v>610</v>
      </c>
      <c r="J115" s="4" t="s">
        <v>12</v>
      </c>
      <c r="K115" s="26" t="s">
        <v>15</v>
      </c>
      <c r="L115" s="172">
        <v>13</v>
      </c>
      <c r="M115" s="6">
        <v>0</v>
      </c>
      <c r="N115" s="6"/>
      <c r="O115" s="6">
        <v>0</v>
      </c>
      <c r="P115" s="6"/>
      <c r="Q115" s="7">
        <v>0</v>
      </c>
      <c r="R115" s="6"/>
      <c r="S115" s="1">
        <v>0</v>
      </c>
      <c r="U115" s="1">
        <v>0</v>
      </c>
      <c r="W115" s="1" t="str">
        <f t="shared" si="1"/>
        <v>No</v>
      </c>
    </row>
    <row r="116" spans="1:23" s="1" customFormat="1" ht="11.25">
      <c r="A116" s="2" t="s">
        <v>679</v>
      </c>
      <c r="B116" s="21" t="s">
        <v>680</v>
      </c>
      <c r="C116" s="26" t="s">
        <v>32</v>
      </c>
      <c r="D116" s="163">
        <v>4035</v>
      </c>
      <c r="E116" s="166">
        <v>40035</v>
      </c>
      <c r="F116" s="92" t="s">
        <v>160</v>
      </c>
      <c r="G116" s="20" t="s">
        <v>149</v>
      </c>
      <c r="H116" s="18">
        <v>1510516</v>
      </c>
      <c r="I116" s="18">
        <v>610</v>
      </c>
      <c r="J116" s="4" t="s">
        <v>25</v>
      </c>
      <c r="K116" s="26" t="s">
        <v>11</v>
      </c>
      <c r="L116" s="172">
        <v>14</v>
      </c>
      <c r="M116" s="6">
        <v>1</v>
      </c>
      <c r="N116" s="6"/>
      <c r="O116" s="6">
        <v>0</v>
      </c>
      <c r="P116" s="6"/>
      <c r="Q116" s="7">
        <v>1</v>
      </c>
      <c r="R116" s="6"/>
      <c r="S116" s="1">
        <v>0</v>
      </c>
      <c r="U116" s="1">
        <v>0</v>
      </c>
      <c r="W116" s="1" t="str">
        <f t="shared" si="1"/>
        <v>No</v>
      </c>
    </row>
    <row r="117" spans="1:23" s="1" customFormat="1" ht="11.25">
      <c r="A117" s="2" t="s">
        <v>679</v>
      </c>
      <c r="B117" s="21" t="s">
        <v>680</v>
      </c>
      <c r="C117" s="26" t="s">
        <v>32</v>
      </c>
      <c r="D117" s="163">
        <v>4035</v>
      </c>
      <c r="E117" s="166">
        <v>40035</v>
      </c>
      <c r="F117" s="92" t="s">
        <v>160</v>
      </c>
      <c r="G117" s="20" t="s">
        <v>149</v>
      </c>
      <c r="H117" s="18">
        <v>1510516</v>
      </c>
      <c r="I117" s="18">
        <v>610</v>
      </c>
      <c r="J117" s="4" t="s">
        <v>21</v>
      </c>
      <c r="K117" s="26" t="s">
        <v>15</v>
      </c>
      <c r="L117" s="172">
        <v>2</v>
      </c>
      <c r="M117" s="6">
        <v>0</v>
      </c>
      <c r="N117" s="6"/>
      <c r="O117" s="6">
        <v>0</v>
      </c>
      <c r="P117" s="6"/>
      <c r="Q117" s="7">
        <v>0</v>
      </c>
      <c r="R117" s="6"/>
      <c r="S117" s="1">
        <v>0</v>
      </c>
      <c r="U117" s="1">
        <v>0</v>
      </c>
      <c r="W117" s="1" t="str">
        <f t="shared" si="1"/>
        <v>No</v>
      </c>
    </row>
    <row r="118" spans="1:23" s="1" customFormat="1" ht="11.25">
      <c r="A118" s="2" t="s">
        <v>1208</v>
      </c>
      <c r="B118" s="21" t="s">
        <v>1209</v>
      </c>
      <c r="C118" s="26" t="s">
        <v>86</v>
      </c>
      <c r="D118" s="163">
        <v>3070</v>
      </c>
      <c r="E118" s="166">
        <v>30070</v>
      </c>
      <c r="F118" s="92" t="s">
        <v>160</v>
      </c>
      <c r="G118" s="20" t="s">
        <v>149</v>
      </c>
      <c r="H118" s="18">
        <v>4586770</v>
      </c>
      <c r="I118" s="18">
        <v>609</v>
      </c>
      <c r="J118" s="4" t="s">
        <v>21</v>
      </c>
      <c r="K118" s="26" t="s">
        <v>15</v>
      </c>
      <c r="L118" s="172">
        <v>92</v>
      </c>
      <c r="M118" s="6">
        <v>1</v>
      </c>
      <c r="N118" s="6"/>
      <c r="O118" s="6">
        <v>0</v>
      </c>
      <c r="P118" s="6"/>
      <c r="Q118" s="7">
        <v>1</v>
      </c>
      <c r="R118" s="6"/>
      <c r="S118" s="1">
        <v>0</v>
      </c>
      <c r="U118" s="1">
        <v>0</v>
      </c>
      <c r="W118" s="1" t="str">
        <f t="shared" si="1"/>
        <v>No</v>
      </c>
    </row>
    <row r="119" spans="1:23" s="1" customFormat="1" ht="11.25">
      <c r="A119" s="2" t="s">
        <v>1208</v>
      </c>
      <c r="B119" s="21" t="s">
        <v>1209</v>
      </c>
      <c r="C119" s="26" t="s">
        <v>86</v>
      </c>
      <c r="D119" s="163">
        <v>3070</v>
      </c>
      <c r="E119" s="166">
        <v>30070</v>
      </c>
      <c r="F119" s="92" t="s">
        <v>160</v>
      </c>
      <c r="G119" s="20" t="s">
        <v>149</v>
      </c>
      <c r="H119" s="18">
        <v>4586770</v>
      </c>
      <c r="I119" s="18">
        <v>609</v>
      </c>
      <c r="J119" s="4" t="s">
        <v>12</v>
      </c>
      <c r="K119" s="26" t="s">
        <v>15</v>
      </c>
      <c r="L119" s="172">
        <v>36</v>
      </c>
      <c r="M119" s="6">
        <v>1</v>
      </c>
      <c r="N119" s="6"/>
      <c r="O119" s="6">
        <v>0</v>
      </c>
      <c r="P119" s="6"/>
      <c r="Q119" s="7">
        <v>1</v>
      </c>
      <c r="R119" s="6"/>
      <c r="S119" s="1">
        <v>0</v>
      </c>
      <c r="U119" s="1">
        <v>0</v>
      </c>
      <c r="W119" s="1" t="str">
        <f t="shared" si="1"/>
        <v>No</v>
      </c>
    </row>
    <row r="120" spans="1:23" s="1" customFormat="1" ht="11.25">
      <c r="A120" s="2" t="s">
        <v>870</v>
      </c>
      <c r="B120" s="21" t="s">
        <v>371</v>
      </c>
      <c r="C120" s="26" t="s">
        <v>16</v>
      </c>
      <c r="D120" s="163">
        <v>9032</v>
      </c>
      <c r="E120" s="166">
        <v>90032</v>
      </c>
      <c r="F120" s="92" t="s">
        <v>152</v>
      </c>
      <c r="G120" s="20" t="s">
        <v>149</v>
      </c>
      <c r="H120" s="18">
        <v>3629114</v>
      </c>
      <c r="I120" s="18">
        <v>562</v>
      </c>
      <c r="J120" s="4" t="s">
        <v>12</v>
      </c>
      <c r="K120" s="26" t="s">
        <v>15</v>
      </c>
      <c r="L120" s="172">
        <v>451</v>
      </c>
      <c r="M120" s="6">
        <v>4</v>
      </c>
      <c r="N120" s="6"/>
      <c r="O120" s="6">
        <v>0</v>
      </c>
      <c r="P120" s="6"/>
      <c r="Q120" s="7">
        <v>4</v>
      </c>
      <c r="R120" s="6"/>
      <c r="S120" s="1">
        <v>0</v>
      </c>
      <c r="U120" s="1">
        <v>0</v>
      </c>
      <c r="W120" s="1" t="str">
        <f t="shared" si="1"/>
        <v>No</v>
      </c>
    </row>
    <row r="121" spans="1:23" s="1" customFormat="1" ht="11.25">
      <c r="A121" s="2" t="s">
        <v>1244</v>
      </c>
      <c r="B121" s="21" t="s">
        <v>280</v>
      </c>
      <c r="C121" s="26" t="s">
        <v>19</v>
      </c>
      <c r="D121" s="163">
        <v>9003</v>
      </c>
      <c r="E121" s="166">
        <v>90003</v>
      </c>
      <c r="F121" s="92" t="s">
        <v>160</v>
      </c>
      <c r="G121" s="20" t="s">
        <v>149</v>
      </c>
      <c r="H121" s="18">
        <v>3281212</v>
      </c>
      <c r="I121" s="18">
        <v>559</v>
      </c>
      <c r="J121" s="4" t="s">
        <v>24</v>
      </c>
      <c r="K121" s="26" t="s">
        <v>11</v>
      </c>
      <c r="L121" s="172">
        <v>556</v>
      </c>
      <c r="M121" s="6">
        <v>45</v>
      </c>
      <c r="N121" s="6"/>
      <c r="O121" s="6">
        <v>0</v>
      </c>
      <c r="P121" s="6"/>
      <c r="Q121" s="7">
        <v>45</v>
      </c>
      <c r="R121" s="6"/>
      <c r="S121" s="1">
        <v>130</v>
      </c>
      <c r="U121" s="1">
        <v>179</v>
      </c>
      <c r="W121" s="1" t="str">
        <f t="shared" si="1"/>
        <v>No</v>
      </c>
    </row>
    <row r="122" spans="1:23" s="1" customFormat="1" ht="11.25">
      <c r="A122" s="2" t="s">
        <v>1244</v>
      </c>
      <c r="B122" s="21" t="s">
        <v>280</v>
      </c>
      <c r="C122" s="26" t="s">
        <v>19</v>
      </c>
      <c r="D122" s="163">
        <v>9003</v>
      </c>
      <c r="E122" s="166">
        <v>90003</v>
      </c>
      <c r="F122" s="92" t="s">
        <v>160</v>
      </c>
      <c r="G122" s="20" t="s">
        <v>149</v>
      </c>
      <c r="H122" s="18">
        <v>3281212</v>
      </c>
      <c r="I122" s="18">
        <v>559</v>
      </c>
      <c r="J122" s="4" t="s">
        <v>34</v>
      </c>
      <c r="K122" s="26" t="s">
        <v>15</v>
      </c>
      <c r="L122" s="172">
        <v>3</v>
      </c>
      <c r="M122" s="6">
        <v>2</v>
      </c>
      <c r="N122" s="6"/>
      <c r="O122" s="6">
        <v>0</v>
      </c>
      <c r="P122" s="6"/>
      <c r="Q122" s="7">
        <v>2</v>
      </c>
      <c r="R122" s="6"/>
      <c r="S122" s="1">
        <v>2</v>
      </c>
      <c r="U122" s="1">
        <v>4</v>
      </c>
      <c r="W122" s="1" t="str">
        <f t="shared" si="1"/>
        <v>No</v>
      </c>
    </row>
    <row r="123" spans="1:23" s="1" customFormat="1" ht="11.25">
      <c r="A123" s="2" t="s">
        <v>1390</v>
      </c>
      <c r="B123" s="21" t="s">
        <v>319</v>
      </c>
      <c r="C123" s="26" t="s">
        <v>68</v>
      </c>
      <c r="D123" s="163">
        <v>9045</v>
      </c>
      <c r="E123" s="166">
        <v>90045</v>
      </c>
      <c r="F123" s="92" t="s">
        <v>160</v>
      </c>
      <c r="G123" s="20" t="s">
        <v>149</v>
      </c>
      <c r="H123" s="18">
        <v>1886011</v>
      </c>
      <c r="I123" s="18">
        <v>557</v>
      </c>
      <c r="J123" s="4" t="s">
        <v>21</v>
      </c>
      <c r="K123" s="26" t="s">
        <v>15</v>
      </c>
      <c r="L123" s="172">
        <v>19</v>
      </c>
      <c r="M123" s="6">
        <v>0</v>
      </c>
      <c r="N123" s="6"/>
      <c r="O123" s="6">
        <v>0</v>
      </c>
      <c r="P123" s="6"/>
      <c r="Q123" s="7">
        <v>0</v>
      </c>
      <c r="R123" s="6"/>
      <c r="S123" s="1">
        <v>0</v>
      </c>
      <c r="U123" s="1">
        <v>0</v>
      </c>
      <c r="W123" s="1" t="str">
        <f t="shared" si="1"/>
        <v>No</v>
      </c>
    </row>
    <row r="124" spans="1:23" s="1" customFormat="1" ht="11.25">
      <c r="A124" s="2" t="s">
        <v>1390</v>
      </c>
      <c r="B124" s="21" t="s">
        <v>319</v>
      </c>
      <c r="C124" s="26" t="s">
        <v>68</v>
      </c>
      <c r="D124" s="163">
        <v>9045</v>
      </c>
      <c r="E124" s="166">
        <v>90045</v>
      </c>
      <c r="F124" s="92" t="s">
        <v>160</v>
      </c>
      <c r="G124" s="20" t="s">
        <v>149</v>
      </c>
      <c r="H124" s="18">
        <v>1886011</v>
      </c>
      <c r="I124" s="18">
        <v>557</v>
      </c>
      <c r="J124" s="4" t="s">
        <v>12</v>
      </c>
      <c r="K124" s="26" t="s">
        <v>15</v>
      </c>
      <c r="L124" s="172">
        <v>268</v>
      </c>
      <c r="M124" s="6">
        <v>4</v>
      </c>
      <c r="N124" s="6"/>
      <c r="O124" s="6">
        <v>0</v>
      </c>
      <c r="P124" s="6"/>
      <c r="Q124" s="7">
        <v>4</v>
      </c>
      <c r="R124" s="6"/>
      <c r="S124" s="1">
        <v>0</v>
      </c>
      <c r="U124" s="1">
        <v>0</v>
      </c>
      <c r="W124" s="1" t="str">
        <f t="shared" si="1"/>
        <v>No</v>
      </c>
    </row>
    <row r="125" spans="1:23" s="1" customFormat="1" ht="11.25">
      <c r="A125" s="2" t="s">
        <v>1192</v>
      </c>
      <c r="B125" s="21" t="s">
        <v>1193</v>
      </c>
      <c r="C125" s="26" t="s">
        <v>88</v>
      </c>
      <c r="D125" s="163">
        <v>3</v>
      </c>
      <c r="E125" s="166">
        <v>3</v>
      </c>
      <c r="F125" s="92" t="s">
        <v>160</v>
      </c>
      <c r="G125" s="20" t="s">
        <v>149</v>
      </c>
      <c r="H125" s="18">
        <v>3059393</v>
      </c>
      <c r="I125" s="18">
        <v>533</v>
      </c>
      <c r="J125" s="4" t="s">
        <v>12</v>
      </c>
      <c r="K125" s="26" t="s">
        <v>11</v>
      </c>
      <c r="L125" s="172">
        <v>120</v>
      </c>
      <c r="M125" s="6">
        <v>28</v>
      </c>
      <c r="N125" s="6"/>
      <c r="O125" s="6">
        <v>0</v>
      </c>
      <c r="P125" s="6"/>
      <c r="Q125" s="7">
        <v>28</v>
      </c>
      <c r="R125" s="6"/>
      <c r="S125" s="1">
        <v>5</v>
      </c>
      <c r="U125" s="1">
        <v>0</v>
      </c>
      <c r="W125" s="1" t="str">
        <f t="shared" si="1"/>
        <v>No</v>
      </c>
    </row>
    <row r="126" spans="1:23" s="1" customFormat="1" ht="11.25">
      <c r="A126" s="2" t="s">
        <v>776</v>
      </c>
      <c r="B126" s="21" t="s">
        <v>777</v>
      </c>
      <c r="C126" s="26" t="s">
        <v>51</v>
      </c>
      <c r="D126" s="163">
        <v>5119</v>
      </c>
      <c r="E126" s="166">
        <v>50119</v>
      </c>
      <c r="F126" s="92" t="s">
        <v>152</v>
      </c>
      <c r="G126" s="20" t="s">
        <v>149</v>
      </c>
      <c r="H126" s="18">
        <v>3734090</v>
      </c>
      <c r="I126" s="18">
        <v>519</v>
      </c>
      <c r="J126" s="4" t="s">
        <v>12</v>
      </c>
      <c r="K126" s="26" t="s">
        <v>11</v>
      </c>
      <c r="L126" s="172">
        <v>243</v>
      </c>
      <c r="M126" s="6">
        <v>1</v>
      </c>
      <c r="N126" s="6"/>
      <c r="O126" s="6">
        <v>0</v>
      </c>
      <c r="P126" s="6"/>
      <c r="Q126" s="7">
        <v>1</v>
      </c>
      <c r="R126" s="6"/>
      <c r="S126" s="1">
        <v>1</v>
      </c>
      <c r="U126" s="1">
        <v>1</v>
      </c>
      <c r="W126" s="1" t="str">
        <f t="shared" si="1"/>
        <v>No</v>
      </c>
    </row>
    <row r="127" spans="1:23" s="1" customFormat="1" ht="11.25">
      <c r="A127" s="2" t="s">
        <v>651</v>
      </c>
      <c r="B127" s="21" t="s">
        <v>497</v>
      </c>
      <c r="C127" s="26" t="s">
        <v>32</v>
      </c>
      <c r="D127" s="163">
        <v>4029</v>
      </c>
      <c r="E127" s="166">
        <v>40029</v>
      </c>
      <c r="F127" s="92" t="s">
        <v>152</v>
      </c>
      <c r="G127" s="20" t="s">
        <v>149</v>
      </c>
      <c r="H127" s="18">
        <v>5502379</v>
      </c>
      <c r="I127" s="18">
        <v>494</v>
      </c>
      <c r="J127" s="4" t="s">
        <v>12</v>
      </c>
      <c r="K127" s="26" t="s">
        <v>11</v>
      </c>
      <c r="L127" s="172">
        <v>284</v>
      </c>
      <c r="M127" s="6">
        <v>4</v>
      </c>
      <c r="N127" s="6"/>
      <c r="O127" s="6">
        <v>0</v>
      </c>
      <c r="P127" s="6"/>
      <c r="Q127" s="7">
        <v>4</v>
      </c>
      <c r="R127" s="6"/>
      <c r="S127" s="1">
        <v>0</v>
      </c>
      <c r="U127" s="1">
        <v>0</v>
      </c>
      <c r="W127" s="1" t="str">
        <f t="shared" si="1"/>
        <v>No</v>
      </c>
    </row>
    <row r="128" spans="1:23" s="1" customFormat="1" ht="11.25">
      <c r="A128" s="2" t="s">
        <v>651</v>
      </c>
      <c r="B128" s="21" t="s">
        <v>497</v>
      </c>
      <c r="C128" s="26" t="s">
        <v>32</v>
      </c>
      <c r="D128" s="163">
        <v>4029</v>
      </c>
      <c r="E128" s="166">
        <v>40029</v>
      </c>
      <c r="F128" s="92" t="s">
        <v>152</v>
      </c>
      <c r="G128" s="20" t="s">
        <v>149</v>
      </c>
      <c r="H128" s="18">
        <v>5502379</v>
      </c>
      <c r="I128" s="18">
        <v>494</v>
      </c>
      <c r="J128" s="4" t="s">
        <v>12</v>
      </c>
      <c r="K128" s="26" t="s">
        <v>15</v>
      </c>
      <c r="L128" s="172">
        <v>7</v>
      </c>
      <c r="M128" s="6">
        <v>0</v>
      </c>
      <c r="N128" s="6"/>
      <c r="O128" s="6">
        <v>0</v>
      </c>
      <c r="P128" s="6"/>
      <c r="Q128" s="7">
        <v>0</v>
      </c>
      <c r="R128" s="6"/>
      <c r="S128" s="1">
        <v>0</v>
      </c>
      <c r="U128" s="1">
        <v>0</v>
      </c>
      <c r="W128" s="1" t="str">
        <f t="shared" si="1"/>
        <v>No</v>
      </c>
    </row>
    <row r="129" spans="1:23" s="1" customFormat="1" ht="11.25">
      <c r="A129" s="2" t="s">
        <v>1315</v>
      </c>
      <c r="B129" s="21" t="s">
        <v>294</v>
      </c>
      <c r="C129" s="26" t="s">
        <v>71</v>
      </c>
      <c r="D129" s="163">
        <v>5015</v>
      </c>
      <c r="E129" s="166">
        <v>50015</v>
      </c>
      <c r="F129" s="92" t="s">
        <v>160</v>
      </c>
      <c r="G129" s="20" t="s">
        <v>149</v>
      </c>
      <c r="H129" s="18">
        <v>1780673</v>
      </c>
      <c r="I129" s="18">
        <v>487</v>
      </c>
      <c r="J129" s="4" t="s">
        <v>24</v>
      </c>
      <c r="K129" s="26" t="s">
        <v>11</v>
      </c>
      <c r="L129" s="172">
        <v>20</v>
      </c>
      <c r="M129" s="6">
        <v>16</v>
      </c>
      <c r="N129" s="6"/>
      <c r="O129" s="6">
        <v>2</v>
      </c>
      <c r="P129" s="6"/>
      <c r="Q129" s="7">
        <v>18</v>
      </c>
      <c r="R129" s="6"/>
      <c r="S129" s="1">
        <v>14</v>
      </c>
      <c r="U129" s="1">
        <v>6</v>
      </c>
      <c r="W129" s="1" t="str">
        <f t="shared" si="1"/>
        <v>No</v>
      </c>
    </row>
    <row r="130" spans="1:23" s="1" customFormat="1" ht="11.25">
      <c r="A130" s="2" t="s">
        <v>1315</v>
      </c>
      <c r="B130" s="21" t="s">
        <v>294</v>
      </c>
      <c r="C130" s="26" t="s">
        <v>71</v>
      </c>
      <c r="D130" s="163">
        <v>5015</v>
      </c>
      <c r="E130" s="166">
        <v>50015</v>
      </c>
      <c r="F130" s="92" t="s">
        <v>160</v>
      </c>
      <c r="G130" s="20" t="s">
        <v>149</v>
      </c>
      <c r="H130" s="18">
        <v>1780673</v>
      </c>
      <c r="I130" s="18">
        <v>487</v>
      </c>
      <c r="J130" s="4" t="s">
        <v>18</v>
      </c>
      <c r="K130" s="26" t="s">
        <v>11</v>
      </c>
      <c r="L130" s="172">
        <v>13</v>
      </c>
      <c r="M130" s="6">
        <v>12</v>
      </c>
      <c r="N130" s="6"/>
      <c r="O130" s="6">
        <v>22</v>
      </c>
      <c r="P130" s="6"/>
      <c r="Q130" s="7">
        <v>34</v>
      </c>
      <c r="R130" s="6"/>
      <c r="S130" s="1">
        <v>5</v>
      </c>
      <c r="U130" s="1">
        <v>0</v>
      </c>
      <c r="W130" s="1" t="str">
        <f t="shared" ref="W130:W193" si="2">IF(V130&amp;T130&amp;R130&amp;P130&amp;N130&lt;&gt;"","Yes","No")</f>
        <v>No</v>
      </c>
    </row>
    <row r="131" spans="1:23" s="1" customFormat="1" ht="11.25">
      <c r="A131" s="2" t="s">
        <v>1315</v>
      </c>
      <c r="B131" s="21" t="s">
        <v>294</v>
      </c>
      <c r="C131" s="26" t="s">
        <v>71</v>
      </c>
      <c r="D131" s="163">
        <v>5015</v>
      </c>
      <c r="E131" s="166">
        <v>50015</v>
      </c>
      <c r="F131" s="92" t="s">
        <v>160</v>
      </c>
      <c r="G131" s="20" t="s">
        <v>149</v>
      </c>
      <c r="H131" s="18">
        <v>1780673</v>
      </c>
      <c r="I131" s="18">
        <v>487</v>
      </c>
      <c r="J131" s="4" t="s">
        <v>12</v>
      </c>
      <c r="K131" s="26" t="s">
        <v>11</v>
      </c>
      <c r="L131" s="172">
        <v>286</v>
      </c>
      <c r="M131" s="6">
        <v>6</v>
      </c>
      <c r="N131" s="6"/>
      <c r="O131" s="6">
        <v>0</v>
      </c>
      <c r="P131" s="6"/>
      <c r="Q131" s="7">
        <v>6</v>
      </c>
      <c r="R131" s="6"/>
      <c r="S131" s="1">
        <v>0</v>
      </c>
      <c r="U131" s="1">
        <v>0</v>
      </c>
      <c r="W131" s="1" t="str">
        <f t="shared" si="2"/>
        <v>No</v>
      </c>
    </row>
    <row r="132" spans="1:23" s="1" customFormat="1" ht="11.25">
      <c r="A132" s="2" t="s">
        <v>1315</v>
      </c>
      <c r="B132" s="21" t="s">
        <v>294</v>
      </c>
      <c r="C132" s="26" t="s">
        <v>71</v>
      </c>
      <c r="D132" s="163">
        <v>5015</v>
      </c>
      <c r="E132" s="166">
        <v>50015</v>
      </c>
      <c r="F132" s="92" t="s">
        <v>160</v>
      </c>
      <c r="G132" s="20" t="s">
        <v>149</v>
      </c>
      <c r="H132" s="18">
        <v>1780673</v>
      </c>
      <c r="I132" s="18">
        <v>487</v>
      </c>
      <c r="J132" s="4" t="s">
        <v>25</v>
      </c>
      <c r="K132" s="26" t="s">
        <v>11</v>
      </c>
      <c r="L132" s="172">
        <v>13</v>
      </c>
      <c r="M132" s="6">
        <v>6</v>
      </c>
      <c r="N132" s="6"/>
      <c r="O132" s="6">
        <v>0</v>
      </c>
      <c r="P132" s="6"/>
      <c r="Q132" s="7">
        <v>6</v>
      </c>
      <c r="R132" s="6"/>
      <c r="S132" s="1">
        <v>3</v>
      </c>
      <c r="U132" s="1">
        <v>6</v>
      </c>
      <c r="W132" s="1" t="str">
        <f t="shared" si="2"/>
        <v>No</v>
      </c>
    </row>
    <row r="133" spans="1:23" s="1" customFormat="1" ht="11.25">
      <c r="A133" s="2" t="s">
        <v>617</v>
      </c>
      <c r="B133" s="21" t="s">
        <v>618</v>
      </c>
      <c r="C133" s="26" t="s">
        <v>54</v>
      </c>
      <c r="D133" s="163">
        <v>7006</v>
      </c>
      <c r="E133" s="166">
        <v>70006</v>
      </c>
      <c r="F133" s="92" t="s">
        <v>160</v>
      </c>
      <c r="G133" s="20" t="s">
        <v>149</v>
      </c>
      <c r="H133" s="18">
        <v>2150706</v>
      </c>
      <c r="I133" s="18">
        <v>482</v>
      </c>
      <c r="J133" s="4" t="s">
        <v>12</v>
      </c>
      <c r="K133" s="26" t="s">
        <v>11</v>
      </c>
      <c r="L133" s="172">
        <v>318</v>
      </c>
      <c r="M133" s="6">
        <v>25</v>
      </c>
      <c r="N133" s="6"/>
      <c r="O133" s="6">
        <v>0</v>
      </c>
      <c r="P133" s="6"/>
      <c r="Q133" s="7">
        <v>25</v>
      </c>
      <c r="R133" s="6"/>
      <c r="S133" s="1">
        <v>1</v>
      </c>
      <c r="U133" s="1">
        <v>2</v>
      </c>
      <c r="W133" s="1" t="str">
        <f t="shared" si="2"/>
        <v>No</v>
      </c>
    </row>
    <row r="134" spans="1:23" s="1" customFormat="1" ht="11.25">
      <c r="A134" s="2" t="s">
        <v>617</v>
      </c>
      <c r="B134" s="21" t="s">
        <v>618</v>
      </c>
      <c r="C134" s="26" t="s">
        <v>54</v>
      </c>
      <c r="D134" s="163">
        <v>7006</v>
      </c>
      <c r="E134" s="166">
        <v>70006</v>
      </c>
      <c r="F134" s="92" t="s">
        <v>160</v>
      </c>
      <c r="G134" s="20" t="s">
        <v>149</v>
      </c>
      <c r="H134" s="18">
        <v>2150706</v>
      </c>
      <c r="I134" s="18">
        <v>482</v>
      </c>
      <c r="J134" s="4" t="s">
        <v>18</v>
      </c>
      <c r="K134" s="26" t="s">
        <v>11</v>
      </c>
      <c r="L134" s="172">
        <v>58</v>
      </c>
      <c r="M134" s="6">
        <v>37</v>
      </c>
      <c r="N134" s="6"/>
      <c r="O134" s="6">
        <v>0</v>
      </c>
      <c r="P134" s="6"/>
      <c r="Q134" s="7">
        <v>37</v>
      </c>
      <c r="R134" s="6"/>
      <c r="S134" s="1">
        <v>18</v>
      </c>
      <c r="U134" s="1">
        <v>6</v>
      </c>
      <c r="W134" s="1" t="str">
        <f t="shared" si="2"/>
        <v>No</v>
      </c>
    </row>
    <row r="135" spans="1:23" s="1" customFormat="1" ht="11.25">
      <c r="A135" s="2" t="s">
        <v>958</v>
      </c>
      <c r="B135" s="21" t="s">
        <v>242</v>
      </c>
      <c r="C135" s="26" t="s">
        <v>120</v>
      </c>
      <c r="D135" s="163">
        <v>3075</v>
      </c>
      <c r="E135" s="166">
        <v>30075</v>
      </c>
      <c r="F135" s="92" t="s">
        <v>160</v>
      </c>
      <c r="G135" s="20" t="s">
        <v>149</v>
      </c>
      <c r="H135" s="18">
        <v>5441567</v>
      </c>
      <c r="I135" s="18">
        <v>451</v>
      </c>
      <c r="J135" s="4" t="s">
        <v>12</v>
      </c>
      <c r="K135" s="26" t="s">
        <v>11</v>
      </c>
      <c r="L135" s="172">
        <v>157</v>
      </c>
      <c r="M135" s="6">
        <v>4</v>
      </c>
      <c r="N135" s="6"/>
      <c r="O135" s="6">
        <v>0</v>
      </c>
      <c r="P135" s="6"/>
      <c r="Q135" s="7">
        <v>4</v>
      </c>
      <c r="R135" s="6"/>
      <c r="S135" s="1">
        <v>1</v>
      </c>
      <c r="U135" s="1">
        <v>1</v>
      </c>
      <c r="W135" s="1" t="str">
        <f t="shared" si="2"/>
        <v>No</v>
      </c>
    </row>
    <row r="136" spans="1:23" s="1" customFormat="1" ht="11.25">
      <c r="A136" s="2" t="s">
        <v>958</v>
      </c>
      <c r="B136" s="21" t="s">
        <v>242</v>
      </c>
      <c r="C136" s="26" t="s">
        <v>120</v>
      </c>
      <c r="D136" s="163">
        <v>3075</v>
      </c>
      <c r="E136" s="166">
        <v>30075</v>
      </c>
      <c r="F136" s="92" t="s">
        <v>160</v>
      </c>
      <c r="G136" s="20" t="s">
        <v>149</v>
      </c>
      <c r="H136" s="18">
        <v>5441567</v>
      </c>
      <c r="I136" s="18">
        <v>451</v>
      </c>
      <c r="J136" s="4" t="s">
        <v>12</v>
      </c>
      <c r="K136" s="26" t="s">
        <v>15</v>
      </c>
      <c r="L136" s="172">
        <v>38</v>
      </c>
      <c r="M136" s="6">
        <v>4</v>
      </c>
      <c r="N136" s="6"/>
      <c r="O136" s="6">
        <v>0</v>
      </c>
      <c r="P136" s="6"/>
      <c r="Q136" s="7">
        <v>4</v>
      </c>
      <c r="R136" s="6"/>
      <c r="S136" s="1">
        <v>1</v>
      </c>
      <c r="U136" s="1">
        <v>1</v>
      </c>
      <c r="W136" s="1" t="str">
        <f t="shared" si="2"/>
        <v>No</v>
      </c>
    </row>
    <row r="137" spans="1:23" s="1" customFormat="1" ht="11.25">
      <c r="A137" s="2" t="s">
        <v>1823</v>
      </c>
      <c r="B137" s="21" t="s">
        <v>371</v>
      </c>
      <c r="C137" s="26" t="s">
        <v>16</v>
      </c>
      <c r="D137" s="163">
        <v>9136</v>
      </c>
      <c r="E137" s="166">
        <v>90136</v>
      </c>
      <c r="F137" s="92" t="s">
        <v>160</v>
      </c>
      <c r="G137" s="20" t="s">
        <v>149</v>
      </c>
      <c r="H137" s="18">
        <v>3629114</v>
      </c>
      <c r="I137" s="18">
        <v>434</v>
      </c>
      <c r="J137" s="4" t="s">
        <v>12</v>
      </c>
      <c r="K137" s="26" t="s">
        <v>15</v>
      </c>
      <c r="L137" s="172">
        <v>279</v>
      </c>
      <c r="M137" s="6">
        <v>2</v>
      </c>
      <c r="N137" s="6"/>
      <c r="O137" s="6">
        <v>0</v>
      </c>
      <c r="P137" s="6"/>
      <c r="Q137" s="7">
        <v>2</v>
      </c>
      <c r="R137" s="6"/>
      <c r="S137" s="1">
        <v>0</v>
      </c>
      <c r="U137" s="1">
        <v>0</v>
      </c>
      <c r="W137" s="1" t="str">
        <f t="shared" si="2"/>
        <v>No</v>
      </c>
    </row>
    <row r="138" spans="1:23" s="1" customFormat="1" ht="11.25">
      <c r="A138" s="2" t="s">
        <v>1182</v>
      </c>
      <c r="B138" s="21" t="s">
        <v>1183</v>
      </c>
      <c r="C138" s="26" t="s">
        <v>32</v>
      </c>
      <c r="D138" s="163">
        <v>4037</v>
      </c>
      <c r="E138" s="166">
        <v>40037</v>
      </c>
      <c r="F138" s="92" t="s">
        <v>152</v>
      </c>
      <c r="G138" s="20" t="s">
        <v>149</v>
      </c>
      <c r="H138" s="18">
        <v>5502379</v>
      </c>
      <c r="I138" s="18">
        <v>431</v>
      </c>
      <c r="J138" s="4" t="s">
        <v>12</v>
      </c>
      <c r="K138" s="26" t="s">
        <v>11</v>
      </c>
      <c r="L138" s="172">
        <v>129</v>
      </c>
      <c r="M138" s="6">
        <v>1</v>
      </c>
      <c r="N138" s="6"/>
      <c r="O138" s="6">
        <v>0</v>
      </c>
      <c r="P138" s="6"/>
      <c r="Q138" s="7">
        <v>1</v>
      </c>
      <c r="R138" s="6"/>
      <c r="S138" s="1">
        <v>1</v>
      </c>
      <c r="U138" s="1">
        <v>0</v>
      </c>
      <c r="W138" s="1" t="str">
        <f t="shared" si="2"/>
        <v>No</v>
      </c>
    </row>
    <row r="139" spans="1:23" s="1" customFormat="1" ht="11.25">
      <c r="A139" s="2" t="s">
        <v>608</v>
      </c>
      <c r="B139" s="21" t="s">
        <v>609</v>
      </c>
      <c r="C139" s="26" t="s">
        <v>88</v>
      </c>
      <c r="D139" s="163">
        <v>18</v>
      </c>
      <c r="E139" s="166">
        <v>18</v>
      </c>
      <c r="F139" s="92" t="s">
        <v>160</v>
      </c>
      <c r="G139" s="20" t="s">
        <v>149</v>
      </c>
      <c r="H139" s="18">
        <v>210975</v>
      </c>
      <c r="I139" s="18">
        <v>431</v>
      </c>
      <c r="J139" s="4" t="s">
        <v>12</v>
      </c>
      <c r="K139" s="26" t="s">
        <v>11</v>
      </c>
      <c r="L139" s="172">
        <v>46</v>
      </c>
      <c r="M139" s="6">
        <v>1</v>
      </c>
      <c r="N139" s="6"/>
      <c r="O139" s="6">
        <v>0</v>
      </c>
      <c r="P139" s="6"/>
      <c r="Q139" s="7">
        <v>1</v>
      </c>
      <c r="R139" s="6"/>
      <c r="S139" s="1">
        <v>0</v>
      </c>
      <c r="U139" s="1">
        <v>0</v>
      </c>
      <c r="W139" s="1" t="str">
        <f t="shared" si="2"/>
        <v>No</v>
      </c>
    </row>
    <row r="140" spans="1:23" s="1" customFormat="1" ht="11.25">
      <c r="A140" s="2" t="s">
        <v>1127</v>
      </c>
      <c r="B140" s="21" t="s">
        <v>1128</v>
      </c>
      <c r="C140" s="26" t="s">
        <v>92</v>
      </c>
      <c r="D140" s="163">
        <v>5008</v>
      </c>
      <c r="E140" s="166">
        <v>50008</v>
      </c>
      <c r="F140" s="92" t="s">
        <v>152</v>
      </c>
      <c r="G140" s="20" t="s">
        <v>149</v>
      </c>
      <c r="H140" s="18">
        <v>1376476</v>
      </c>
      <c r="I140" s="18">
        <v>422</v>
      </c>
      <c r="J140" s="4" t="s">
        <v>12</v>
      </c>
      <c r="K140" s="26" t="s">
        <v>11</v>
      </c>
      <c r="L140" s="172">
        <v>336</v>
      </c>
      <c r="M140" s="6">
        <v>0</v>
      </c>
      <c r="N140" s="6"/>
      <c r="O140" s="6">
        <v>0</v>
      </c>
      <c r="P140" s="6"/>
      <c r="Q140" s="7">
        <v>0</v>
      </c>
      <c r="R140" s="6"/>
      <c r="S140" s="1">
        <v>0</v>
      </c>
      <c r="U140" s="1">
        <v>0</v>
      </c>
      <c r="W140" s="1" t="str">
        <f t="shared" si="2"/>
        <v>No</v>
      </c>
    </row>
    <row r="141" spans="1:23" s="1" customFormat="1" ht="11.25">
      <c r="A141" s="2" t="s">
        <v>711</v>
      </c>
      <c r="B141" s="21" t="s">
        <v>285</v>
      </c>
      <c r="C141" s="26" t="s">
        <v>57</v>
      </c>
      <c r="D141" s="163">
        <v>4008</v>
      </c>
      <c r="E141" s="166">
        <v>40008</v>
      </c>
      <c r="F141" s="92" t="s">
        <v>152</v>
      </c>
      <c r="G141" s="20" t="s">
        <v>149</v>
      </c>
      <c r="H141" s="18">
        <v>1249442</v>
      </c>
      <c r="I141" s="18">
        <v>419</v>
      </c>
      <c r="J141" s="4" t="s">
        <v>18</v>
      </c>
      <c r="K141" s="26" t="s">
        <v>11</v>
      </c>
      <c r="L141" s="172">
        <v>14</v>
      </c>
      <c r="M141" s="6">
        <v>15</v>
      </c>
      <c r="N141" s="6"/>
      <c r="O141" s="6">
        <v>0</v>
      </c>
      <c r="P141" s="6"/>
      <c r="Q141" s="7">
        <v>15</v>
      </c>
      <c r="R141" s="6"/>
      <c r="S141" s="1">
        <v>9</v>
      </c>
      <c r="U141" s="1">
        <v>0</v>
      </c>
      <c r="W141" s="1" t="str">
        <f t="shared" si="2"/>
        <v>No</v>
      </c>
    </row>
    <row r="142" spans="1:23" s="1" customFormat="1" ht="11.25">
      <c r="A142" s="2" t="s">
        <v>711</v>
      </c>
      <c r="B142" s="21" t="s">
        <v>285</v>
      </c>
      <c r="C142" s="26" t="s">
        <v>57</v>
      </c>
      <c r="D142" s="163">
        <v>4008</v>
      </c>
      <c r="E142" s="166">
        <v>40008</v>
      </c>
      <c r="F142" s="92" t="s">
        <v>152</v>
      </c>
      <c r="G142" s="20" t="s">
        <v>149</v>
      </c>
      <c r="H142" s="18">
        <v>1249442</v>
      </c>
      <c r="I142" s="18">
        <v>419</v>
      </c>
      <c r="J142" s="4" t="s">
        <v>12</v>
      </c>
      <c r="K142" s="26" t="s">
        <v>11</v>
      </c>
      <c r="L142" s="172">
        <v>198</v>
      </c>
      <c r="M142" s="6">
        <v>7</v>
      </c>
      <c r="N142" s="6"/>
      <c r="O142" s="6">
        <v>0</v>
      </c>
      <c r="P142" s="6"/>
      <c r="Q142" s="7">
        <v>7</v>
      </c>
      <c r="R142" s="6"/>
      <c r="S142" s="1">
        <v>0</v>
      </c>
      <c r="U142" s="1">
        <v>0</v>
      </c>
      <c r="W142" s="1" t="str">
        <f t="shared" si="2"/>
        <v>No</v>
      </c>
    </row>
    <row r="143" spans="1:23" s="1" customFormat="1" ht="11.25">
      <c r="A143" s="2" t="s">
        <v>711</v>
      </c>
      <c r="B143" s="21" t="s">
        <v>285</v>
      </c>
      <c r="C143" s="26" t="s">
        <v>57</v>
      </c>
      <c r="D143" s="163">
        <v>4008</v>
      </c>
      <c r="E143" s="166">
        <v>40008</v>
      </c>
      <c r="F143" s="92" t="s">
        <v>152</v>
      </c>
      <c r="G143" s="20" t="s">
        <v>149</v>
      </c>
      <c r="H143" s="18">
        <v>1249442</v>
      </c>
      <c r="I143" s="18">
        <v>419</v>
      </c>
      <c r="J143" s="4" t="s">
        <v>33</v>
      </c>
      <c r="K143" s="26" t="s">
        <v>11</v>
      </c>
      <c r="L143" s="172">
        <v>2</v>
      </c>
      <c r="M143" s="6">
        <v>1</v>
      </c>
      <c r="N143" s="6"/>
      <c r="O143" s="6">
        <v>0</v>
      </c>
      <c r="P143" s="6"/>
      <c r="Q143" s="7">
        <v>1</v>
      </c>
      <c r="R143" s="6"/>
      <c r="S143" s="1">
        <v>0</v>
      </c>
      <c r="U143" s="1">
        <v>0</v>
      </c>
      <c r="W143" s="1" t="str">
        <f t="shared" si="2"/>
        <v>No</v>
      </c>
    </row>
    <row r="144" spans="1:23" s="1" customFormat="1" ht="11.25">
      <c r="A144" s="2" t="s">
        <v>711</v>
      </c>
      <c r="B144" s="21" t="s">
        <v>285</v>
      </c>
      <c r="C144" s="26" t="s">
        <v>57</v>
      </c>
      <c r="D144" s="163">
        <v>4008</v>
      </c>
      <c r="E144" s="166">
        <v>40008</v>
      </c>
      <c r="F144" s="92" t="s">
        <v>152</v>
      </c>
      <c r="G144" s="20" t="s">
        <v>149</v>
      </c>
      <c r="H144" s="18">
        <v>1249442</v>
      </c>
      <c r="I144" s="18">
        <v>419</v>
      </c>
      <c r="J144" s="4" t="s">
        <v>21</v>
      </c>
      <c r="K144" s="26" t="s">
        <v>11</v>
      </c>
      <c r="L144" s="172">
        <v>67</v>
      </c>
      <c r="M144" s="6">
        <v>0</v>
      </c>
      <c r="N144" s="6"/>
      <c r="O144" s="6">
        <v>0</v>
      </c>
      <c r="P144" s="6"/>
      <c r="Q144" s="7">
        <v>0</v>
      </c>
      <c r="R144" s="6"/>
      <c r="S144" s="1">
        <v>0</v>
      </c>
      <c r="U144" s="1">
        <v>0</v>
      </c>
      <c r="W144" s="1" t="str">
        <f t="shared" si="2"/>
        <v>No</v>
      </c>
    </row>
    <row r="145" spans="1:23" s="1" customFormat="1" ht="11.25">
      <c r="A145" s="2" t="s">
        <v>1237</v>
      </c>
      <c r="B145" s="21" t="s">
        <v>1188</v>
      </c>
      <c r="C145" s="26" t="s">
        <v>19</v>
      </c>
      <c r="D145" s="163">
        <v>9009</v>
      </c>
      <c r="E145" s="166">
        <v>90009</v>
      </c>
      <c r="F145" s="92" t="s">
        <v>160</v>
      </c>
      <c r="G145" s="20" t="s">
        <v>149</v>
      </c>
      <c r="H145" s="18">
        <v>3281212</v>
      </c>
      <c r="I145" s="18">
        <v>404</v>
      </c>
      <c r="J145" s="4" t="s">
        <v>12</v>
      </c>
      <c r="K145" s="26" t="s">
        <v>11</v>
      </c>
      <c r="L145" s="172">
        <v>195</v>
      </c>
      <c r="M145" s="6">
        <v>16</v>
      </c>
      <c r="N145" s="6"/>
      <c r="O145" s="6">
        <v>1</v>
      </c>
      <c r="P145" s="6"/>
      <c r="Q145" s="7">
        <v>17</v>
      </c>
      <c r="R145" s="6"/>
      <c r="S145" s="1">
        <v>5</v>
      </c>
      <c r="U145" s="1">
        <v>3</v>
      </c>
      <c r="W145" s="1" t="str">
        <f t="shared" si="2"/>
        <v>No</v>
      </c>
    </row>
    <row r="146" spans="1:23" s="1" customFormat="1" ht="11.25">
      <c r="A146" s="2" t="s">
        <v>1237</v>
      </c>
      <c r="B146" s="21" t="s">
        <v>1188</v>
      </c>
      <c r="C146" s="26" t="s">
        <v>19</v>
      </c>
      <c r="D146" s="163">
        <v>9009</v>
      </c>
      <c r="E146" s="166">
        <v>90009</v>
      </c>
      <c r="F146" s="92" t="s">
        <v>160</v>
      </c>
      <c r="G146" s="20" t="s">
        <v>149</v>
      </c>
      <c r="H146" s="18">
        <v>3281212</v>
      </c>
      <c r="I146" s="18">
        <v>404</v>
      </c>
      <c r="J146" s="4" t="s">
        <v>12</v>
      </c>
      <c r="K146" s="26" t="s">
        <v>15</v>
      </c>
      <c r="L146" s="172">
        <v>79</v>
      </c>
      <c r="M146" s="6">
        <v>0</v>
      </c>
      <c r="N146" s="6"/>
      <c r="O146" s="6">
        <v>0</v>
      </c>
      <c r="P146" s="6"/>
      <c r="Q146" s="7">
        <v>0</v>
      </c>
      <c r="R146" s="6"/>
      <c r="S146" s="1">
        <v>0</v>
      </c>
      <c r="U146" s="1">
        <v>0</v>
      </c>
      <c r="W146" s="1" t="str">
        <f t="shared" si="2"/>
        <v>No</v>
      </c>
    </row>
    <row r="147" spans="1:23" s="1" customFormat="1" ht="11.25">
      <c r="A147" s="2" t="s">
        <v>702</v>
      </c>
      <c r="B147" s="21" t="s">
        <v>509</v>
      </c>
      <c r="C147" s="26" t="s">
        <v>88</v>
      </c>
      <c r="D147" s="163">
        <v>40</v>
      </c>
      <c r="E147" s="166">
        <v>40</v>
      </c>
      <c r="F147" s="92" t="s">
        <v>160</v>
      </c>
      <c r="G147" s="20" t="s">
        <v>149</v>
      </c>
      <c r="H147" s="18">
        <v>3059393</v>
      </c>
      <c r="I147" s="18">
        <v>378</v>
      </c>
      <c r="J147" s="4" t="s">
        <v>20</v>
      </c>
      <c r="K147" s="26" t="s">
        <v>15</v>
      </c>
      <c r="L147" s="172">
        <v>70</v>
      </c>
      <c r="M147" s="6">
        <v>12</v>
      </c>
      <c r="N147" s="6"/>
      <c r="O147" s="6">
        <v>0</v>
      </c>
      <c r="P147" s="6"/>
      <c r="Q147" s="7">
        <v>12</v>
      </c>
      <c r="R147" s="6"/>
      <c r="S147" s="1">
        <v>15</v>
      </c>
      <c r="U147" s="1">
        <v>0</v>
      </c>
      <c r="W147" s="1" t="str">
        <f t="shared" si="2"/>
        <v>No</v>
      </c>
    </row>
    <row r="148" spans="1:23" s="1" customFormat="1" ht="11.25">
      <c r="A148" s="2" t="s">
        <v>702</v>
      </c>
      <c r="B148" s="21" t="s">
        <v>509</v>
      </c>
      <c r="C148" s="26" t="s">
        <v>88</v>
      </c>
      <c r="D148" s="163">
        <v>40</v>
      </c>
      <c r="E148" s="166">
        <v>40</v>
      </c>
      <c r="F148" s="92" t="s">
        <v>160</v>
      </c>
      <c r="G148" s="20" t="s">
        <v>149</v>
      </c>
      <c r="H148" s="18">
        <v>3059393</v>
      </c>
      <c r="I148" s="18">
        <v>378</v>
      </c>
      <c r="J148" s="4" t="s">
        <v>18</v>
      </c>
      <c r="K148" s="26" t="s">
        <v>11</v>
      </c>
      <c r="L148" s="172">
        <v>50</v>
      </c>
      <c r="M148" s="6">
        <v>16</v>
      </c>
      <c r="N148" s="6"/>
      <c r="O148" s="6">
        <v>0</v>
      </c>
      <c r="P148" s="6"/>
      <c r="Q148" s="7">
        <v>16</v>
      </c>
      <c r="R148" s="6"/>
      <c r="S148" s="1">
        <v>45</v>
      </c>
      <c r="U148" s="1">
        <v>70</v>
      </c>
      <c r="W148" s="1" t="str">
        <f t="shared" si="2"/>
        <v>No</v>
      </c>
    </row>
    <row r="149" spans="1:23" s="1" customFormat="1" ht="11.25">
      <c r="A149" s="2" t="s">
        <v>702</v>
      </c>
      <c r="B149" s="21" t="s">
        <v>509</v>
      </c>
      <c r="C149" s="26" t="s">
        <v>88</v>
      </c>
      <c r="D149" s="163">
        <v>40</v>
      </c>
      <c r="E149" s="166">
        <v>40</v>
      </c>
      <c r="F149" s="92" t="s">
        <v>160</v>
      </c>
      <c r="G149" s="20" t="s">
        <v>149</v>
      </c>
      <c r="H149" s="18">
        <v>3059393</v>
      </c>
      <c r="I149" s="18">
        <v>378</v>
      </c>
      <c r="J149" s="4" t="s">
        <v>21</v>
      </c>
      <c r="K149" s="26" t="s">
        <v>11</v>
      </c>
      <c r="L149" s="172">
        <v>208</v>
      </c>
      <c r="M149" s="6">
        <v>18</v>
      </c>
      <c r="N149" s="6"/>
      <c r="O149" s="6">
        <v>0</v>
      </c>
      <c r="P149" s="6"/>
      <c r="Q149" s="7">
        <v>18</v>
      </c>
      <c r="R149" s="6"/>
      <c r="S149" s="1">
        <v>12</v>
      </c>
      <c r="U149" s="1">
        <v>4</v>
      </c>
      <c r="W149" s="1" t="str">
        <f t="shared" si="2"/>
        <v>No</v>
      </c>
    </row>
    <row r="150" spans="1:23" s="1" customFormat="1" ht="11.25">
      <c r="A150" s="2" t="s">
        <v>702</v>
      </c>
      <c r="B150" s="21" t="s">
        <v>509</v>
      </c>
      <c r="C150" s="26" t="s">
        <v>88</v>
      </c>
      <c r="D150" s="163">
        <v>40</v>
      </c>
      <c r="E150" s="166">
        <v>40</v>
      </c>
      <c r="F150" s="92" t="s">
        <v>160</v>
      </c>
      <c r="G150" s="20" t="s">
        <v>149</v>
      </c>
      <c r="H150" s="18">
        <v>3059393</v>
      </c>
      <c r="I150" s="18">
        <v>378</v>
      </c>
      <c r="J150" s="4" t="s">
        <v>33</v>
      </c>
      <c r="K150" s="26" t="s">
        <v>11</v>
      </c>
      <c r="L150" s="172">
        <v>2</v>
      </c>
      <c r="M150" s="6">
        <v>0</v>
      </c>
      <c r="N150" s="6"/>
      <c r="O150" s="6">
        <v>0</v>
      </c>
      <c r="P150" s="6"/>
      <c r="Q150" s="7">
        <v>0</v>
      </c>
      <c r="R150" s="6"/>
      <c r="S150" s="1">
        <v>0</v>
      </c>
      <c r="U150" s="1">
        <v>0</v>
      </c>
      <c r="W150" s="1" t="str">
        <f t="shared" si="2"/>
        <v>No</v>
      </c>
    </row>
    <row r="151" spans="1:23" s="1" customFormat="1" ht="11.25">
      <c r="A151" s="2" t="s">
        <v>702</v>
      </c>
      <c r="B151" s="21" t="s">
        <v>509</v>
      </c>
      <c r="C151" s="26" t="s">
        <v>88</v>
      </c>
      <c r="D151" s="163">
        <v>40</v>
      </c>
      <c r="E151" s="166">
        <v>40</v>
      </c>
      <c r="F151" s="92" t="s">
        <v>160</v>
      </c>
      <c r="G151" s="20" t="s">
        <v>149</v>
      </c>
      <c r="H151" s="18">
        <v>3059393</v>
      </c>
      <c r="I151" s="18">
        <v>378</v>
      </c>
      <c r="J151" s="4" t="s">
        <v>21</v>
      </c>
      <c r="K151" s="26" t="s">
        <v>15</v>
      </c>
      <c r="L151" s="172">
        <v>48</v>
      </c>
      <c r="M151" s="6">
        <v>8</v>
      </c>
      <c r="N151" s="6"/>
      <c r="O151" s="6">
        <v>0</v>
      </c>
      <c r="P151" s="6"/>
      <c r="Q151" s="7">
        <v>8</v>
      </c>
      <c r="R151" s="6"/>
      <c r="S151" s="1">
        <v>3</v>
      </c>
      <c r="U151" s="1">
        <v>0</v>
      </c>
      <c r="W151" s="1" t="str">
        <f t="shared" si="2"/>
        <v>No</v>
      </c>
    </row>
    <row r="152" spans="1:23" s="1" customFormat="1" ht="11.25">
      <c r="A152" s="2" t="s">
        <v>1407</v>
      </c>
      <c r="B152" s="21" t="s">
        <v>1408</v>
      </c>
      <c r="C152" s="26" t="s">
        <v>86</v>
      </c>
      <c r="D152" s="163">
        <v>3083</v>
      </c>
      <c r="E152" s="166">
        <v>30083</v>
      </c>
      <c r="F152" s="92" t="s">
        <v>160</v>
      </c>
      <c r="G152" s="20" t="s">
        <v>149</v>
      </c>
      <c r="H152" s="18">
        <v>1439666</v>
      </c>
      <c r="I152" s="18">
        <v>375</v>
      </c>
      <c r="J152" s="4" t="s">
        <v>12</v>
      </c>
      <c r="K152" s="26" t="s">
        <v>11</v>
      </c>
      <c r="L152" s="172">
        <v>227</v>
      </c>
      <c r="M152" s="6">
        <v>6</v>
      </c>
      <c r="N152" s="6"/>
      <c r="O152" s="6">
        <v>0</v>
      </c>
      <c r="P152" s="6"/>
      <c r="Q152" s="7">
        <v>6</v>
      </c>
      <c r="R152" s="6"/>
      <c r="S152" s="1">
        <v>0</v>
      </c>
      <c r="U152" s="1">
        <v>0</v>
      </c>
      <c r="W152" s="1" t="str">
        <f t="shared" si="2"/>
        <v>No</v>
      </c>
    </row>
    <row r="153" spans="1:23" s="1" customFormat="1" ht="11.25">
      <c r="A153" s="2" t="s">
        <v>1407</v>
      </c>
      <c r="B153" s="21" t="s">
        <v>1408</v>
      </c>
      <c r="C153" s="26" t="s">
        <v>86</v>
      </c>
      <c r="D153" s="163">
        <v>3083</v>
      </c>
      <c r="E153" s="166">
        <v>30083</v>
      </c>
      <c r="F153" s="92" t="s">
        <v>160</v>
      </c>
      <c r="G153" s="20" t="s">
        <v>149</v>
      </c>
      <c r="H153" s="18">
        <v>1439666</v>
      </c>
      <c r="I153" s="18">
        <v>375</v>
      </c>
      <c r="J153" s="4" t="s">
        <v>22</v>
      </c>
      <c r="K153" s="26" t="s">
        <v>15</v>
      </c>
      <c r="L153" s="172">
        <v>3</v>
      </c>
      <c r="M153" s="6">
        <v>4</v>
      </c>
      <c r="N153" s="6"/>
      <c r="O153" s="6">
        <v>0</v>
      </c>
      <c r="P153" s="6"/>
      <c r="Q153" s="7">
        <v>4</v>
      </c>
      <c r="R153" s="6"/>
      <c r="S153" s="1">
        <v>0</v>
      </c>
      <c r="U153" s="1">
        <v>0</v>
      </c>
      <c r="W153" s="1" t="str">
        <f t="shared" si="2"/>
        <v>No</v>
      </c>
    </row>
    <row r="154" spans="1:23" s="1" customFormat="1" ht="11.25">
      <c r="A154" s="2" t="s">
        <v>1407</v>
      </c>
      <c r="B154" s="21" t="s">
        <v>1408</v>
      </c>
      <c r="C154" s="26" t="s">
        <v>86</v>
      </c>
      <c r="D154" s="163">
        <v>3083</v>
      </c>
      <c r="E154" s="166">
        <v>30083</v>
      </c>
      <c r="F154" s="92" t="s">
        <v>160</v>
      </c>
      <c r="G154" s="20" t="s">
        <v>149</v>
      </c>
      <c r="H154" s="18">
        <v>1439666</v>
      </c>
      <c r="I154" s="18">
        <v>375</v>
      </c>
      <c r="J154" s="4" t="s">
        <v>18</v>
      </c>
      <c r="K154" s="26" t="s">
        <v>11</v>
      </c>
      <c r="L154" s="172">
        <v>6</v>
      </c>
      <c r="M154" s="6">
        <v>11</v>
      </c>
      <c r="N154" s="6"/>
      <c r="O154" s="6">
        <v>0</v>
      </c>
      <c r="P154" s="6"/>
      <c r="Q154" s="7">
        <v>11</v>
      </c>
      <c r="R154" s="6"/>
      <c r="S154" s="1">
        <v>1</v>
      </c>
      <c r="U154" s="1">
        <v>0</v>
      </c>
      <c r="W154" s="1" t="str">
        <f t="shared" si="2"/>
        <v>No</v>
      </c>
    </row>
    <row r="155" spans="1:23" s="1" customFormat="1" ht="11.25">
      <c r="A155" s="2" t="s">
        <v>681</v>
      </c>
      <c r="B155" s="21" t="s">
        <v>268</v>
      </c>
      <c r="C155" s="26" t="s">
        <v>71</v>
      </c>
      <c r="D155" s="163">
        <v>5016</v>
      </c>
      <c r="E155" s="166">
        <v>50016</v>
      </c>
      <c r="F155" s="92" t="s">
        <v>160</v>
      </c>
      <c r="G155" s="20" t="s">
        <v>149</v>
      </c>
      <c r="H155" s="18">
        <v>1368035</v>
      </c>
      <c r="I155" s="18">
        <v>357</v>
      </c>
      <c r="J155" s="4" t="s">
        <v>12</v>
      </c>
      <c r="K155" s="26" t="s">
        <v>11</v>
      </c>
      <c r="L155" s="172">
        <v>297</v>
      </c>
      <c r="M155" s="6">
        <v>5</v>
      </c>
      <c r="N155" s="6"/>
      <c r="O155" s="6">
        <v>0</v>
      </c>
      <c r="P155" s="6"/>
      <c r="Q155" s="7">
        <v>5</v>
      </c>
      <c r="R155" s="6"/>
      <c r="S155" s="1">
        <v>1</v>
      </c>
      <c r="U155" s="1">
        <v>1</v>
      </c>
      <c r="W155" s="1" t="str">
        <f t="shared" si="2"/>
        <v>No</v>
      </c>
    </row>
    <row r="156" spans="1:23" s="1" customFormat="1" ht="11.25">
      <c r="A156" s="2" t="s">
        <v>856</v>
      </c>
      <c r="B156" s="21" t="s">
        <v>857</v>
      </c>
      <c r="C156" s="26" t="s">
        <v>19</v>
      </c>
      <c r="D156" s="163">
        <v>9147</v>
      </c>
      <c r="E156" s="166">
        <v>90147</v>
      </c>
      <c r="F156" s="92" t="s">
        <v>152</v>
      </c>
      <c r="G156" s="20" t="s">
        <v>149</v>
      </c>
      <c r="H156" s="18">
        <v>12150996</v>
      </c>
      <c r="I156" s="18">
        <v>357</v>
      </c>
      <c r="J156" s="4" t="s">
        <v>21</v>
      </c>
      <c r="K156" s="26" t="s">
        <v>15</v>
      </c>
      <c r="L156" s="172">
        <v>92</v>
      </c>
      <c r="M156" s="6">
        <v>4</v>
      </c>
      <c r="N156" s="6"/>
      <c r="O156" s="6">
        <v>0</v>
      </c>
      <c r="P156" s="6"/>
      <c r="Q156" s="7">
        <v>4</v>
      </c>
      <c r="R156" s="6"/>
      <c r="S156" s="1">
        <v>0</v>
      </c>
      <c r="U156" s="1">
        <v>0</v>
      </c>
      <c r="W156" s="1" t="str">
        <f t="shared" si="2"/>
        <v>No</v>
      </c>
    </row>
    <row r="157" spans="1:23" s="1" customFormat="1" ht="11.25">
      <c r="A157" s="2" t="s">
        <v>856</v>
      </c>
      <c r="B157" s="21" t="s">
        <v>857</v>
      </c>
      <c r="C157" s="26" t="s">
        <v>19</v>
      </c>
      <c r="D157" s="163">
        <v>9147</v>
      </c>
      <c r="E157" s="166">
        <v>90147</v>
      </c>
      <c r="F157" s="92" t="s">
        <v>152</v>
      </c>
      <c r="G157" s="20" t="s">
        <v>149</v>
      </c>
      <c r="H157" s="18">
        <v>12150996</v>
      </c>
      <c r="I157" s="18">
        <v>357</v>
      </c>
      <c r="J157" s="4" t="s">
        <v>12</v>
      </c>
      <c r="K157" s="26" t="s">
        <v>15</v>
      </c>
      <c r="L157" s="172">
        <v>170</v>
      </c>
      <c r="M157" s="6">
        <v>0</v>
      </c>
      <c r="N157" s="6"/>
      <c r="O157" s="6">
        <v>0</v>
      </c>
      <c r="P157" s="6"/>
      <c r="Q157" s="7">
        <v>0</v>
      </c>
      <c r="R157" s="6"/>
      <c r="S157" s="1">
        <v>0</v>
      </c>
      <c r="U157" s="1">
        <v>0</v>
      </c>
      <c r="W157" s="1" t="str">
        <f t="shared" si="2"/>
        <v>No</v>
      </c>
    </row>
    <row r="158" spans="1:23" s="1" customFormat="1" ht="11.25">
      <c r="A158" s="2" t="s">
        <v>1162</v>
      </c>
      <c r="B158" s="21" t="s">
        <v>367</v>
      </c>
      <c r="C158" s="26" t="s">
        <v>69</v>
      </c>
      <c r="D158" s="163">
        <v>2004</v>
      </c>
      <c r="E158" s="166">
        <v>20004</v>
      </c>
      <c r="F158" s="92" t="s">
        <v>160</v>
      </c>
      <c r="G158" s="20" t="s">
        <v>149</v>
      </c>
      <c r="H158" s="18">
        <v>935906</v>
      </c>
      <c r="I158" s="18">
        <v>356</v>
      </c>
      <c r="J158" s="4" t="s">
        <v>18</v>
      </c>
      <c r="K158" s="26" t="s">
        <v>11</v>
      </c>
      <c r="L158" s="172">
        <v>23</v>
      </c>
      <c r="M158" s="6">
        <v>14</v>
      </c>
      <c r="N158" s="6"/>
      <c r="O158" s="6">
        <v>0</v>
      </c>
      <c r="P158" s="6"/>
      <c r="Q158" s="7">
        <v>14</v>
      </c>
      <c r="R158" s="6"/>
      <c r="S158" s="1">
        <v>19</v>
      </c>
      <c r="U158" s="1">
        <v>24</v>
      </c>
      <c r="W158" s="1" t="str">
        <f t="shared" si="2"/>
        <v>No</v>
      </c>
    </row>
    <row r="159" spans="1:23" s="1" customFormat="1" ht="11.25">
      <c r="A159" s="2" t="s">
        <v>1162</v>
      </c>
      <c r="B159" s="21" t="s">
        <v>367</v>
      </c>
      <c r="C159" s="26" t="s">
        <v>69</v>
      </c>
      <c r="D159" s="163">
        <v>2004</v>
      </c>
      <c r="E159" s="166">
        <v>20004</v>
      </c>
      <c r="F159" s="92" t="s">
        <v>160</v>
      </c>
      <c r="G159" s="20" t="s">
        <v>149</v>
      </c>
      <c r="H159" s="18">
        <v>935906</v>
      </c>
      <c r="I159" s="18">
        <v>356</v>
      </c>
      <c r="J159" s="4" t="s">
        <v>12</v>
      </c>
      <c r="K159" s="26" t="s">
        <v>11</v>
      </c>
      <c r="L159" s="172">
        <v>271</v>
      </c>
      <c r="M159" s="6">
        <v>9</v>
      </c>
      <c r="N159" s="6"/>
      <c r="O159" s="6">
        <v>0</v>
      </c>
      <c r="P159" s="6"/>
      <c r="Q159" s="7">
        <v>9</v>
      </c>
      <c r="R159" s="6"/>
      <c r="S159" s="1">
        <v>0</v>
      </c>
      <c r="U159" s="1">
        <v>0</v>
      </c>
      <c r="W159" s="1" t="str">
        <f t="shared" si="2"/>
        <v>No</v>
      </c>
    </row>
    <row r="160" spans="1:23" s="1" customFormat="1" ht="11.25">
      <c r="A160" s="2" t="s">
        <v>1282</v>
      </c>
      <c r="B160" s="21" t="s">
        <v>1283</v>
      </c>
      <c r="C160" s="26" t="s">
        <v>71</v>
      </c>
      <c r="D160" s="163">
        <v>5012</v>
      </c>
      <c r="E160" s="166">
        <v>50012</v>
      </c>
      <c r="F160" s="92" t="s">
        <v>152</v>
      </c>
      <c r="G160" s="20" t="s">
        <v>149</v>
      </c>
      <c r="H160" s="18">
        <v>1624827</v>
      </c>
      <c r="I160" s="18">
        <v>348</v>
      </c>
      <c r="J160" s="4" t="s">
        <v>12</v>
      </c>
      <c r="K160" s="26" t="s">
        <v>11</v>
      </c>
      <c r="L160" s="172">
        <v>299</v>
      </c>
      <c r="M160" s="6">
        <v>3</v>
      </c>
      <c r="N160" s="6"/>
      <c r="O160" s="6">
        <v>0</v>
      </c>
      <c r="P160" s="6"/>
      <c r="Q160" s="7">
        <v>3</v>
      </c>
      <c r="R160" s="6"/>
      <c r="S160" s="1">
        <v>2</v>
      </c>
      <c r="U160" s="1">
        <v>0</v>
      </c>
      <c r="W160" s="1" t="str">
        <f t="shared" si="2"/>
        <v>No</v>
      </c>
    </row>
    <row r="161" spans="1:23" s="1" customFormat="1" ht="11.25">
      <c r="A161" s="2" t="s">
        <v>1282</v>
      </c>
      <c r="B161" s="21" t="s">
        <v>1283</v>
      </c>
      <c r="C161" s="26" t="s">
        <v>71</v>
      </c>
      <c r="D161" s="163">
        <v>5012</v>
      </c>
      <c r="E161" s="166">
        <v>50012</v>
      </c>
      <c r="F161" s="92" t="s">
        <v>152</v>
      </c>
      <c r="G161" s="20" t="s">
        <v>149</v>
      </c>
      <c r="H161" s="18">
        <v>1624827</v>
      </c>
      <c r="I161" s="18">
        <v>348</v>
      </c>
      <c r="J161" s="4" t="s">
        <v>33</v>
      </c>
      <c r="K161" s="26" t="s">
        <v>15</v>
      </c>
      <c r="L161" s="172">
        <v>3</v>
      </c>
      <c r="M161" s="6">
        <v>18</v>
      </c>
      <c r="N161" s="6"/>
      <c r="O161" s="6">
        <v>0</v>
      </c>
      <c r="P161" s="6"/>
      <c r="Q161" s="7">
        <v>18</v>
      </c>
      <c r="R161" s="6"/>
      <c r="S161" s="1">
        <v>0</v>
      </c>
      <c r="U161" s="1">
        <v>0</v>
      </c>
      <c r="W161" s="1" t="str">
        <f t="shared" si="2"/>
        <v>No</v>
      </c>
    </row>
    <row r="162" spans="1:23" s="1" customFormat="1" ht="11.25">
      <c r="A162" s="2" t="s">
        <v>1366</v>
      </c>
      <c r="B162" s="21" t="s">
        <v>1367</v>
      </c>
      <c r="C162" s="26" t="s">
        <v>69</v>
      </c>
      <c r="D162" s="163">
        <v>2076</v>
      </c>
      <c r="E162" s="166">
        <v>20076</v>
      </c>
      <c r="F162" s="92" t="s">
        <v>152</v>
      </c>
      <c r="G162" s="20" t="s">
        <v>149</v>
      </c>
      <c r="H162" s="18">
        <v>18351295</v>
      </c>
      <c r="I162" s="18">
        <v>340</v>
      </c>
      <c r="J162" s="4" t="s">
        <v>12</v>
      </c>
      <c r="K162" s="26" t="s">
        <v>15</v>
      </c>
      <c r="L162" s="172">
        <v>264</v>
      </c>
      <c r="M162" s="6">
        <v>2</v>
      </c>
      <c r="N162" s="6"/>
      <c r="O162" s="6">
        <v>0</v>
      </c>
      <c r="P162" s="6"/>
      <c r="Q162" s="7">
        <v>2</v>
      </c>
      <c r="R162" s="6"/>
      <c r="S162" s="1">
        <v>0</v>
      </c>
      <c r="U162" s="1">
        <v>0</v>
      </c>
      <c r="W162" s="1" t="str">
        <f t="shared" si="2"/>
        <v>No</v>
      </c>
    </row>
    <row r="163" spans="1:23" s="1" customFormat="1" ht="11.25">
      <c r="A163" s="2" t="s">
        <v>668</v>
      </c>
      <c r="B163" s="21" t="s">
        <v>260</v>
      </c>
      <c r="C163" s="26" t="s">
        <v>69</v>
      </c>
      <c r="D163" s="163">
        <v>2206</v>
      </c>
      <c r="E163" s="166">
        <v>20206</v>
      </c>
      <c r="F163" s="92" t="s">
        <v>152</v>
      </c>
      <c r="G163" s="20" t="s">
        <v>149</v>
      </c>
      <c r="H163" s="18">
        <v>18351295</v>
      </c>
      <c r="I163" s="18">
        <v>338</v>
      </c>
      <c r="J163" s="4" t="s">
        <v>12</v>
      </c>
      <c r="K163" s="26" t="s">
        <v>15</v>
      </c>
      <c r="L163" s="172">
        <v>245</v>
      </c>
      <c r="M163" s="6">
        <v>1</v>
      </c>
      <c r="N163" s="6"/>
      <c r="O163" s="6">
        <v>0</v>
      </c>
      <c r="P163" s="6"/>
      <c r="Q163" s="7">
        <v>1</v>
      </c>
      <c r="R163" s="6"/>
      <c r="S163" s="1">
        <v>0</v>
      </c>
      <c r="U163" s="1">
        <v>0</v>
      </c>
      <c r="W163" s="1" t="str">
        <f t="shared" si="2"/>
        <v>No</v>
      </c>
    </row>
    <row r="164" spans="1:23" s="1" customFormat="1" ht="11.25">
      <c r="A164" s="2" t="s">
        <v>1824</v>
      </c>
      <c r="B164" s="21" t="s">
        <v>893</v>
      </c>
      <c r="C164" s="26" t="s">
        <v>16</v>
      </c>
      <c r="D164" s="163">
        <v>9033</v>
      </c>
      <c r="E164" s="166">
        <v>90033</v>
      </c>
      <c r="F164" s="92" t="s">
        <v>152</v>
      </c>
      <c r="G164" s="20" t="s">
        <v>149</v>
      </c>
      <c r="H164" s="18">
        <v>843168</v>
      </c>
      <c r="I164" s="18">
        <v>333</v>
      </c>
      <c r="J164" s="4" t="s">
        <v>12</v>
      </c>
      <c r="K164" s="26" t="s">
        <v>11</v>
      </c>
      <c r="L164" s="172">
        <v>204</v>
      </c>
      <c r="M164" s="6">
        <v>3</v>
      </c>
      <c r="N164" s="6"/>
      <c r="O164" s="6">
        <v>0</v>
      </c>
      <c r="P164" s="6"/>
      <c r="Q164" s="7">
        <v>3</v>
      </c>
      <c r="R164" s="6"/>
      <c r="S164" s="1">
        <v>0</v>
      </c>
      <c r="U164" s="1">
        <v>0</v>
      </c>
      <c r="W164" s="1" t="str">
        <f t="shared" si="2"/>
        <v>No</v>
      </c>
    </row>
    <row r="165" spans="1:23" s="1" customFormat="1" ht="11.25">
      <c r="A165" s="2" t="s">
        <v>1824</v>
      </c>
      <c r="B165" s="21" t="s">
        <v>893</v>
      </c>
      <c r="C165" s="26" t="s">
        <v>16</v>
      </c>
      <c r="D165" s="163">
        <v>9033</v>
      </c>
      <c r="E165" s="166">
        <v>90033</v>
      </c>
      <c r="F165" s="92" t="s">
        <v>152</v>
      </c>
      <c r="G165" s="20" t="s">
        <v>149</v>
      </c>
      <c r="H165" s="18">
        <v>843168</v>
      </c>
      <c r="I165" s="18">
        <v>333</v>
      </c>
      <c r="J165" s="4" t="s">
        <v>33</v>
      </c>
      <c r="K165" s="26" t="s">
        <v>11</v>
      </c>
      <c r="L165" s="172">
        <v>6</v>
      </c>
      <c r="M165" s="6">
        <v>0</v>
      </c>
      <c r="N165" s="6"/>
      <c r="O165" s="6">
        <v>0</v>
      </c>
      <c r="P165" s="6"/>
      <c r="Q165" s="7">
        <v>0</v>
      </c>
      <c r="R165" s="6"/>
      <c r="S165" s="1">
        <v>0</v>
      </c>
      <c r="U165" s="1">
        <v>0</v>
      </c>
      <c r="W165" s="1" t="str">
        <f t="shared" si="2"/>
        <v>No</v>
      </c>
    </row>
    <row r="166" spans="1:23" s="1" customFormat="1" ht="11.25">
      <c r="A166" s="2" t="s">
        <v>23</v>
      </c>
      <c r="B166" s="21" t="s">
        <v>984</v>
      </c>
      <c r="C166" s="26" t="s">
        <v>19</v>
      </c>
      <c r="D166" s="163">
        <v>9146</v>
      </c>
      <c r="E166" s="166">
        <v>90146</v>
      </c>
      <c r="F166" s="92" t="s">
        <v>160</v>
      </c>
      <c r="G166" s="20" t="s">
        <v>149</v>
      </c>
      <c r="H166" s="18">
        <v>12150996</v>
      </c>
      <c r="I166" s="18">
        <v>329</v>
      </c>
      <c r="J166" s="4" t="s">
        <v>12</v>
      </c>
      <c r="K166" s="26" t="s">
        <v>15</v>
      </c>
      <c r="L166" s="172">
        <v>329</v>
      </c>
      <c r="M166" s="6">
        <v>2</v>
      </c>
      <c r="N166" s="6"/>
      <c r="O166" s="6">
        <v>0</v>
      </c>
      <c r="P166" s="6"/>
      <c r="Q166" s="7">
        <v>2</v>
      </c>
      <c r="R166" s="6"/>
      <c r="S166" s="1">
        <v>0</v>
      </c>
      <c r="U166" s="1">
        <v>0</v>
      </c>
      <c r="W166" s="1" t="str">
        <f t="shared" si="2"/>
        <v>No</v>
      </c>
    </row>
    <row r="167" spans="1:23" s="1" customFormat="1" ht="11.25">
      <c r="A167" s="2" t="s">
        <v>1010</v>
      </c>
      <c r="B167" s="21" t="s">
        <v>254</v>
      </c>
      <c r="C167" s="26" t="s">
        <v>86</v>
      </c>
      <c r="D167" s="163">
        <v>3006</v>
      </c>
      <c r="E167" s="166">
        <v>30006</v>
      </c>
      <c r="F167" s="92" t="s">
        <v>348</v>
      </c>
      <c r="G167" s="20" t="s">
        <v>149</v>
      </c>
      <c r="H167" s="18">
        <v>953556</v>
      </c>
      <c r="I167" s="18">
        <v>327</v>
      </c>
      <c r="J167" s="4" t="s">
        <v>12</v>
      </c>
      <c r="K167" s="26" t="s">
        <v>11</v>
      </c>
      <c r="L167" s="172">
        <v>120</v>
      </c>
      <c r="M167" s="6">
        <v>0</v>
      </c>
      <c r="N167" s="6"/>
      <c r="O167" s="6">
        <v>0</v>
      </c>
      <c r="P167" s="6"/>
      <c r="Q167" s="7">
        <v>0</v>
      </c>
      <c r="R167" s="6"/>
      <c r="S167" s="1">
        <v>0</v>
      </c>
      <c r="U167" s="1">
        <v>0</v>
      </c>
      <c r="W167" s="1" t="str">
        <f t="shared" si="2"/>
        <v>No</v>
      </c>
    </row>
    <row r="168" spans="1:23" s="1" customFormat="1" ht="11.25">
      <c r="A168" s="2" t="s">
        <v>1051</v>
      </c>
      <c r="B168" s="21" t="s">
        <v>526</v>
      </c>
      <c r="C168" s="26" t="s">
        <v>54</v>
      </c>
      <c r="D168" s="163">
        <v>7005</v>
      </c>
      <c r="E168" s="166">
        <v>70005</v>
      </c>
      <c r="F168" s="92" t="s">
        <v>160</v>
      </c>
      <c r="G168" s="20" t="s">
        <v>149</v>
      </c>
      <c r="H168" s="18">
        <v>1519417</v>
      </c>
      <c r="I168" s="18">
        <v>325</v>
      </c>
      <c r="J168" s="4" t="s">
        <v>12</v>
      </c>
      <c r="K168" s="26" t="s">
        <v>11</v>
      </c>
      <c r="L168" s="172">
        <v>165</v>
      </c>
      <c r="M168" s="6">
        <v>0</v>
      </c>
      <c r="N168" s="6"/>
      <c r="O168" s="6">
        <v>0</v>
      </c>
      <c r="P168" s="6"/>
      <c r="Q168" s="7">
        <v>0</v>
      </c>
      <c r="R168" s="6"/>
      <c r="S168" s="1">
        <v>0</v>
      </c>
      <c r="U168" s="1">
        <v>0</v>
      </c>
      <c r="W168" s="1" t="str">
        <f t="shared" si="2"/>
        <v>No</v>
      </c>
    </row>
    <row r="169" spans="1:23" s="1" customFormat="1" ht="11.25">
      <c r="A169" s="2" t="s">
        <v>1051</v>
      </c>
      <c r="B169" s="21" t="s">
        <v>526</v>
      </c>
      <c r="C169" s="26" t="s">
        <v>54</v>
      </c>
      <c r="D169" s="163">
        <v>7005</v>
      </c>
      <c r="E169" s="166">
        <v>70005</v>
      </c>
      <c r="F169" s="92" t="s">
        <v>160</v>
      </c>
      <c r="G169" s="20" t="s">
        <v>149</v>
      </c>
      <c r="H169" s="18">
        <v>1519417</v>
      </c>
      <c r="I169" s="18">
        <v>325</v>
      </c>
      <c r="J169" s="4" t="s">
        <v>25</v>
      </c>
      <c r="K169" s="26" t="s">
        <v>11</v>
      </c>
      <c r="L169" s="172">
        <v>12</v>
      </c>
      <c r="M169" s="6">
        <v>0</v>
      </c>
      <c r="N169" s="6"/>
      <c r="O169" s="6">
        <v>0</v>
      </c>
      <c r="P169" s="6"/>
      <c r="Q169" s="7">
        <v>0</v>
      </c>
      <c r="R169" s="6"/>
      <c r="S169" s="1">
        <v>0</v>
      </c>
      <c r="U169" s="1">
        <v>0</v>
      </c>
      <c r="W169" s="1" t="str">
        <f t="shared" si="2"/>
        <v>No</v>
      </c>
    </row>
    <row r="170" spans="1:23" s="1" customFormat="1" ht="11.25">
      <c r="A170" s="2" t="s">
        <v>666</v>
      </c>
      <c r="B170" s="21" t="s">
        <v>309</v>
      </c>
      <c r="C170" s="26" t="s">
        <v>45</v>
      </c>
      <c r="D170" s="163">
        <v>1105</v>
      </c>
      <c r="E170" s="166">
        <v>10105</v>
      </c>
      <c r="F170" s="92" t="s">
        <v>160</v>
      </c>
      <c r="G170" s="20" t="s">
        <v>149</v>
      </c>
      <c r="H170" s="18">
        <v>246695</v>
      </c>
      <c r="I170" s="18">
        <v>323</v>
      </c>
      <c r="J170" s="4" t="s">
        <v>12</v>
      </c>
      <c r="K170" s="26" t="s">
        <v>15</v>
      </c>
      <c r="L170" s="172">
        <v>42</v>
      </c>
      <c r="M170" s="6">
        <v>1</v>
      </c>
      <c r="N170" s="6"/>
      <c r="O170" s="6">
        <v>0</v>
      </c>
      <c r="P170" s="6"/>
      <c r="Q170" s="7">
        <v>1</v>
      </c>
      <c r="R170" s="6"/>
      <c r="S170" s="1">
        <v>1</v>
      </c>
      <c r="U170" s="1">
        <v>0</v>
      </c>
      <c r="W170" s="1" t="str">
        <f t="shared" si="2"/>
        <v>No</v>
      </c>
    </row>
    <row r="171" spans="1:23" s="1" customFormat="1" ht="11.25">
      <c r="A171" s="2" t="s">
        <v>1333</v>
      </c>
      <c r="B171" s="21" t="s">
        <v>225</v>
      </c>
      <c r="C171" s="26" t="s">
        <v>43</v>
      </c>
      <c r="D171" s="163">
        <v>4018</v>
      </c>
      <c r="E171" s="166">
        <v>40018</v>
      </c>
      <c r="F171" s="92" t="s">
        <v>160</v>
      </c>
      <c r="G171" s="20" t="s">
        <v>149</v>
      </c>
      <c r="H171" s="18">
        <v>972546</v>
      </c>
      <c r="I171" s="18">
        <v>320</v>
      </c>
      <c r="J171" s="4" t="s">
        <v>12</v>
      </c>
      <c r="K171" s="26" t="s">
        <v>11</v>
      </c>
      <c r="L171" s="172">
        <v>178</v>
      </c>
      <c r="M171" s="6">
        <v>2</v>
      </c>
      <c r="N171" s="6"/>
      <c r="O171" s="6">
        <v>0</v>
      </c>
      <c r="P171" s="6"/>
      <c r="Q171" s="7">
        <v>2</v>
      </c>
      <c r="R171" s="6"/>
      <c r="S171" s="1">
        <v>0</v>
      </c>
      <c r="U171" s="1">
        <v>0</v>
      </c>
      <c r="W171" s="1" t="str">
        <f t="shared" si="2"/>
        <v>No</v>
      </c>
    </row>
    <row r="172" spans="1:23" s="1" customFormat="1" ht="11.25">
      <c r="A172" s="2" t="s">
        <v>1333</v>
      </c>
      <c r="B172" s="21" t="s">
        <v>225</v>
      </c>
      <c r="C172" s="26" t="s">
        <v>43</v>
      </c>
      <c r="D172" s="163">
        <v>4018</v>
      </c>
      <c r="E172" s="166">
        <v>40018</v>
      </c>
      <c r="F172" s="92" t="s">
        <v>160</v>
      </c>
      <c r="G172" s="20" t="s">
        <v>149</v>
      </c>
      <c r="H172" s="18">
        <v>972546</v>
      </c>
      <c r="I172" s="18">
        <v>320</v>
      </c>
      <c r="J172" s="4" t="s">
        <v>12</v>
      </c>
      <c r="K172" s="26" t="s">
        <v>15</v>
      </c>
      <c r="L172" s="172">
        <v>1</v>
      </c>
      <c r="M172" s="6">
        <v>0</v>
      </c>
      <c r="N172" s="6"/>
      <c r="O172" s="6">
        <v>0</v>
      </c>
      <c r="P172" s="6"/>
      <c r="Q172" s="7">
        <v>0</v>
      </c>
      <c r="R172" s="6"/>
      <c r="S172" s="1">
        <v>0</v>
      </c>
      <c r="U172" s="1">
        <v>0</v>
      </c>
      <c r="W172" s="1" t="str">
        <f t="shared" si="2"/>
        <v>No</v>
      </c>
    </row>
    <row r="173" spans="1:23" s="1" customFormat="1" ht="11.25">
      <c r="A173" s="2" t="s">
        <v>1200</v>
      </c>
      <c r="B173" s="21" t="s">
        <v>1201</v>
      </c>
      <c r="C173" s="26" t="s">
        <v>62</v>
      </c>
      <c r="D173" s="163">
        <v>2098</v>
      </c>
      <c r="E173" s="166">
        <v>20098</v>
      </c>
      <c r="F173" s="92" t="s">
        <v>160</v>
      </c>
      <c r="G173" s="20" t="s">
        <v>149</v>
      </c>
      <c r="H173" s="18">
        <v>18351295</v>
      </c>
      <c r="I173" s="18">
        <v>313</v>
      </c>
      <c r="J173" s="4" t="s">
        <v>22</v>
      </c>
      <c r="K173" s="26" t="s">
        <v>15</v>
      </c>
      <c r="L173" s="172">
        <v>6</v>
      </c>
      <c r="M173" s="6">
        <v>4</v>
      </c>
      <c r="N173" s="6"/>
      <c r="O173" s="6">
        <v>0</v>
      </c>
      <c r="P173" s="6"/>
      <c r="Q173" s="7">
        <v>4</v>
      </c>
      <c r="R173" s="6"/>
      <c r="S173" s="1">
        <v>0</v>
      </c>
      <c r="U173" s="1">
        <v>0</v>
      </c>
      <c r="W173" s="1" t="str">
        <f t="shared" si="2"/>
        <v>No</v>
      </c>
    </row>
    <row r="174" spans="1:23" s="1" customFormat="1" ht="11.25">
      <c r="A174" s="2" t="s">
        <v>1200</v>
      </c>
      <c r="B174" s="21" t="s">
        <v>1201</v>
      </c>
      <c r="C174" s="26" t="s">
        <v>62</v>
      </c>
      <c r="D174" s="163">
        <v>2098</v>
      </c>
      <c r="E174" s="166">
        <v>20098</v>
      </c>
      <c r="F174" s="92" t="s">
        <v>160</v>
      </c>
      <c r="G174" s="20" t="s">
        <v>149</v>
      </c>
      <c r="H174" s="18">
        <v>18351295</v>
      </c>
      <c r="I174" s="18">
        <v>313</v>
      </c>
      <c r="J174" s="4" t="s">
        <v>24</v>
      </c>
      <c r="K174" s="26" t="s">
        <v>11</v>
      </c>
      <c r="L174" s="172">
        <v>307</v>
      </c>
      <c r="M174" s="6">
        <v>8</v>
      </c>
      <c r="N174" s="6"/>
      <c r="O174" s="6">
        <v>5</v>
      </c>
      <c r="P174" s="6"/>
      <c r="Q174" s="7">
        <v>13</v>
      </c>
      <c r="R174" s="6"/>
      <c r="S174" s="1">
        <v>18</v>
      </c>
      <c r="U174" s="1">
        <v>38</v>
      </c>
      <c r="W174" s="1" t="str">
        <f t="shared" si="2"/>
        <v>No</v>
      </c>
    </row>
    <row r="175" spans="1:23" s="1" customFormat="1" ht="11.25">
      <c r="A175" s="2" t="s">
        <v>1351</v>
      </c>
      <c r="B175" s="21" t="s">
        <v>1352</v>
      </c>
      <c r="C175" s="26" t="s">
        <v>19</v>
      </c>
      <c r="D175" s="163">
        <v>9148</v>
      </c>
      <c r="E175" s="166">
        <v>90148</v>
      </c>
      <c r="F175" s="92" t="s">
        <v>160</v>
      </c>
      <c r="G175" s="20" t="s">
        <v>149</v>
      </c>
      <c r="H175" s="18">
        <v>328454</v>
      </c>
      <c r="I175" s="18">
        <v>304</v>
      </c>
      <c r="J175" s="4" t="s">
        <v>21</v>
      </c>
      <c r="K175" s="26" t="s">
        <v>15</v>
      </c>
      <c r="L175" s="172">
        <v>7</v>
      </c>
      <c r="M175" s="6">
        <v>0</v>
      </c>
      <c r="N175" s="6"/>
      <c r="O175" s="6">
        <v>0</v>
      </c>
      <c r="P175" s="6"/>
      <c r="Q175" s="7">
        <v>0</v>
      </c>
      <c r="R175" s="6"/>
      <c r="S175" s="1">
        <v>0</v>
      </c>
      <c r="U175" s="1">
        <v>0</v>
      </c>
      <c r="W175" s="1" t="str">
        <f t="shared" si="2"/>
        <v>No</v>
      </c>
    </row>
    <row r="176" spans="1:23" s="1" customFormat="1" ht="11.25">
      <c r="A176" s="2" t="s">
        <v>1351</v>
      </c>
      <c r="B176" s="21" t="s">
        <v>1352</v>
      </c>
      <c r="C176" s="26" t="s">
        <v>19</v>
      </c>
      <c r="D176" s="163">
        <v>9148</v>
      </c>
      <c r="E176" s="166">
        <v>90148</v>
      </c>
      <c r="F176" s="92" t="s">
        <v>160</v>
      </c>
      <c r="G176" s="20" t="s">
        <v>149</v>
      </c>
      <c r="H176" s="18">
        <v>328454</v>
      </c>
      <c r="I176" s="18">
        <v>304</v>
      </c>
      <c r="J176" s="4" t="s">
        <v>12</v>
      </c>
      <c r="K176" s="26" t="s">
        <v>15</v>
      </c>
      <c r="L176" s="172">
        <v>44</v>
      </c>
      <c r="M176" s="6">
        <v>0</v>
      </c>
      <c r="N176" s="6"/>
      <c r="O176" s="6">
        <v>0</v>
      </c>
      <c r="P176" s="6"/>
      <c r="Q176" s="7">
        <v>0</v>
      </c>
      <c r="R176" s="6"/>
      <c r="S176" s="1">
        <v>0</v>
      </c>
      <c r="U176" s="1">
        <v>0</v>
      </c>
      <c r="W176" s="1" t="str">
        <f t="shared" si="2"/>
        <v>No</v>
      </c>
    </row>
    <row r="177" spans="1:23" s="1" customFormat="1" ht="11.25">
      <c r="A177" s="2" t="s">
        <v>1302</v>
      </c>
      <c r="B177" s="21" t="s">
        <v>777</v>
      </c>
      <c r="C177" s="26" t="s">
        <v>51</v>
      </c>
      <c r="D177" s="163">
        <v>5031</v>
      </c>
      <c r="E177" s="166">
        <v>50031</v>
      </c>
      <c r="F177" s="92" t="s">
        <v>160</v>
      </c>
      <c r="G177" s="20" t="s">
        <v>149</v>
      </c>
      <c r="H177" s="18">
        <v>3734090</v>
      </c>
      <c r="I177" s="18">
        <v>302</v>
      </c>
      <c r="J177" s="4" t="s">
        <v>12</v>
      </c>
      <c r="K177" s="26" t="s">
        <v>11</v>
      </c>
      <c r="L177" s="172">
        <v>200</v>
      </c>
      <c r="M177" s="6">
        <v>1</v>
      </c>
      <c r="N177" s="6"/>
      <c r="O177" s="6">
        <v>0</v>
      </c>
      <c r="P177" s="6"/>
      <c r="Q177" s="7">
        <v>1</v>
      </c>
      <c r="R177" s="6"/>
      <c r="S177" s="1">
        <v>1</v>
      </c>
      <c r="U177" s="1">
        <v>0</v>
      </c>
      <c r="W177" s="1" t="str">
        <f t="shared" si="2"/>
        <v>No</v>
      </c>
    </row>
    <row r="178" spans="1:23" s="1" customFormat="1" ht="11.25">
      <c r="A178" s="2" t="s">
        <v>1288</v>
      </c>
      <c r="B178" s="21" t="s">
        <v>1289</v>
      </c>
      <c r="C178" s="26" t="s">
        <v>88</v>
      </c>
      <c r="D178" s="163">
        <v>2</v>
      </c>
      <c r="E178" s="166">
        <v>2</v>
      </c>
      <c r="F178" s="92" t="s">
        <v>160</v>
      </c>
      <c r="G178" s="20" t="s">
        <v>149</v>
      </c>
      <c r="H178" s="18">
        <v>387847</v>
      </c>
      <c r="I178" s="18">
        <v>300</v>
      </c>
      <c r="J178" s="4" t="s">
        <v>12</v>
      </c>
      <c r="K178" s="26" t="s">
        <v>11</v>
      </c>
      <c r="L178" s="172">
        <v>112</v>
      </c>
      <c r="M178" s="6">
        <v>1</v>
      </c>
      <c r="N178" s="6"/>
      <c r="O178" s="6">
        <v>0</v>
      </c>
      <c r="P178" s="6"/>
      <c r="Q178" s="7">
        <v>1</v>
      </c>
      <c r="R178" s="6"/>
      <c r="S178" s="1">
        <v>2</v>
      </c>
      <c r="U178" s="1">
        <v>1</v>
      </c>
      <c r="W178" s="1" t="str">
        <f t="shared" si="2"/>
        <v>No</v>
      </c>
    </row>
    <row r="179" spans="1:23" s="1" customFormat="1" ht="11.25">
      <c r="A179" s="2" t="s">
        <v>1304</v>
      </c>
      <c r="B179" s="21" t="s">
        <v>1305</v>
      </c>
      <c r="C179" s="26" t="s">
        <v>69</v>
      </c>
      <c r="D179" s="163">
        <v>2072</v>
      </c>
      <c r="E179" s="166">
        <v>20072</v>
      </c>
      <c r="F179" s="92" t="s">
        <v>152</v>
      </c>
      <c r="G179" s="20" t="s">
        <v>149</v>
      </c>
      <c r="H179" s="18">
        <v>18351295</v>
      </c>
      <c r="I179" s="18">
        <v>291</v>
      </c>
      <c r="J179" s="4" t="s">
        <v>12</v>
      </c>
      <c r="K179" s="26" t="s">
        <v>15</v>
      </c>
      <c r="L179" s="172">
        <v>119</v>
      </c>
      <c r="M179" s="6">
        <v>0</v>
      </c>
      <c r="N179" s="6"/>
      <c r="O179" s="6">
        <v>0</v>
      </c>
      <c r="P179" s="6"/>
      <c r="Q179" s="7">
        <v>0</v>
      </c>
      <c r="R179" s="6"/>
      <c r="S179" s="1">
        <v>0</v>
      </c>
      <c r="U179" s="1">
        <v>0</v>
      </c>
      <c r="W179" s="1" t="str">
        <f t="shared" si="2"/>
        <v>No</v>
      </c>
    </row>
    <row r="180" spans="1:23" s="1" customFormat="1" ht="11.25">
      <c r="A180" s="2" t="s">
        <v>1223</v>
      </c>
      <c r="B180" s="21" t="s">
        <v>1224</v>
      </c>
      <c r="C180" s="26" t="s">
        <v>80</v>
      </c>
      <c r="D180" s="163">
        <v>1001</v>
      </c>
      <c r="E180" s="166">
        <v>10001</v>
      </c>
      <c r="F180" s="92" t="s">
        <v>160</v>
      </c>
      <c r="G180" s="20" t="s">
        <v>149</v>
      </c>
      <c r="H180" s="18">
        <v>1190956</v>
      </c>
      <c r="I180" s="18">
        <v>290</v>
      </c>
      <c r="J180" s="4" t="s">
        <v>12</v>
      </c>
      <c r="K180" s="26" t="s">
        <v>11</v>
      </c>
      <c r="L180" s="172">
        <v>195</v>
      </c>
      <c r="M180" s="6">
        <v>1</v>
      </c>
      <c r="N180" s="6"/>
      <c r="O180" s="6">
        <v>0</v>
      </c>
      <c r="P180" s="6"/>
      <c r="Q180" s="7">
        <v>1</v>
      </c>
      <c r="R180" s="6"/>
      <c r="S180" s="1">
        <v>0</v>
      </c>
      <c r="U180" s="1">
        <v>0</v>
      </c>
      <c r="W180" s="1" t="str">
        <f t="shared" si="2"/>
        <v>No</v>
      </c>
    </row>
    <row r="181" spans="1:23" s="1" customFormat="1" ht="11.25">
      <c r="A181" s="2" t="s">
        <v>667</v>
      </c>
      <c r="B181" s="21" t="s">
        <v>240</v>
      </c>
      <c r="C181" s="26" t="s">
        <v>57</v>
      </c>
      <c r="D181" s="163">
        <v>4007</v>
      </c>
      <c r="E181" s="166">
        <v>40007</v>
      </c>
      <c r="F181" s="92" t="s">
        <v>152</v>
      </c>
      <c r="G181" s="20" t="s">
        <v>149</v>
      </c>
      <c r="H181" s="18">
        <v>884891</v>
      </c>
      <c r="I181" s="18">
        <v>289</v>
      </c>
      <c r="J181" s="4" t="s">
        <v>12</v>
      </c>
      <c r="K181" s="26" t="s">
        <v>11</v>
      </c>
      <c r="L181" s="172">
        <v>65</v>
      </c>
      <c r="M181" s="6">
        <v>1</v>
      </c>
      <c r="N181" s="6"/>
      <c r="O181" s="6">
        <v>0</v>
      </c>
      <c r="P181" s="6"/>
      <c r="Q181" s="7">
        <v>1</v>
      </c>
      <c r="R181" s="6"/>
      <c r="S181" s="1">
        <v>1</v>
      </c>
      <c r="U181" s="1">
        <v>0</v>
      </c>
      <c r="W181" s="1" t="str">
        <f t="shared" si="2"/>
        <v>No</v>
      </c>
    </row>
    <row r="182" spans="1:23" s="1" customFormat="1" ht="11.25">
      <c r="A182" s="2" t="s">
        <v>1241</v>
      </c>
      <c r="B182" s="21" t="s">
        <v>318</v>
      </c>
      <c r="C182" s="26" t="s">
        <v>74</v>
      </c>
      <c r="D182" s="163">
        <v>25</v>
      </c>
      <c r="E182" s="166">
        <v>25</v>
      </c>
      <c r="F182" s="92" t="s">
        <v>160</v>
      </c>
      <c r="G182" s="20" t="s">
        <v>149</v>
      </c>
      <c r="H182" s="18">
        <v>236632</v>
      </c>
      <c r="I182" s="18">
        <v>288</v>
      </c>
      <c r="J182" s="4" t="s">
        <v>12</v>
      </c>
      <c r="K182" s="26" t="s">
        <v>11</v>
      </c>
      <c r="L182" s="172">
        <v>53</v>
      </c>
      <c r="M182" s="6">
        <v>3</v>
      </c>
      <c r="N182" s="6"/>
      <c r="O182" s="6">
        <v>0</v>
      </c>
      <c r="P182" s="6"/>
      <c r="Q182" s="7">
        <v>3</v>
      </c>
      <c r="R182" s="6"/>
      <c r="S182" s="1">
        <v>0</v>
      </c>
      <c r="U182" s="1">
        <v>0</v>
      </c>
      <c r="W182" s="1" t="str">
        <f t="shared" si="2"/>
        <v>No</v>
      </c>
    </row>
    <row r="183" spans="1:23" s="1" customFormat="1" ht="11.25">
      <c r="A183" s="2" t="s">
        <v>48</v>
      </c>
      <c r="B183" s="21" t="s">
        <v>1226</v>
      </c>
      <c r="C183" s="26" t="s">
        <v>47</v>
      </c>
      <c r="D183" s="163">
        <v>3051</v>
      </c>
      <c r="E183" s="166">
        <v>30051</v>
      </c>
      <c r="F183" s="92" t="s">
        <v>152</v>
      </c>
      <c r="G183" s="20" t="s">
        <v>149</v>
      </c>
      <c r="H183" s="18">
        <v>4586770</v>
      </c>
      <c r="I183" s="18">
        <v>287</v>
      </c>
      <c r="J183" s="4" t="s">
        <v>12</v>
      </c>
      <c r="K183" s="26" t="s">
        <v>11</v>
      </c>
      <c r="L183" s="172">
        <v>287</v>
      </c>
      <c r="M183" s="6">
        <v>3</v>
      </c>
      <c r="N183" s="6"/>
      <c r="O183" s="6">
        <v>0</v>
      </c>
      <c r="P183" s="6"/>
      <c r="Q183" s="7">
        <v>3</v>
      </c>
      <c r="R183" s="6"/>
      <c r="S183" s="1">
        <v>2</v>
      </c>
      <c r="U183" s="1">
        <v>0</v>
      </c>
      <c r="W183" s="1" t="str">
        <f t="shared" si="2"/>
        <v>No</v>
      </c>
    </row>
    <row r="184" spans="1:23" s="1" customFormat="1" ht="11.25">
      <c r="A184" s="2" t="s">
        <v>1060</v>
      </c>
      <c r="B184" s="21" t="s">
        <v>1061</v>
      </c>
      <c r="C184" s="26" t="s">
        <v>74</v>
      </c>
      <c r="D184" s="163">
        <v>7</v>
      </c>
      <c r="E184" s="166">
        <v>7</v>
      </c>
      <c r="F184" s="92" t="s">
        <v>160</v>
      </c>
      <c r="G184" s="20" t="s">
        <v>149</v>
      </c>
      <c r="H184" s="18">
        <v>247421</v>
      </c>
      <c r="I184" s="18">
        <v>277</v>
      </c>
      <c r="J184" s="4" t="s">
        <v>25</v>
      </c>
      <c r="K184" s="26" t="s">
        <v>11</v>
      </c>
      <c r="L184" s="172">
        <v>10</v>
      </c>
      <c r="M184" s="6">
        <v>3</v>
      </c>
      <c r="N184" s="6"/>
      <c r="O184" s="6">
        <v>0</v>
      </c>
      <c r="P184" s="6"/>
      <c r="Q184" s="7">
        <v>3</v>
      </c>
      <c r="R184" s="6"/>
      <c r="S184" s="1">
        <v>0</v>
      </c>
      <c r="U184" s="1">
        <v>0</v>
      </c>
      <c r="W184" s="1" t="str">
        <f t="shared" si="2"/>
        <v>No</v>
      </c>
    </row>
    <row r="185" spans="1:23" s="1" customFormat="1" ht="11.25">
      <c r="A185" s="2" t="s">
        <v>1060</v>
      </c>
      <c r="B185" s="21" t="s">
        <v>1061</v>
      </c>
      <c r="C185" s="26" t="s">
        <v>74</v>
      </c>
      <c r="D185" s="163">
        <v>7</v>
      </c>
      <c r="E185" s="166">
        <v>7</v>
      </c>
      <c r="F185" s="92" t="s">
        <v>160</v>
      </c>
      <c r="G185" s="20" t="s">
        <v>149</v>
      </c>
      <c r="H185" s="18">
        <v>247421</v>
      </c>
      <c r="I185" s="18">
        <v>277</v>
      </c>
      <c r="J185" s="4" t="s">
        <v>12</v>
      </c>
      <c r="K185" s="26" t="s">
        <v>11</v>
      </c>
      <c r="L185" s="172">
        <v>75</v>
      </c>
      <c r="M185" s="6">
        <v>11</v>
      </c>
      <c r="N185" s="6"/>
      <c r="O185" s="6">
        <v>0</v>
      </c>
      <c r="P185" s="6"/>
      <c r="Q185" s="7">
        <v>11</v>
      </c>
      <c r="R185" s="6"/>
      <c r="S185" s="1">
        <v>0</v>
      </c>
      <c r="U185" s="1">
        <v>0</v>
      </c>
      <c r="W185" s="1" t="str">
        <f t="shared" si="2"/>
        <v>No</v>
      </c>
    </row>
    <row r="186" spans="1:23" s="1" customFormat="1" ht="11.25">
      <c r="A186" s="2" t="s">
        <v>1060</v>
      </c>
      <c r="B186" s="21" t="s">
        <v>1061</v>
      </c>
      <c r="C186" s="26" t="s">
        <v>74</v>
      </c>
      <c r="D186" s="163">
        <v>7</v>
      </c>
      <c r="E186" s="166">
        <v>7</v>
      </c>
      <c r="F186" s="92" t="s">
        <v>160</v>
      </c>
      <c r="G186" s="20" t="s">
        <v>149</v>
      </c>
      <c r="H186" s="18">
        <v>247421</v>
      </c>
      <c r="I186" s="18">
        <v>277</v>
      </c>
      <c r="J186" s="4" t="s">
        <v>12</v>
      </c>
      <c r="K186" s="26" t="s">
        <v>15</v>
      </c>
      <c r="L186" s="172">
        <v>1</v>
      </c>
      <c r="M186" s="6">
        <v>1</v>
      </c>
      <c r="N186" s="6"/>
      <c r="O186" s="6">
        <v>0</v>
      </c>
      <c r="P186" s="6"/>
      <c r="Q186" s="7">
        <v>1</v>
      </c>
      <c r="R186" s="6"/>
      <c r="S186" s="1">
        <v>0</v>
      </c>
      <c r="U186" s="1">
        <v>0</v>
      </c>
      <c r="W186" s="1" t="str">
        <f t="shared" si="2"/>
        <v>No</v>
      </c>
    </row>
    <row r="187" spans="1:23" s="1" customFormat="1" ht="11.25">
      <c r="A187" s="2" t="s">
        <v>671</v>
      </c>
      <c r="B187" s="21" t="s">
        <v>545</v>
      </c>
      <c r="C187" s="26" t="s">
        <v>69</v>
      </c>
      <c r="D187" s="163">
        <v>2002</v>
      </c>
      <c r="E187" s="166">
        <v>20002</v>
      </c>
      <c r="F187" s="92" t="s">
        <v>160</v>
      </c>
      <c r="G187" s="20" t="s">
        <v>149</v>
      </c>
      <c r="H187" s="18">
        <v>594962</v>
      </c>
      <c r="I187" s="18">
        <v>276</v>
      </c>
      <c r="J187" s="4" t="s">
        <v>12</v>
      </c>
      <c r="K187" s="26" t="s">
        <v>11</v>
      </c>
      <c r="L187" s="172">
        <v>200</v>
      </c>
      <c r="M187" s="6">
        <v>0</v>
      </c>
      <c r="N187" s="6"/>
      <c r="O187" s="6">
        <v>0</v>
      </c>
      <c r="P187" s="6"/>
      <c r="Q187" s="7">
        <v>0</v>
      </c>
      <c r="R187" s="6"/>
      <c r="S187" s="1">
        <v>0</v>
      </c>
      <c r="U187" s="1">
        <v>0</v>
      </c>
      <c r="W187" s="1" t="str">
        <f t="shared" si="2"/>
        <v>No</v>
      </c>
    </row>
    <row r="188" spans="1:23" s="1" customFormat="1" ht="11.25">
      <c r="A188" s="2" t="s">
        <v>1036</v>
      </c>
      <c r="B188" s="21" t="s">
        <v>354</v>
      </c>
      <c r="C188" s="26" t="s">
        <v>88</v>
      </c>
      <c r="D188" s="163">
        <v>19</v>
      </c>
      <c r="E188" s="166">
        <v>19</v>
      </c>
      <c r="F188" s="92" t="s">
        <v>160</v>
      </c>
      <c r="G188" s="20" t="s">
        <v>149</v>
      </c>
      <c r="H188" s="18">
        <v>176617</v>
      </c>
      <c r="I188" s="18">
        <v>276</v>
      </c>
      <c r="J188" s="4" t="s">
        <v>12</v>
      </c>
      <c r="K188" s="26" t="s">
        <v>11</v>
      </c>
      <c r="L188" s="172">
        <v>50</v>
      </c>
      <c r="M188" s="6">
        <v>2</v>
      </c>
      <c r="N188" s="6"/>
      <c r="O188" s="6">
        <v>0</v>
      </c>
      <c r="P188" s="6"/>
      <c r="Q188" s="7">
        <v>2</v>
      </c>
      <c r="R188" s="6"/>
      <c r="S188" s="1">
        <v>0</v>
      </c>
      <c r="U188" s="1">
        <v>0</v>
      </c>
      <c r="W188" s="1" t="str">
        <f t="shared" si="2"/>
        <v>No</v>
      </c>
    </row>
    <row r="189" spans="1:23" s="1" customFormat="1" ht="11.25">
      <c r="A189" s="2" t="s">
        <v>1195</v>
      </c>
      <c r="B189" s="21" t="s">
        <v>1196</v>
      </c>
      <c r="C189" s="26" t="s">
        <v>32</v>
      </c>
      <c r="D189" s="163">
        <v>4027</v>
      </c>
      <c r="E189" s="166">
        <v>40027</v>
      </c>
      <c r="F189" s="92" t="s">
        <v>160</v>
      </c>
      <c r="G189" s="20" t="s">
        <v>149</v>
      </c>
      <c r="H189" s="18">
        <v>2441770</v>
      </c>
      <c r="I189" s="18">
        <v>276</v>
      </c>
      <c r="J189" s="4" t="s">
        <v>21</v>
      </c>
      <c r="K189" s="26" t="s">
        <v>11</v>
      </c>
      <c r="L189" s="172">
        <v>7</v>
      </c>
      <c r="M189" s="6">
        <v>0</v>
      </c>
      <c r="N189" s="6"/>
      <c r="O189" s="6">
        <v>0</v>
      </c>
      <c r="P189" s="6"/>
      <c r="Q189" s="7">
        <v>0</v>
      </c>
      <c r="R189" s="6"/>
      <c r="S189" s="1">
        <v>0</v>
      </c>
      <c r="U189" s="1">
        <v>0</v>
      </c>
      <c r="W189" s="1" t="str">
        <f t="shared" si="2"/>
        <v>No</v>
      </c>
    </row>
    <row r="190" spans="1:23" s="1" customFormat="1" ht="11.25">
      <c r="A190" s="2" t="s">
        <v>671</v>
      </c>
      <c r="B190" s="21" t="s">
        <v>545</v>
      </c>
      <c r="C190" s="26" t="s">
        <v>69</v>
      </c>
      <c r="D190" s="163">
        <v>2002</v>
      </c>
      <c r="E190" s="166">
        <v>20002</v>
      </c>
      <c r="F190" s="92" t="s">
        <v>160</v>
      </c>
      <c r="G190" s="20" t="s">
        <v>149</v>
      </c>
      <c r="H190" s="18">
        <v>594962</v>
      </c>
      <c r="I190" s="18">
        <v>276</v>
      </c>
      <c r="J190" s="4" t="s">
        <v>21</v>
      </c>
      <c r="K190" s="26" t="s">
        <v>15</v>
      </c>
      <c r="L190" s="172">
        <v>10</v>
      </c>
      <c r="M190" s="6">
        <v>0</v>
      </c>
      <c r="N190" s="6"/>
      <c r="O190" s="6">
        <v>0</v>
      </c>
      <c r="P190" s="6"/>
      <c r="Q190" s="7">
        <v>0</v>
      </c>
      <c r="R190" s="6"/>
      <c r="S190" s="1">
        <v>0</v>
      </c>
      <c r="U190" s="1">
        <v>0</v>
      </c>
      <c r="W190" s="1" t="str">
        <f t="shared" si="2"/>
        <v>No</v>
      </c>
    </row>
    <row r="191" spans="1:23" s="1" customFormat="1" ht="11.25">
      <c r="A191" s="2" t="s">
        <v>1195</v>
      </c>
      <c r="B191" s="21" t="s">
        <v>1196</v>
      </c>
      <c r="C191" s="26" t="s">
        <v>32</v>
      </c>
      <c r="D191" s="163">
        <v>4027</v>
      </c>
      <c r="E191" s="166">
        <v>40027</v>
      </c>
      <c r="F191" s="92" t="s">
        <v>160</v>
      </c>
      <c r="G191" s="20" t="s">
        <v>149</v>
      </c>
      <c r="H191" s="18">
        <v>2441770</v>
      </c>
      <c r="I191" s="18">
        <v>276</v>
      </c>
      <c r="J191" s="4" t="s">
        <v>12</v>
      </c>
      <c r="K191" s="26" t="s">
        <v>11</v>
      </c>
      <c r="L191" s="172">
        <v>157</v>
      </c>
      <c r="M191" s="6">
        <v>4</v>
      </c>
      <c r="N191" s="6"/>
      <c r="O191" s="6">
        <v>0</v>
      </c>
      <c r="P191" s="6"/>
      <c r="Q191" s="7">
        <v>4</v>
      </c>
      <c r="R191" s="6"/>
      <c r="S191" s="1">
        <v>0</v>
      </c>
      <c r="U191" s="1">
        <v>0</v>
      </c>
      <c r="W191" s="1" t="str">
        <f t="shared" si="2"/>
        <v>No</v>
      </c>
    </row>
    <row r="192" spans="1:23" s="1" customFormat="1" ht="11.25">
      <c r="A192" s="2" t="s">
        <v>1036</v>
      </c>
      <c r="B192" s="21" t="s">
        <v>354</v>
      </c>
      <c r="C192" s="26" t="s">
        <v>88</v>
      </c>
      <c r="D192" s="163">
        <v>19</v>
      </c>
      <c r="E192" s="166">
        <v>19</v>
      </c>
      <c r="F192" s="92" t="s">
        <v>160</v>
      </c>
      <c r="G192" s="20" t="s">
        <v>149</v>
      </c>
      <c r="H192" s="18">
        <v>176617</v>
      </c>
      <c r="I192" s="18">
        <v>276</v>
      </c>
      <c r="J192" s="4" t="s">
        <v>21</v>
      </c>
      <c r="K192" s="26" t="s">
        <v>11</v>
      </c>
      <c r="L192" s="172">
        <v>9</v>
      </c>
      <c r="M192" s="6">
        <v>2</v>
      </c>
      <c r="N192" s="6"/>
      <c r="O192" s="6">
        <v>0</v>
      </c>
      <c r="P192" s="6"/>
      <c r="Q192" s="7">
        <v>2</v>
      </c>
      <c r="R192" s="6"/>
      <c r="S192" s="1">
        <v>0</v>
      </c>
      <c r="U192" s="1">
        <v>0</v>
      </c>
      <c r="W192" s="1" t="str">
        <f t="shared" si="2"/>
        <v>No</v>
      </c>
    </row>
    <row r="193" spans="1:23" s="1" customFormat="1" ht="11.25">
      <c r="A193" s="2" t="s">
        <v>1227</v>
      </c>
      <c r="B193" s="21" t="s">
        <v>876</v>
      </c>
      <c r="C193" s="26" t="s">
        <v>19</v>
      </c>
      <c r="D193" s="163">
        <v>9031</v>
      </c>
      <c r="E193" s="166">
        <v>90031</v>
      </c>
      <c r="F193" s="92" t="s">
        <v>160</v>
      </c>
      <c r="G193" s="20" t="s">
        <v>149</v>
      </c>
      <c r="H193" s="18">
        <v>1932666</v>
      </c>
      <c r="I193" s="18">
        <v>275</v>
      </c>
      <c r="J193" s="4" t="s">
        <v>21</v>
      </c>
      <c r="K193" s="26" t="s">
        <v>15</v>
      </c>
      <c r="L193" s="172">
        <v>16</v>
      </c>
      <c r="M193" s="6">
        <v>6</v>
      </c>
      <c r="N193" s="6"/>
      <c r="O193" s="6">
        <v>0</v>
      </c>
      <c r="P193" s="6"/>
      <c r="Q193" s="7">
        <v>6</v>
      </c>
      <c r="R193" s="6"/>
      <c r="S193" s="1">
        <v>1</v>
      </c>
      <c r="U193" s="1">
        <v>0</v>
      </c>
      <c r="W193" s="1" t="str">
        <f t="shared" si="2"/>
        <v>No</v>
      </c>
    </row>
    <row r="194" spans="1:23" s="1" customFormat="1" ht="11.25">
      <c r="A194" s="2" t="s">
        <v>1227</v>
      </c>
      <c r="B194" s="21" t="s">
        <v>876</v>
      </c>
      <c r="C194" s="26" t="s">
        <v>19</v>
      </c>
      <c r="D194" s="163">
        <v>9031</v>
      </c>
      <c r="E194" s="166">
        <v>90031</v>
      </c>
      <c r="F194" s="92" t="s">
        <v>160</v>
      </c>
      <c r="G194" s="20" t="s">
        <v>149</v>
      </c>
      <c r="H194" s="18">
        <v>1932666</v>
      </c>
      <c r="I194" s="18">
        <v>275</v>
      </c>
      <c r="J194" s="4" t="s">
        <v>12</v>
      </c>
      <c r="K194" s="26" t="s">
        <v>11</v>
      </c>
      <c r="L194" s="172">
        <v>82</v>
      </c>
      <c r="M194" s="6">
        <v>9</v>
      </c>
      <c r="N194" s="6"/>
      <c r="O194" s="6">
        <v>0</v>
      </c>
      <c r="P194" s="6"/>
      <c r="Q194" s="7">
        <v>9</v>
      </c>
      <c r="R194" s="6"/>
      <c r="S194" s="1">
        <v>4</v>
      </c>
      <c r="U194" s="1">
        <v>0</v>
      </c>
      <c r="W194" s="1" t="str">
        <f t="shared" ref="W194:W257" si="3">IF(V194&amp;T194&amp;R194&amp;P194&amp;N194&lt;&gt;"","Yes","No")</f>
        <v>No</v>
      </c>
    </row>
    <row r="195" spans="1:23" s="1" customFormat="1" ht="11.25">
      <c r="A195" s="2" t="s">
        <v>1227</v>
      </c>
      <c r="B195" s="21" t="s">
        <v>876</v>
      </c>
      <c r="C195" s="26" t="s">
        <v>19</v>
      </c>
      <c r="D195" s="163">
        <v>9031</v>
      </c>
      <c r="E195" s="166">
        <v>90031</v>
      </c>
      <c r="F195" s="92" t="s">
        <v>160</v>
      </c>
      <c r="G195" s="20" t="s">
        <v>149</v>
      </c>
      <c r="H195" s="18">
        <v>1932666</v>
      </c>
      <c r="I195" s="18">
        <v>275</v>
      </c>
      <c r="J195" s="4" t="s">
        <v>12</v>
      </c>
      <c r="K195" s="26" t="s">
        <v>15</v>
      </c>
      <c r="L195" s="172">
        <v>50</v>
      </c>
      <c r="M195" s="6">
        <v>6</v>
      </c>
      <c r="N195" s="6"/>
      <c r="O195" s="6">
        <v>0</v>
      </c>
      <c r="P195" s="6"/>
      <c r="Q195" s="7">
        <v>6</v>
      </c>
      <c r="R195" s="6"/>
      <c r="S195" s="1">
        <v>2</v>
      </c>
      <c r="U195" s="1">
        <v>0</v>
      </c>
      <c r="W195" s="1" t="str">
        <f t="shared" si="3"/>
        <v>No</v>
      </c>
    </row>
    <row r="196" spans="1:23" s="1" customFormat="1" ht="11.25">
      <c r="A196" s="2" t="s">
        <v>1227</v>
      </c>
      <c r="B196" s="21" t="s">
        <v>876</v>
      </c>
      <c r="C196" s="26" t="s">
        <v>19</v>
      </c>
      <c r="D196" s="163">
        <v>9031</v>
      </c>
      <c r="E196" s="166">
        <v>90031</v>
      </c>
      <c r="F196" s="92" t="s">
        <v>160</v>
      </c>
      <c r="G196" s="20" t="s">
        <v>149</v>
      </c>
      <c r="H196" s="18">
        <v>1932666</v>
      </c>
      <c r="I196" s="18">
        <v>275</v>
      </c>
      <c r="J196" s="4" t="s">
        <v>21</v>
      </c>
      <c r="K196" s="26" t="s">
        <v>11</v>
      </c>
      <c r="L196" s="172">
        <v>15</v>
      </c>
      <c r="M196" s="6">
        <v>5</v>
      </c>
      <c r="N196" s="6"/>
      <c r="O196" s="6">
        <v>0</v>
      </c>
      <c r="P196" s="6"/>
      <c r="Q196" s="7">
        <v>5</v>
      </c>
      <c r="R196" s="6"/>
      <c r="S196" s="1">
        <v>2</v>
      </c>
      <c r="U196" s="1">
        <v>0</v>
      </c>
      <c r="W196" s="1" t="str">
        <f t="shared" si="3"/>
        <v>No</v>
      </c>
    </row>
    <row r="197" spans="1:23" s="1" customFormat="1" ht="11.25">
      <c r="A197" s="2" t="s">
        <v>1197</v>
      </c>
      <c r="B197" s="21" t="s">
        <v>732</v>
      </c>
      <c r="C197" s="26" t="s">
        <v>45</v>
      </c>
      <c r="D197" s="163">
        <v>1008</v>
      </c>
      <c r="E197" s="166">
        <v>10008</v>
      </c>
      <c r="F197" s="92" t="s">
        <v>160</v>
      </c>
      <c r="G197" s="20" t="s">
        <v>149</v>
      </c>
      <c r="H197" s="18">
        <v>621300</v>
      </c>
      <c r="I197" s="18">
        <v>265</v>
      </c>
      <c r="J197" s="4" t="s">
        <v>12</v>
      </c>
      <c r="K197" s="26" t="s">
        <v>15</v>
      </c>
      <c r="L197" s="172">
        <v>152</v>
      </c>
      <c r="M197" s="6">
        <v>2</v>
      </c>
      <c r="N197" s="6"/>
      <c r="O197" s="6">
        <v>0</v>
      </c>
      <c r="P197" s="6"/>
      <c r="Q197" s="7">
        <v>2</v>
      </c>
      <c r="R197" s="6"/>
      <c r="S197" s="1">
        <v>0</v>
      </c>
      <c r="U197" s="1">
        <v>0</v>
      </c>
      <c r="W197" s="1" t="str">
        <f t="shared" si="3"/>
        <v>No</v>
      </c>
    </row>
    <row r="198" spans="1:23" s="1" customFormat="1" ht="11.25">
      <c r="A198" s="2" t="s">
        <v>89</v>
      </c>
      <c r="B198" s="21" t="s">
        <v>1053</v>
      </c>
      <c r="C198" s="26" t="s">
        <v>88</v>
      </c>
      <c r="D198" s="163">
        <v>20</v>
      </c>
      <c r="E198" s="166">
        <v>20</v>
      </c>
      <c r="F198" s="92" t="s">
        <v>160</v>
      </c>
      <c r="G198" s="20" t="s">
        <v>149</v>
      </c>
      <c r="H198" s="18">
        <v>198979</v>
      </c>
      <c r="I198" s="18">
        <v>262</v>
      </c>
      <c r="J198" s="4" t="s">
        <v>22</v>
      </c>
      <c r="K198" s="26" t="s">
        <v>11</v>
      </c>
      <c r="L198" s="172">
        <v>1</v>
      </c>
      <c r="M198" s="6">
        <v>2</v>
      </c>
      <c r="N198" s="6"/>
      <c r="O198" s="6">
        <v>0</v>
      </c>
      <c r="P198" s="6"/>
      <c r="Q198" s="7">
        <v>2</v>
      </c>
      <c r="R198" s="6"/>
      <c r="S198" s="1">
        <v>1</v>
      </c>
      <c r="U198" s="1">
        <v>0</v>
      </c>
      <c r="W198" s="1" t="str">
        <f t="shared" si="3"/>
        <v>No</v>
      </c>
    </row>
    <row r="199" spans="1:23" s="1" customFormat="1" ht="11.25">
      <c r="A199" s="2" t="s">
        <v>1114</v>
      </c>
      <c r="B199" s="21" t="s">
        <v>387</v>
      </c>
      <c r="C199" s="26" t="s">
        <v>83</v>
      </c>
      <c r="D199" s="163">
        <v>4004</v>
      </c>
      <c r="E199" s="166">
        <v>40004</v>
      </c>
      <c r="F199" s="92" t="s">
        <v>160</v>
      </c>
      <c r="G199" s="20" t="s">
        <v>149</v>
      </c>
      <c r="H199" s="18">
        <v>969587</v>
      </c>
      <c r="I199" s="18">
        <v>262</v>
      </c>
      <c r="J199" s="4" t="s">
        <v>21</v>
      </c>
      <c r="K199" s="26" t="s">
        <v>11</v>
      </c>
      <c r="L199" s="172">
        <v>23</v>
      </c>
      <c r="M199" s="6">
        <v>1</v>
      </c>
      <c r="N199" s="6"/>
      <c r="O199" s="6">
        <v>0</v>
      </c>
      <c r="P199" s="6"/>
      <c r="Q199" s="7">
        <v>1</v>
      </c>
      <c r="R199" s="6"/>
      <c r="S199" s="1">
        <v>1</v>
      </c>
      <c r="U199" s="1">
        <v>2</v>
      </c>
      <c r="W199" s="1" t="str">
        <f t="shared" si="3"/>
        <v>No</v>
      </c>
    </row>
    <row r="200" spans="1:23" s="1" customFormat="1" ht="11.25">
      <c r="A200" s="2" t="s">
        <v>89</v>
      </c>
      <c r="B200" s="21" t="s">
        <v>1053</v>
      </c>
      <c r="C200" s="26" t="s">
        <v>88</v>
      </c>
      <c r="D200" s="163">
        <v>20</v>
      </c>
      <c r="E200" s="166">
        <v>20</v>
      </c>
      <c r="F200" s="92" t="s">
        <v>160</v>
      </c>
      <c r="G200" s="20" t="s">
        <v>149</v>
      </c>
      <c r="H200" s="18">
        <v>198979</v>
      </c>
      <c r="I200" s="18">
        <v>262</v>
      </c>
      <c r="J200" s="4" t="s">
        <v>22</v>
      </c>
      <c r="K200" s="26" t="s">
        <v>15</v>
      </c>
      <c r="L200" s="172">
        <v>2</v>
      </c>
      <c r="M200" s="6">
        <v>2</v>
      </c>
      <c r="N200" s="6"/>
      <c r="O200" s="6">
        <v>1</v>
      </c>
      <c r="P200" s="6"/>
      <c r="Q200" s="7">
        <v>3</v>
      </c>
      <c r="R200" s="6"/>
      <c r="S200" s="1">
        <v>1</v>
      </c>
      <c r="U200" s="1">
        <v>0</v>
      </c>
      <c r="W200" s="1" t="str">
        <f t="shared" si="3"/>
        <v>No</v>
      </c>
    </row>
    <row r="201" spans="1:23" s="1" customFormat="1" ht="11.25">
      <c r="A201" s="2" t="s">
        <v>1114</v>
      </c>
      <c r="B201" s="21" t="s">
        <v>387</v>
      </c>
      <c r="C201" s="26" t="s">
        <v>83</v>
      </c>
      <c r="D201" s="163">
        <v>4004</v>
      </c>
      <c r="E201" s="166">
        <v>40004</v>
      </c>
      <c r="F201" s="92" t="s">
        <v>160</v>
      </c>
      <c r="G201" s="20" t="s">
        <v>149</v>
      </c>
      <c r="H201" s="18">
        <v>969587</v>
      </c>
      <c r="I201" s="18">
        <v>262</v>
      </c>
      <c r="J201" s="4" t="s">
        <v>12</v>
      </c>
      <c r="K201" s="26" t="s">
        <v>11</v>
      </c>
      <c r="L201" s="172">
        <v>126</v>
      </c>
      <c r="M201" s="6">
        <v>1</v>
      </c>
      <c r="N201" s="6"/>
      <c r="O201" s="6">
        <v>0</v>
      </c>
      <c r="P201" s="6"/>
      <c r="Q201" s="7">
        <v>1</v>
      </c>
      <c r="R201" s="6"/>
      <c r="S201" s="1">
        <v>1</v>
      </c>
      <c r="U201" s="1">
        <v>2</v>
      </c>
      <c r="W201" s="1" t="str">
        <f t="shared" si="3"/>
        <v>No</v>
      </c>
    </row>
    <row r="202" spans="1:23" s="1" customFormat="1" ht="11.25">
      <c r="A202" s="2" t="s">
        <v>89</v>
      </c>
      <c r="B202" s="21" t="s">
        <v>1053</v>
      </c>
      <c r="C202" s="26" t="s">
        <v>88</v>
      </c>
      <c r="D202" s="163">
        <v>20</v>
      </c>
      <c r="E202" s="166">
        <v>20</v>
      </c>
      <c r="F202" s="92" t="s">
        <v>160</v>
      </c>
      <c r="G202" s="20" t="s">
        <v>149</v>
      </c>
      <c r="H202" s="18">
        <v>198979</v>
      </c>
      <c r="I202" s="18">
        <v>262</v>
      </c>
      <c r="J202" s="4" t="s">
        <v>12</v>
      </c>
      <c r="K202" s="26" t="s">
        <v>11</v>
      </c>
      <c r="L202" s="172">
        <v>90</v>
      </c>
      <c r="M202" s="6">
        <v>13</v>
      </c>
      <c r="N202" s="6"/>
      <c r="O202" s="6">
        <v>0</v>
      </c>
      <c r="P202" s="6"/>
      <c r="Q202" s="7">
        <v>13</v>
      </c>
      <c r="R202" s="6"/>
      <c r="S202" s="1">
        <v>1</v>
      </c>
      <c r="U202" s="1">
        <v>0</v>
      </c>
      <c r="W202" s="1" t="str">
        <f t="shared" si="3"/>
        <v>No</v>
      </c>
    </row>
    <row r="203" spans="1:23" s="1" customFormat="1" ht="11.25">
      <c r="A203" s="2" t="s">
        <v>1686</v>
      </c>
      <c r="B203" s="21" t="s">
        <v>258</v>
      </c>
      <c r="C203" s="26" t="s">
        <v>69</v>
      </c>
      <c r="D203" s="163">
        <v>2113</v>
      </c>
      <c r="E203" s="166">
        <v>20113</v>
      </c>
      <c r="F203" s="92" t="s">
        <v>160</v>
      </c>
      <c r="G203" s="20" t="s">
        <v>149</v>
      </c>
      <c r="H203" s="18">
        <v>720572</v>
      </c>
      <c r="I203" s="18">
        <v>258</v>
      </c>
      <c r="J203" s="4" t="s">
        <v>12</v>
      </c>
      <c r="K203" s="26" t="s">
        <v>11</v>
      </c>
      <c r="L203" s="172">
        <v>213</v>
      </c>
      <c r="M203" s="6">
        <v>2</v>
      </c>
      <c r="N203" s="6"/>
      <c r="O203" s="6">
        <v>0</v>
      </c>
      <c r="P203" s="6"/>
      <c r="Q203" s="7">
        <v>2</v>
      </c>
      <c r="R203" s="6"/>
      <c r="S203" s="1">
        <v>0</v>
      </c>
      <c r="U203" s="1">
        <v>0</v>
      </c>
      <c r="W203" s="1" t="str">
        <f t="shared" si="3"/>
        <v>No</v>
      </c>
    </row>
    <row r="204" spans="1:23" s="1" customFormat="1" ht="11.25">
      <c r="A204" s="2" t="s">
        <v>1087</v>
      </c>
      <c r="B204" s="21" t="s">
        <v>228</v>
      </c>
      <c r="C204" s="26" t="s">
        <v>92</v>
      </c>
      <c r="D204" s="163">
        <v>5005</v>
      </c>
      <c r="E204" s="166">
        <v>50005</v>
      </c>
      <c r="F204" s="92" t="s">
        <v>152</v>
      </c>
      <c r="G204" s="20" t="s">
        <v>149</v>
      </c>
      <c r="H204" s="18">
        <v>401661</v>
      </c>
      <c r="I204" s="18">
        <v>254</v>
      </c>
      <c r="J204" s="4" t="s">
        <v>12</v>
      </c>
      <c r="K204" s="26" t="s">
        <v>11</v>
      </c>
      <c r="L204" s="172">
        <v>182</v>
      </c>
      <c r="M204" s="6">
        <v>0</v>
      </c>
      <c r="N204" s="6"/>
      <c r="O204" s="6">
        <v>0</v>
      </c>
      <c r="P204" s="6"/>
      <c r="Q204" s="7">
        <v>0</v>
      </c>
      <c r="R204" s="6"/>
      <c r="S204" s="1">
        <v>0</v>
      </c>
      <c r="U204" s="1">
        <v>0</v>
      </c>
      <c r="W204" s="1" t="str">
        <f t="shared" si="3"/>
        <v>No</v>
      </c>
    </row>
    <row r="205" spans="1:23" s="1" customFormat="1" ht="11.25">
      <c r="A205" s="2" t="s">
        <v>1170</v>
      </c>
      <c r="B205" s="21" t="s">
        <v>1171</v>
      </c>
      <c r="C205" s="26" t="s">
        <v>19</v>
      </c>
      <c r="D205" s="163">
        <v>9029</v>
      </c>
      <c r="E205" s="166">
        <v>90029</v>
      </c>
      <c r="F205" s="92" t="s">
        <v>160</v>
      </c>
      <c r="G205" s="20" t="s">
        <v>149</v>
      </c>
      <c r="H205" s="18">
        <v>1932666</v>
      </c>
      <c r="I205" s="18">
        <v>250</v>
      </c>
      <c r="J205" s="4" t="s">
        <v>12</v>
      </c>
      <c r="K205" s="26" t="s">
        <v>11</v>
      </c>
      <c r="L205" s="172">
        <v>147</v>
      </c>
      <c r="M205" s="6">
        <v>7</v>
      </c>
      <c r="N205" s="6"/>
      <c r="O205" s="6">
        <v>0</v>
      </c>
      <c r="P205" s="6"/>
      <c r="Q205" s="7">
        <v>7</v>
      </c>
      <c r="R205" s="6"/>
      <c r="S205" s="1">
        <v>2</v>
      </c>
      <c r="U205" s="1">
        <v>0</v>
      </c>
      <c r="W205" s="1" t="str">
        <f t="shared" si="3"/>
        <v>No</v>
      </c>
    </row>
    <row r="206" spans="1:23" s="1" customFormat="1" ht="11.25">
      <c r="A206" s="2" t="s">
        <v>1170</v>
      </c>
      <c r="B206" s="21" t="s">
        <v>1171</v>
      </c>
      <c r="C206" s="26" t="s">
        <v>19</v>
      </c>
      <c r="D206" s="163">
        <v>9029</v>
      </c>
      <c r="E206" s="166">
        <v>90029</v>
      </c>
      <c r="F206" s="92" t="s">
        <v>160</v>
      </c>
      <c r="G206" s="20" t="s">
        <v>149</v>
      </c>
      <c r="H206" s="18">
        <v>1932666</v>
      </c>
      <c r="I206" s="18">
        <v>250</v>
      </c>
      <c r="J206" s="4" t="s">
        <v>12</v>
      </c>
      <c r="K206" s="26" t="s">
        <v>15</v>
      </c>
      <c r="L206" s="172">
        <v>7</v>
      </c>
      <c r="M206" s="6">
        <v>2</v>
      </c>
      <c r="N206" s="6"/>
      <c r="O206" s="6">
        <v>0</v>
      </c>
      <c r="P206" s="6"/>
      <c r="Q206" s="7">
        <v>2</v>
      </c>
      <c r="R206" s="6"/>
      <c r="S206" s="1">
        <v>0</v>
      </c>
      <c r="U206" s="1">
        <v>0</v>
      </c>
      <c r="W206" s="1" t="str">
        <f t="shared" si="3"/>
        <v>No</v>
      </c>
    </row>
    <row r="207" spans="1:23" s="1" customFormat="1" ht="11.25">
      <c r="A207" s="2" t="s">
        <v>1039</v>
      </c>
      <c r="B207" s="21" t="s">
        <v>250</v>
      </c>
      <c r="C207" s="26" t="s">
        <v>32</v>
      </c>
      <c r="D207" s="163">
        <v>4040</v>
      </c>
      <c r="E207" s="166">
        <v>40040</v>
      </c>
      <c r="F207" s="92" t="s">
        <v>160</v>
      </c>
      <c r="G207" s="20" t="s">
        <v>149</v>
      </c>
      <c r="H207" s="18">
        <v>1065219</v>
      </c>
      <c r="I207" s="18">
        <v>248</v>
      </c>
      <c r="J207" s="4" t="s">
        <v>34</v>
      </c>
      <c r="K207" s="26" t="s">
        <v>11</v>
      </c>
      <c r="L207" s="172">
        <v>5</v>
      </c>
      <c r="M207" s="6">
        <v>8</v>
      </c>
      <c r="N207" s="6"/>
      <c r="O207" s="6">
        <v>0</v>
      </c>
      <c r="P207" s="6"/>
      <c r="Q207" s="7">
        <v>8</v>
      </c>
      <c r="R207" s="6"/>
      <c r="S207" s="1">
        <v>8</v>
      </c>
      <c r="U207" s="1">
        <v>18</v>
      </c>
      <c r="W207" s="1" t="str">
        <f t="shared" si="3"/>
        <v>No</v>
      </c>
    </row>
    <row r="208" spans="1:23" s="1" customFormat="1" ht="11.25">
      <c r="A208" s="2" t="s">
        <v>1039</v>
      </c>
      <c r="B208" s="21" t="s">
        <v>250</v>
      </c>
      <c r="C208" s="26" t="s">
        <v>32</v>
      </c>
      <c r="D208" s="163">
        <v>4040</v>
      </c>
      <c r="E208" s="166">
        <v>40040</v>
      </c>
      <c r="F208" s="92" t="s">
        <v>160</v>
      </c>
      <c r="G208" s="20" t="s">
        <v>149</v>
      </c>
      <c r="H208" s="18">
        <v>1065219</v>
      </c>
      <c r="I208" s="18">
        <v>248</v>
      </c>
      <c r="J208" s="4" t="s">
        <v>22</v>
      </c>
      <c r="K208" s="26" t="s">
        <v>15</v>
      </c>
      <c r="L208" s="172">
        <v>1</v>
      </c>
      <c r="M208" s="6">
        <v>2</v>
      </c>
      <c r="N208" s="6"/>
      <c r="O208" s="6">
        <v>0</v>
      </c>
      <c r="P208" s="6"/>
      <c r="Q208" s="7">
        <v>2</v>
      </c>
      <c r="R208" s="6"/>
      <c r="S208" s="1">
        <v>0</v>
      </c>
      <c r="U208" s="1">
        <v>0</v>
      </c>
      <c r="W208" s="1" t="str">
        <f t="shared" si="3"/>
        <v>No</v>
      </c>
    </row>
    <row r="209" spans="1:23" s="1" customFormat="1" ht="11.25">
      <c r="A209" s="2" t="s">
        <v>1039</v>
      </c>
      <c r="B209" s="21" t="s">
        <v>250</v>
      </c>
      <c r="C209" s="26" t="s">
        <v>32</v>
      </c>
      <c r="D209" s="163">
        <v>4040</v>
      </c>
      <c r="E209" s="166">
        <v>40040</v>
      </c>
      <c r="F209" s="92" t="s">
        <v>160</v>
      </c>
      <c r="G209" s="20" t="s">
        <v>149</v>
      </c>
      <c r="H209" s="18">
        <v>1065219</v>
      </c>
      <c r="I209" s="18">
        <v>248</v>
      </c>
      <c r="J209" s="4" t="s">
        <v>12</v>
      </c>
      <c r="K209" s="26" t="s">
        <v>11</v>
      </c>
      <c r="L209" s="172">
        <v>153</v>
      </c>
      <c r="M209" s="6">
        <v>3</v>
      </c>
      <c r="N209" s="6"/>
      <c r="O209" s="6">
        <v>0</v>
      </c>
      <c r="P209" s="6"/>
      <c r="Q209" s="7">
        <v>3</v>
      </c>
      <c r="R209" s="6"/>
      <c r="S209" s="1">
        <v>2</v>
      </c>
      <c r="U209" s="1">
        <v>4</v>
      </c>
      <c r="W209" s="1" t="str">
        <f t="shared" si="3"/>
        <v>No</v>
      </c>
    </row>
    <row r="210" spans="1:23" s="1" customFormat="1" ht="11.25">
      <c r="A210" s="2" t="s">
        <v>1825</v>
      </c>
      <c r="B210" s="21" t="s">
        <v>312</v>
      </c>
      <c r="C210" s="26" t="s">
        <v>75</v>
      </c>
      <c r="D210" s="163">
        <v>3027</v>
      </c>
      <c r="E210" s="166">
        <v>30027</v>
      </c>
      <c r="F210" s="92" t="s">
        <v>160</v>
      </c>
      <c r="G210" s="20" t="s">
        <v>149</v>
      </c>
      <c r="H210" s="18">
        <v>232045</v>
      </c>
      <c r="I210" s="18">
        <v>246</v>
      </c>
      <c r="J210" s="4" t="s">
        <v>12</v>
      </c>
      <c r="K210" s="26" t="s">
        <v>11</v>
      </c>
      <c r="L210" s="172">
        <v>35</v>
      </c>
      <c r="M210" s="6">
        <v>2</v>
      </c>
      <c r="N210" s="6"/>
      <c r="O210" s="6">
        <v>0</v>
      </c>
      <c r="P210" s="6"/>
      <c r="Q210" s="7">
        <v>2</v>
      </c>
      <c r="R210" s="6"/>
      <c r="S210" s="1">
        <v>0</v>
      </c>
      <c r="U210" s="1">
        <v>0</v>
      </c>
      <c r="W210" s="1" t="str">
        <f t="shared" si="3"/>
        <v>No</v>
      </c>
    </row>
    <row r="211" spans="1:23" s="1" customFormat="1" ht="11.25">
      <c r="A211" s="2" t="s">
        <v>1825</v>
      </c>
      <c r="B211" s="21" t="s">
        <v>312</v>
      </c>
      <c r="C211" s="26" t="s">
        <v>75</v>
      </c>
      <c r="D211" s="163">
        <v>3027</v>
      </c>
      <c r="E211" s="166">
        <v>30027</v>
      </c>
      <c r="F211" s="92" t="s">
        <v>160</v>
      </c>
      <c r="G211" s="20" t="s">
        <v>149</v>
      </c>
      <c r="H211" s="18">
        <v>232045</v>
      </c>
      <c r="I211" s="18">
        <v>246</v>
      </c>
      <c r="J211" s="4" t="s">
        <v>21</v>
      </c>
      <c r="K211" s="26" t="s">
        <v>11</v>
      </c>
      <c r="L211" s="172">
        <v>9</v>
      </c>
      <c r="M211" s="6">
        <v>2</v>
      </c>
      <c r="N211" s="6"/>
      <c r="O211" s="6">
        <v>0</v>
      </c>
      <c r="P211" s="6"/>
      <c r="Q211" s="7">
        <v>2</v>
      </c>
      <c r="R211" s="6"/>
      <c r="S211" s="1">
        <v>0</v>
      </c>
      <c r="U211" s="1">
        <v>0</v>
      </c>
      <c r="W211" s="1" t="str">
        <f t="shared" si="3"/>
        <v>No</v>
      </c>
    </row>
    <row r="212" spans="1:23" s="1" customFormat="1" ht="11.25">
      <c r="A212" s="2" t="s">
        <v>1826</v>
      </c>
      <c r="B212" s="21" t="s">
        <v>1094</v>
      </c>
      <c r="C212" s="26" t="s">
        <v>51</v>
      </c>
      <c r="D212" s="163">
        <v>5032</v>
      </c>
      <c r="E212" s="166">
        <v>50032</v>
      </c>
      <c r="F212" s="92" t="s">
        <v>160</v>
      </c>
      <c r="G212" s="20" t="s">
        <v>149</v>
      </c>
      <c r="H212" s="18">
        <v>356218</v>
      </c>
      <c r="I212" s="18">
        <v>237</v>
      </c>
      <c r="J212" s="4" t="s">
        <v>12</v>
      </c>
      <c r="K212" s="26" t="s">
        <v>11</v>
      </c>
      <c r="L212" s="172">
        <v>99</v>
      </c>
      <c r="M212" s="6">
        <v>1</v>
      </c>
      <c r="N212" s="6"/>
      <c r="O212" s="6">
        <v>0</v>
      </c>
      <c r="P212" s="6"/>
      <c r="Q212" s="7">
        <v>1</v>
      </c>
      <c r="R212" s="6"/>
      <c r="S212" s="1">
        <v>0</v>
      </c>
      <c r="U212" s="1">
        <v>0</v>
      </c>
      <c r="W212" s="1" t="str">
        <f t="shared" si="3"/>
        <v>No</v>
      </c>
    </row>
    <row r="213" spans="1:23" s="1" customFormat="1" ht="11.25">
      <c r="A213" s="2" t="s">
        <v>978</v>
      </c>
      <c r="B213" s="21" t="s">
        <v>789</v>
      </c>
      <c r="C213" s="26" t="s">
        <v>86</v>
      </c>
      <c r="D213" s="163">
        <v>3068</v>
      </c>
      <c r="E213" s="166">
        <v>30068</v>
      </c>
      <c r="F213" s="92" t="s">
        <v>152</v>
      </c>
      <c r="G213" s="20" t="s">
        <v>149</v>
      </c>
      <c r="H213" s="18">
        <v>4586770</v>
      </c>
      <c r="I213" s="18">
        <v>235</v>
      </c>
      <c r="J213" s="4" t="s">
        <v>12</v>
      </c>
      <c r="K213" s="26" t="s">
        <v>15</v>
      </c>
      <c r="L213" s="172">
        <v>235</v>
      </c>
      <c r="M213" s="6">
        <v>16</v>
      </c>
      <c r="N213" s="6"/>
      <c r="O213" s="6">
        <v>0</v>
      </c>
      <c r="P213" s="6"/>
      <c r="Q213" s="7">
        <v>16</v>
      </c>
      <c r="R213" s="6"/>
      <c r="S213" s="1">
        <v>5</v>
      </c>
      <c r="U213" s="1">
        <v>2</v>
      </c>
      <c r="W213" s="1" t="str">
        <f t="shared" si="3"/>
        <v>No</v>
      </c>
    </row>
    <row r="214" spans="1:23" s="1" customFormat="1" ht="11.25">
      <c r="A214" s="2" t="s">
        <v>998</v>
      </c>
      <c r="B214" s="21" t="s">
        <v>999</v>
      </c>
      <c r="C214" s="26" t="s">
        <v>51</v>
      </c>
      <c r="D214" s="163">
        <v>5033</v>
      </c>
      <c r="E214" s="166">
        <v>50033</v>
      </c>
      <c r="F214" s="92" t="s">
        <v>160</v>
      </c>
      <c r="G214" s="20" t="s">
        <v>149</v>
      </c>
      <c r="H214" s="18">
        <v>569935</v>
      </c>
      <c r="I214" s="18">
        <v>234</v>
      </c>
      <c r="J214" s="4" t="s">
        <v>12</v>
      </c>
      <c r="K214" s="26" t="s">
        <v>11</v>
      </c>
      <c r="L214" s="172">
        <v>126</v>
      </c>
      <c r="M214" s="6">
        <v>1</v>
      </c>
      <c r="N214" s="6"/>
      <c r="O214" s="6">
        <v>0</v>
      </c>
      <c r="P214" s="6"/>
      <c r="Q214" s="7">
        <v>1</v>
      </c>
      <c r="R214" s="6"/>
      <c r="S214" s="1">
        <v>1</v>
      </c>
      <c r="U214" s="1">
        <v>0</v>
      </c>
      <c r="W214" s="1" t="str">
        <f t="shared" si="3"/>
        <v>No</v>
      </c>
    </row>
    <row r="215" spans="1:23" s="1" customFormat="1" ht="11.25">
      <c r="A215" s="2" t="s">
        <v>998</v>
      </c>
      <c r="B215" s="21" t="s">
        <v>999</v>
      </c>
      <c r="C215" s="26" t="s">
        <v>51</v>
      </c>
      <c r="D215" s="163">
        <v>5033</v>
      </c>
      <c r="E215" s="166">
        <v>50033</v>
      </c>
      <c r="F215" s="92" t="s">
        <v>160</v>
      </c>
      <c r="G215" s="20" t="s">
        <v>149</v>
      </c>
      <c r="H215" s="18">
        <v>569935</v>
      </c>
      <c r="I215" s="18">
        <v>234</v>
      </c>
      <c r="J215" s="4" t="s">
        <v>25</v>
      </c>
      <c r="K215" s="26" t="s">
        <v>11</v>
      </c>
      <c r="L215" s="172">
        <v>8</v>
      </c>
      <c r="M215" s="6">
        <v>2</v>
      </c>
      <c r="N215" s="6"/>
      <c r="O215" s="6">
        <v>0</v>
      </c>
      <c r="P215" s="6"/>
      <c r="Q215" s="7">
        <v>2</v>
      </c>
      <c r="R215" s="6"/>
      <c r="S215" s="1">
        <v>1</v>
      </c>
      <c r="U215" s="1">
        <v>0</v>
      </c>
      <c r="W215" s="1" t="str">
        <f t="shared" si="3"/>
        <v>No</v>
      </c>
    </row>
    <row r="216" spans="1:23" s="1" customFormat="1" ht="11.25">
      <c r="A216" s="2" t="s">
        <v>933</v>
      </c>
      <c r="B216" s="21" t="s">
        <v>838</v>
      </c>
      <c r="C216" s="26" t="s">
        <v>29</v>
      </c>
      <c r="D216" s="163">
        <v>1048</v>
      </c>
      <c r="E216" s="166">
        <v>10048</v>
      </c>
      <c r="F216" s="92" t="s">
        <v>269</v>
      </c>
      <c r="G216" s="20" t="s">
        <v>149</v>
      </c>
      <c r="H216" s="18">
        <v>924859</v>
      </c>
      <c r="I216" s="18">
        <v>233</v>
      </c>
      <c r="J216" s="4" t="s">
        <v>25</v>
      </c>
      <c r="K216" s="26" t="s">
        <v>11</v>
      </c>
      <c r="L216" s="172">
        <v>9</v>
      </c>
      <c r="M216" s="6">
        <v>0</v>
      </c>
      <c r="N216" s="6"/>
      <c r="O216" s="6">
        <v>0</v>
      </c>
      <c r="P216" s="6"/>
      <c r="Q216" s="7">
        <v>0</v>
      </c>
      <c r="R216" s="6"/>
      <c r="S216" s="1">
        <v>0</v>
      </c>
      <c r="U216" s="1">
        <v>0</v>
      </c>
      <c r="W216" s="1" t="str">
        <f t="shared" si="3"/>
        <v>No</v>
      </c>
    </row>
    <row r="217" spans="1:23" s="1" customFormat="1" ht="11.25">
      <c r="A217" s="2" t="s">
        <v>933</v>
      </c>
      <c r="B217" s="21" t="s">
        <v>838</v>
      </c>
      <c r="C217" s="26" t="s">
        <v>29</v>
      </c>
      <c r="D217" s="163">
        <v>1048</v>
      </c>
      <c r="E217" s="166">
        <v>10048</v>
      </c>
      <c r="F217" s="92" t="s">
        <v>269</v>
      </c>
      <c r="G217" s="20" t="s">
        <v>149</v>
      </c>
      <c r="H217" s="18">
        <v>924859</v>
      </c>
      <c r="I217" s="18">
        <v>233</v>
      </c>
      <c r="J217" s="4" t="s">
        <v>12</v>
      </c>
      <c r="K217" s="26" t="s">
        <v>11</v>
      </c>
      <c r="L217" s="172">
        <v>224</v>
      </c>
      <c r="M217" s="6">
        <v>0</v>
      </c>
      <c r="N217" s="6"/>
      <c r="O217" s="6">
        <v>0</v>
      </c>
      <c r="P217" s="6"/>
      <c r="Q217" s="7">
        <v>0</v>
      </c>
      <c r="R217" s="6"/>
      <c r="S217" s="1">
        <v>0</v>
      </c>
      <c r="U217" s="1">
        <v>0</v>
      </c>
      <c r="W217" s="1" t="str">
        <f t="shared" si="3"/>
        <v>No</v>
      </c>
    </row>
    <row r="218" spans="1:23" s="1" customFormat="1" ht="11.25">
      <c r="A218" s="2" t="s">
        <v>1164</v>
      </c>
      <c r="B218" s="21" t="s">
        <v>1165</v>
      </c>
      <c r="C218" s="26" t="s">
        <v>19</v>
      </c>
      <c r="D218" s="163">
        <v>9030</v>
      </c>
      <c r="E218" s="166">
        <v>90030</v>
      </c>
      <c r="F218" s="92" t="s">
        <v>160</v>
      </c>
      <c r="G218" s="20" t="s">
        <v>149</v>
      </c>
      <c r="H218" s="18">
        <v>2956746</v>
      </c>
      <c r="I218" s="18">
        <v>229</v>
      </c>
      <c r="J218" s="4" t="s">
        <v>20</v>
      </c>
      <c r="K218" s="26" t="s">
        <v>15</v>
      </c>
      <c r="L218" s="172">
        <v>24</v>
      </c>
      <c r="M218" s="6">
        <v>8</v>
      </c>
      <c r="N218" s="6"/>
      <c r="O218" s="6">
        <v>0</v>
      </c>
      <c r="P218" s="6"/>
      <c r="Q218" s="7">
        <v>8</v>
      </c>
      <c r="R218" s="6"/>
      <c r="S218" s="1">
        <v>2</v>
      </c>
      <c r="U218" s="1">
        <v>0</v>
      </c>
      <c r="W218" s="1" t="str">
        <f t="shared" si="3"/>
        <v>No</v>
      </c>
    </row>
    <row r="219" spans="1:23" s="1" customFormat="1" ht="11.25">
      <c r="A219" s="2" t="s">
        <v>960</v>
      </c>
      <c r="B219" s="21" t="s">
        <v>234</v>
      </c>
      <c r="C219" s="26" t="s">
        <v>37</v>
      </c>
      <c r="D219" s="163">
        <v>7010</v>
      </c>
      <c r="E219" s="166">
        <v>70010</v>
      </c>
      <c r="F219" s="92" t="s">
        <v>160</v>
      </c>
      <c r="G219" s="20" t="s">
        <v>149</v>
      </c>
      <c r="H219" s="18">
        <v>450070</v>
      </c>
      <c r="I219" s="18">
        <v>229</v>
      </c>
      <c r="J219" s="4" t="s">
        <v>12</v>
      </c>
      <c r="K219" s="26" t="s">
        <v>11</v>
      </c>
      <c r="L219" s="172">
        <v>112</v>
      </c>
      <c r="M219" s="6">
        <v>1</v>
      </c>
      <c r="N219" s="6"/>
      <c r="O219" s="6">
        <v>0</v>
      </c>
      <c r="P219" s="6"/>
      <c r="Q219" s="7">
        <v>1</v>
      </c>
      <c r="R219" s="6"/>
      <c r="S219" s="1">
        <v>1</v>
      </c>
      <c r="U219" s="1">
        <v>0</v>
      </c>
      <c r="W219" s="1" t="str">
        <f t="shared" si="3"/>
        <v>No</v>
      </c>
    </row>
    <row r="220" spans="1:23" s="1" customFormat="1" ht="11.25">
      <c r="A220" s="2" t="s">
        <v>1164</v>
      </c>
      <c r="B220" s="21" t="s">
        <v>1165</v>
      </c>
      <c r="C220" s="26" t="s">
        <v>19</v>
      </c>
      <c r="D220" s="163">
        <v>9030</v>
      </c>
      <c r="E220" s="166">
        <v>90030</v>
      </c>
      <c r="F220" s="92" t="s">
        <v>160</v>
      </c>
      <c r="G220" s="20" t="s">
        <v>149</v>
      </c>
      <c r="H220" s="18">
        <v>2956746</v>
      </c>
      <c r="I220" s="18">
        <v>229</v>
      </c>
      <c r="J220" s="4" t="s">
        <v>12</v>
      </c>
      <c r="K220" s="26" t="s">
        <v>15</v>
      </c>
      <c r="L220" s="172">
        <v>137</v>
      </c>
      <c r="M220" s="6">
        <v>1</v>
      </c>
      <c r="N220" s="6"/>
      <c r="O220" s="6">
        <v>0</v>
      </c>
      <c r="P220" s="6"/>
      <c r="Q220" s="7">
        <v>1</v>
      </c>
      <c r="R220" s="6"/>
      <c r="S220" s="1">
        <v>0</v>
      </c>
      <c r="U220" s="1">
        <v>0</v>
      </c>
      <c r="W220" s="1" t="str">
        <f t="shared" si="3"/>
        <v>No</v>
      </c>
    </row>
    <row r="221" spans="1:23" s="1" customFormat="1" ht="11.25">
      <c r="A221" s="2" t="s">
        <v>1238</v>
      </c>
      <c r="B221" s="21" t="s">
        <v>208</v>
      </c>
      <c r="C221" s="26" t="s">
        <v>19</v>
      </c>
      <c r="D221" s="163">
        <v>9019</v>
      </c>
      <c r="E221" s="166">
        <v>90019</v>
      </c>
      <c r="F221" s="92" t="s">
        <v>160</v>
      </c>
      <c r="G221" s="20" t="s">
        <v>149</v>
      </c>
      <c r="H221" s="18">
        <v>1723634</v>
      </c>
      <c r="I221" s="18">
        <v>229</v>
      </c>
      <c r="J221" s="4" t="s">
        <v>18</v>
      </c>
      <c r="K221" s="26" t="s">
        <v>11</v>
      </c>
      <c r="L221" s="172">
        <v>69</v>
      </c>
      <c r="M221" s="6">
        <v>41</v>
      </c>
      <c r="N221" s="6"/>
      <c r="O221" s="6">
        <v>0</v>
      </c>
      <c r="P221" s="6"/>
      <c r="Q221" s="7">
        <v>41</v>
      </c>
      <c r="R221" s="6"/>
      <c r="S221" s="1">
        <v>8</v>
      </c>
      <c r="U221" s="1">
        <v>0</v>
      </c>
      <c r="W221" s="1" t="str">
        <f t="shared" si="3"/>
        <v>No</v>
      </c>
    </row>
    <row r="222" spans="1:23" s="1" customFormat="1" ht="11.25">
      <c r="A222" s="2" t="s">
        <v>1164</v>
      </c>
      <c r="B222" s="21" t="s">
        <v>1165</v>
      </c>
      <c r="C222" s="26" t="s">
        <v>19</v>
      </c>
      <c r="D222" s="163">
        <v>9030</v>
      </c>
      <c r="E222" s="166">
        <v>90030</v>
      </c>
      <c r="F222" s="92" t="s">
        <v>160</v>
      </c>
      <c r="G222" s="20" t="s">
        <v>149</v>
      </c>
      <c r="H222" s="18">
        <v>2956746</v>
      </c>
      <c r="I222" s="18">
        <v>229</v>
      </c>
      <c r="J222" s="4" t="s">
        <v>26</v>
      </c>
      <c r="K222" s="26" t="s">
        <v>15</v>
      </c>
      <c r="L222" s="172">
        <v>8</v>
      </c>
      <c r="M222" s="6">
        <v>15</v>
      </c>
      <c r="N222" s="6"/>
      <c r="O222" s="6">
        <v>0</v>
      </c>
      <c r="P222" s="6"/>
      <c r="Q222" s="7">
        <v>15</v>
      </c>
      <c r="R222" s="6"/>
      <c r="S222" s="1">
        <v>1</v>
      </c>
      <c r="U222" s="1">
        <v>0</v>
      </c>
      <c r="W222" s="1" t="str">
        <f t="shared" si="3"/>
        <v>No</v>
      </c>
    </row>
    <row r="223" spans="1:23" s="1" customFormat="1" ht="11.25">
      <c r="A223" s="2" t="s">
        <v>1238</v>
      </c>
      <c r="B223" s="21" t="s">
        <v>208</v>
      </c>
      <c r="C223" s="26" t="s">
        <v>19</v>
      </c>
      <c r="D223" s="163">
        <v>9019</v>
      </c>
      <c r="E223" s="166">
        <v>90019</v>
      </c>
      <c r="F223" s="92" t="s">
        <v>160</v>
      </c>
      <c r="G223" s="20" t="s">
        <v>149</v>
      </c>
      <c r="H223" s="18">
        <v>1723634</v>
      </c>
      <c r="I223" s="18">
        <v>229</v>
      </c>
      <c r="J223" s="4" t="s">
        <v>12</v>
      </c>
      <c r="K223" s="26" t="s">
        <v>11</v>
      </c>
      <c r="L223" s="172">
        <v>158</v>
      </c>
      <c r="M223" s="6">
        <v>34</v>
      </c>
      <c r="N223" s="6"/>
      <c r="O223" s="6">
        <v>0</v>
      </c>
      <c r="P223" s="6"/>
      <c r="Q223" s="7">
        <v>34</v>
      </c>
      <c r="R223" s="6"/>
      <c r="S223" s="1">
        <v>0</v>
      </c>
      <c r="U223" s="1">
        <v>0</v>
      </c>
      <c r="W223" s="1" t="str">
        <f t="shared" si="3"/>
        <v>No</v>
      </c>
    </row>
    <row r="224" spans="1:23" s="1" customFormat="1" ht="11.25">
      <c r="A224" s="2" t="s">
        <v>63</v>
      </c>
      <c r="B224" s="21" t="s">
        <v>535</v>
      </c>
      <c r="C224" s="26" t="s">
        <v>62</v>
      </c>
      <c r="D224" s="163">
        <v>2122</v>
      </c>
      <c r="E224" s="166">
        <v>20122</v>
      </c>
      <c r="F224" s="92" t="s">
        <v>148</v>
      </c>
      <c r="G224" s="20" t="s">
        <v>149</v>
      </c>
      <c r="H224" s="18">
        <v>18351295</v>
      </c>
      <c r="I224" s="18">
        <v>225</v>
      </c>
      <c r="J224" s="4" t="s">
        <v>21</v>
      </c>
      <c r="K224" s="26" t="s">
        <v>11</v>
      </c>
      <c r="L224" s="172">
        <v>225</v>
      </c>
      <c r="M224" s="6">
        <v>2</v>
      </c>
      <c r="N224" s="6"/>
      <c r="O224" s="6">
        <v>0</v>
      </c>
      <c r="P224" s="6"/>
      <c r="Q224" s="7">
        <v>2</v>
      </c>
      <c r="R224" s="6"/>
      <c r="S224" s="1">
        <v>2</v>
      </c>
      <c r="U224" s="1">
        <v>0</v>
      </c>
      <c r="W224" s="1" t="str">
        <f t="shared" si="3"/>
        <v>No</v>
      </c>
    </row>
    <row r="225" spans="1:23" s="1" customFormat="1" ht="11.25">
      <c r="A225" s="2" t="s">
        <v>53</v>
      </c>
      <c r="B225" s="21" t="s">
        <v>1105</v>
      </c>
      <c r="C225" s="26" t="s">
        <v>52</v>
      </c>
      <c r="D225" s="163">
        <v>5154</v>
      </c>
      <c r="E225" s="166">
        <v>50154</v>
      </c>
      <c r="F225" s="92" t="s">
        <v>152</v>
      </c>
      <c r="G225" s="20" t="s">
        <v>149</v>
      </c>
      <c r="H225" s="18">
        <v>2650890</v>
      </c>
      <c r="I225" s="18">
        <v>220</v>
      </c>
      <c r="J225" s="4" t="s">
        <v>12</v>
      </c>
      <c r="K225" s="26" t="s">
        <v>15</v>
      </c>
      <c r="L225" s="172">
        <v>70</v>
      </c>
      <c r="M225" s="6">
        <v>19</v>
      </c>
      <c r="N225" s="6"/>
      <c r="O225" s="6">
        <v>0</v>
      </c>
      <c r="P225" s="6"/>
      <c r="Q225" s="7">
        <v>19</v>
      </c>
      <c r="R225" s="6"/>
      <c r="S225" s="1">
        <v>22</v>
      </c>
      <c r="U225" s="1">
        <v>5</v>
      </c>
      <c r="W225" s="1" t="str">
        <f t="shared" si="3"/>
        <v>No</v>
      </c>
    </row>
    <row r="226" spans="1:23" s="1" customFormat="1" ht="11.25">
      <c r="A226" s="2" t="s">
        <v>1220</v>
      </c>
      <c r="B226" s="21" t="s">
        <v>320</v>
      </c>
      <c r="C226" s="26" t="s">
        <v>68</v>
      </c>
      <c r="D226" s="163">
        <v>9001</v>
      </c>
      <c r="E226" s="166">
        <v>90001</v>
      </c>
      <c r="F226" s="92" t="s">
        <v>160</v>
      </c>
      <c r="G226" s="20" t="s">
        <v>149</v>
      </c>
      <c r="H226" s="18">
        <v>392141</v>
      </c>
      <c r="I226" s="18">
        <v>219</v>
      </c>
      <c r="J226" s="4" t="s">
        <v>21</v>
      </c>
      <c r="K226" s="26" t="s">
        <v>15</v>
      </c>
      <c r="L226" s="172">
        <v>3</v>
      </c>
      <c r="M226" s="6">
        <v>0</v>
      </c>
      <c r="N226" s="6"/>
      <c r="O226" s="6">
        <v>0</v>
      </c>
      <c r="P226" s="6"/>
      <c r="Q226" s="7">
        <v>0</v>
      </c>
      <c r="R226" s="6"/>
      <c r="S226" s="1">
        <v>0</v>
      </c>
      <c r="U226" s="1">
        <v>0</v>
      </c>
      <c r="W226" s="1" t="str">
        <f t="shared" si="3"/>
        <v>No</v>
      </c>
    </row>
    <row r="227" spans="1:23" s="1" customFormat="1" ht="11.25">
      <c r="A227" s="2" t="s">
        <v>1220</v>
      </c>
      <c r="B227" s="21" t="s">
        <v>320</v>
      </c>
      <c r="C227" s="26" t="s">
        <v>68</v>
      </c>
      <c r="D227" s="163">
        <v>9001</v>
      </c>
      <c r="E227" s="166">
        <v>90001</v>
      </c>
      <c r="F227" s="92" t="s">
        <v>160</v>
      </c>
      <c r="G227" s="20" t="s">
        <v>149</v>
      </c>
      <c r="H227" s="18">
        <v>392141</v>
      </c>
      <c r="I227" s="18">
        <v>219</v>
      </c>
      <c r="J227" s="4" t="s">
        <v>12</v>
      </c>
      <c r="K227" s="26" t="s">
        <v>15</v>
      </c>
      <c r="L227" s="172">
        <v>54</v>
      </c>
      <c r="M227" s="6">
        <v>2</v>
      </c>
      <c r="N227" s="6"/>
      <c r="O227" s="6">
        <v>0</v>
      </c>
      <c r="P227" s="6"/>
      <c r="Q227" s="7">
        <v>2</v>
      </c>
      <c r="R227" s="6"/>
      <c r="S227" s="1">
        <v>0</v>
      </c>
      <c r="U227" s="1">
        <v>0</v>
      </c>
      <c r="W227" s="1" t="str">
        <f t="shared" si="3"/>
        <v>No</v>
      </c>
    </row>
    <row r="228" spans="1:23" s="1" customFormat="1" ht="11.25">
      <c r="A228" s="2" t="s">
        <v>1321</v>
      </c>
      <c r="B228" s="21" t="s">
        <v>1322</v>
      </c>
      <c r="C228" s="26" t="s">
        <v>71</v>
      </c>
      <c r="D228" s="163">
        <v>5022</v>
      </c>
      <c r="E228" s="166">
        <v>50022</v>
      </c>
      <c r="F228" s="92" t="s">
        <v>160</v>
      </c>
      <c r="G228" s="20" t="s">
        <v>149</v>
      </c>
      <c r="H228" s="18">
        <v>507643</v>
      </c>
      <c r="I228" s="18">
        <v>214</v>
      </c>
      <c r="J228" s="4" t="s">
        <v>12</v>
      </c>
      <c r="K228" s="26" t="s">
        <v>11</v>
      </c>
      <c r="L228" s="172">
        <v>99</v>
      </c>
      <c r="M228" s="6">
        <v>5</v>
      </c>
      <c r="N228" s="6"/>
      <c r="O228" s="6">
        <v>0</v>
      </c>
      <c r="P228" s="6"/>
      <c r="Q228" s="7">
        <v>5</v>
      </c>
      <c r="R228" s="6"/>
      <c r="S228" s="1">
        <v>2</v>
      </c>
      <c r="U228" s="1">
        <v>1</v>
      </c>
      <c r="W228" s="1" t="str">
        <f t="shared" si="3"/>
        <v>No</v>
      </c>
    </row>
    <row r="229" spans="1:23" s="1" customFormat="1" ht="11.25">
      <c r="A229" s="2" t="s">
        <v>1687</v>
      </c>
      <c r="B229" s="21" t="s">
        <v>263</v>
      </c>
      <c r="C229" s="26" t="s">
        <v>69</v>
      </c>
      <c r="D229" s="163">
        <v>2018</v>
      </c>
      <c r="E229" s="166">
        <v>20018</v>
      </c>
      <c r="F229" s="92" t="s">
        <v>160</v>
      </c>
      <c r="G229" s="20" t="s">
        <v>149</v>
      </c>
      <c r="H229" s="18">
        <v>412317</v>
      </c>
      <c r="I229" s="18">
        <v>213</v>
      </c>
      <c r="J229" s="4" t="s">
        <v>12</v>
      </c>
      <c r="K229" s="26" t="s">
        <v>11</v>
      </c>
      <c r="L229" s="172">
        <v>161</v>
      </c>
      <c r="M229" s="6">
        <v>1</v>
      </c>
      <c r="N229" s="6"/>
      <c r="O229" s="6">
        <v>0</v>
      </c>
      <c r="P229" s="6"/>
      <c r="Q229" s="7">
        <v>1</v>
      </c>
      <c r="R229" s="6"/>
      <c r="S229" s="1">
        <v>0</v>
      </c>
      <c r="U229" s="1">
        <v>0</v>
      </c>
      <c r="W229" s="1" t="str">
        <f t="shared" si="3"/>
        <v>No</v>
      </c>
    </row>
    <row r="230" spans="1:23" s="1" customFormat="1" ht="11.25">
      <c r="A230" s="2" t="s">
        <v>1827</v>
      </c>
      <c r="B230" s="21" t="s">
        <v>1106</v>
      </c>
      <c r="C230" s="26" t="s">
        <v>71</v>
      </c>
      <c r="D230" s="163">
        <v>5010</v>
      </c>
      <c r="E230" s="166">
        <v>50010</v>
      </c>
      <c r="F230" s="92" t="s">
        <v>160</v>
      </c>
      <c r="G230" s="20" t="s">
        <v>149</v>
      </c>
      <c r="H230" s="18">
        <v>569499</v>
      </c>
      <c r="I230" s="18">
        <v>212</v>
      </c>
      <c r="J230" s="4" t="s">
        <v>12</v>
      </c>
      <c r="K230" s="26" t="s">
        <v>11</v>
      </c>
      <c r="L230" s="172">
        <v>122</v>
      </c>
      <c r="M230" s="6">
        <v>2</v>
      </c>
      <c r="N230" s="6"/>
      <c r="O230" s="6">
        <v>0</v>
      </c>
      <c r="P230" s="6"/>
      <c r="Q230" s="7">
        <v>2</v>
      </c>
      <c r="R230" s="6"/>
      <c r="S230" s="1">
        <v>0</v>
      </c>
      <c r="U230" s="1">
        <v>0</v>
      </c>
      <c r="W230" s="1" t="str">
        <f t="shared" si="3"/>
        <v>No</v>
      </c>
    </row>
    <row r="231" spans="1:23" s="1" customFormat="1" ht="11.25">
      <c r="A231" s="2" t="s">
        <v>988</v>
      </c>
      <c r="B231" s="21" t="s">
        <v>989</v>
      </c>
      <c r="C231" s="26" t="s">
        <v>84</v>
      </c>
      <c r="D231" s="163">
        <v>6007</v>
      </c>
      <c r="E231" s="166">
        <v>60007</v>
      </c>
      <c r="F231" s="92" t="s">
        <v>160</v>
      </c>
      <c r="G231" s="20" t="s">
        <v>149</v>
      </c>
      <c r="H231" s="18">
        <v>5121892</v>
      </c>
      <c r="I231" s="18">
        <v>209</v>
      </c>
      <c r="J231" s="4" t="s">
        <v>12</v>
      </c>
      <c r="K231" s="26" t="s">
        <v>15</v>
      </c>
      <c r="L231" s="172">
        <v>4</v>
      </c>
      <c r="M231" s="6">
        <v>0</v>
      </c>
      <c r="N231" s="6"/>
      <c r="O231" s="6">
        <v>0</v>
      </c>
      <c r="P231" s="6"/>
      <c r="Q231" s="7">
        <v>0</v>
      </c>
      <c r="R231" s="6"/>
      <c r="S231" s="1">
        <v>0</v>
      </c>
      <c r="U231" s="1">
        <v>0</v>
      </c>
      <c r="W231" s="1" t="str">
        <f t="shared" si="3"/>
        <v>No</v>
      </c>
    </row>
    <row r="232" spans="1:23" s="1" customFormat="1" ht="11.25">
      <c r="A232" s="2" t="s">
        <v>1035</v>
      </c>
      <c r="B232" s="21" t="s">
        <v>833</v>
      </c>
      <c r="C232" s="26" t="s">
        <v>40</v>
      </c>
      <c r="D232" s="163">
        <v>5050</v>
      </c>
      <c r="E232" s="166">
        <v>50050</v>
      </c>
      <c r="F232" s="92" t="s">
        <v>160</v>
      </c>
      <c r="G232" s="20" t="s">
        <v>149</v>
      </c>
      <c r="H232" s="18">
        <v>1487483</v>
      </c>
      <c r="I232" s="18">
        <v>209</v>
      </c>
      <c r="J232" s="4" t="s">
        <v>12</v>
      </c>
      <c r="K232" s="26" t="s">
        <v>11</v>
      </c>
      <c r="L232" s="172">
        <v>138</v>
      </c>
      <c r="M232" s="6">
        <v>1</v>
      </c>
      <c r="N232" s="6"/>
      <c r="O232" s="6">
        <v>0</v>
      </c>
      <c r="P232" s="6"/>
      <c r="Q232" s="7">
        <v>1</v>
      </c>
      <c r="R232" s="6"/>
      <c r="S232" s="1">
        <v>0</v>
      </c>
      <c r="U232" s="1">
        <v>0</v>
      </c>
      <c r="W232" s="1" t="str">
        <f t="shared" si="3"/>
        <v>No</v>
      </c>
    </row>
    <row r="233" spans="1:23" s="1" customFormat="1" ht="11.25">
      <c r="A233" s="2" t="s">
        <v>988</v>
      </c>
      <c r="B233" s="21" t="s">
        <v>989</v>
      </c>
      <c r="C233" s="26" t="s">
        <v>84</v>
      </c>
      <c r="D233" s="163">
        <v>6007</v>
      </c>
      <c r="E233" s="166">
        <v>60007</v>
      </c>
      <c r="F233" s="92" t="s">
        <v>160</v>
      </c>
      <c r="G233" s="20" t="s">
        <v>149</v>
      </c>
      <c r="H233" s="18">
        <v>5121892</v>
      </c>
      <c r="I233" s="18">
        <v>209</v>
      </c>
      <c r="J233" s="4" t="s">
        <v>12</v>
      </c>
      <c r="K233" s="26" t="s">
        <v>11</v>
      </c>
      <c r="L233" s="172">
        <v>123</v>
      </c>
      <c r="M233" s="6">
        <v>5</v>
      </c>
      <c r="N233" s="6"/>
      <c r="O233" s="6">
        <v>0</v>
      </c>
      <c r="P233" s="6"/>
      <c r="Q233" s="7">
        <v>5</v>
      </c>
      <c r="R233" s="6"/>
      <c r="S233" s="1">
        <v>3</v>
      </c>
      <c r="U233" s="1">
        <v>0</v>
      </c>
      <c r="W233" s="1" t="str">
        <f t="shared" si="3"/>
        <v>No</v>
      </c>
    </row>
    <row r="234" spans="1:23" s="1" customFormat="1" ht="11.25">
      <c r="A234" s="2" t="s">
        <v>632</v>
      </c>
      <c r="B234" s="21" t="s">
        <v>633</v>
      </c>
      <c r="C234" s="26" t="s">
        <v>51</v>
      </c>
      <c r="D234" s="163">
        <v>5148</v>
      </c>
      <c r="E234" s="166">
        <v>50148</v>
      </c>
      <c r="F234" s="92" t="s">
        <v>160</v>
      </c>
      <c r="G234" s="20" t="s">
        <v>149</v>
      </c>
      <c r="H234" s="18">
        <v>87106</v>
      </c>
      <c r="I234" s="18">
        <v>202</v>
      </c>
      <c r="J234" s="4" t="s">
        <v>21</v>
      </c>
      <c r="K234" s="26" t="s">
        <v>11</v>
      </c>
      <c r="L234" s="172">
        <v>3</v>
      </c>
      <c r="M234" s="6">
        <v>1</v>
      </c>
      <c r="N234" s="6"/>
      <c r="O234" s="6">
        <v>0</v>
      </c>
      <c r="P234" s="6"/>
      <c r="Q234" s="7">
        <v>1</v>
      </c>
      <c r="R234" s="6"/>
      <c r="S234" s="1">
        <v>0</v>
      </c>
      <c r="U234" s="1">
        <v>0</v>
      </c>
      <c r="W234" s="1" t="str">
        <f t="shared" si="3"/>
        <v>No</v>
      </c>
    </row>
    <row r="235" spans="1:23" s="1" customFormat="1" ht="11.25">
      <c r="A235" s="2" t="s">
        <v>1093</v>
      </c>
      <c r="B235" s="21" t="s">
        <v>661</v>
      </c>
      <c r="C235" s="26" t="s">
        <v>84</v>
      </c>
      <c r="D235" s="163">
        <v>6006</v>
      </c>
      <c r="E235" s="166">
        <v>60006</v>
      </c>
      <c r="F235" s="92" t="s">
        <v>152</v>
      </c>
      <c r="G235" s="20" t="s">
        <v>149</v>
      </c>
      <c r="H235" s="18">
        <v>803086</v>
      </c>
      <c r="I235" s="18">
        <v>202</v>
      </c>
      <c r="J235" s="4" t="s">
        <v>12</v>
      </c>
      <c r="K235" s="26" t="s">
        <v>11</v>
      </c>
      <c r="L235" s="172">
        <v>140</v>
      </c>
      <c r="M235" s="6">
        <v>8</v>
      </c>
      <c r="N235" s="6"/>
      <c r="O235" s="6">
        <v>0</v>
      </c>
      <c r="P235" s="6"/>
      <c r="Q235" s="7">
        <v>8</v>
      </c>
      <c r="R235" s="6"/>
      <c r="S235" s="1">
        <v>5</v>
      </c>
      <c r="U235" s="1">
        <v>0</v>
      </c>
      <c r="W235" s="1" t="str">
        <f t="shared" si="3"/>
        <v>No</v>
      </c>
    </row>
    <row r="236" spans="1:23" s="1" customFormat="1" ht="11.25">
      <c r="A236" s="2" t="s">
        <v>632</v>
      </c>
      <c r="B236" s="21" t="s">
        <v>633</v>
      </c>
      <c r="C236" s="26" t="s">
        <v>51</v>
      </c>
      <c r="D236" s="163">
        <v>5148</v>
      </c>
      <c r="E236" s="166">
        <v>50148</v>
      </c>
      <c r="F236" s="92" t="s">
        <v>160</v>
      </c>
      <c r="G236" s="20" t="s">
        <v>149</v>
      </c>
      <c r="H236" s="18">
        <v>87106</v>
      </c>
      <c r="I236" s="18">
        <v>202</v>
      </c>
      <c r="J236" s="4" t="s">
        <v>12</v>
      </c>
      <c r="K236" s="26" t="s">
        <v>11</v>
      </c>
      <c r="L236" s="172">
        <v>9</v>
      </c>
      <c r="M236" s="6">
        <v>1</v>
      </c>
      <c r="N236" s="6"/>
      <c r="O236" s="6">
        <v>0</v>
      </c>
      <c r="P236" s="6"/>
      <c r="Q236" s="7">
        <v>1</v>
      </c>
      <c r="R236" s="6"/>
      <c r="S236" s="1">
        <v>0</v>
      </c>
      <c r="U236" s="1">
        <v>0</v>
      </c>
      <c r="W236" s="1" t="str">
        <f t="shared" si="3"/>
        <v>No</v>
      </c>
    </row>
    <row r="237" spans="1:23" s="1" customFormat="1" ht="11.25">
      <c r="A237" s="2" t="s">
        <v>1025</v>
      </c>
      <c r="B237" s="21" t="s">
        <v>579</v>
      </c>
      <c r="C237" s="26" t="s">
        <v>32</v>
      </c>
      <c r="D237" s="163">
        <v>4041</v>
      </c>
      <c r="E237" s="166">
        <v>40041</v>
      </c>
      <c r="F237" s="92" t="s">
        <v>160</v>
      </c>
      <c r="G237" s="20" t="s">
        <v>149</v>
      </c>
      <c r="H237" s="18">
        <v>2441770</v>
      </c>
      <c r="I237" s="18">
        <v>201</v>
      </c>
      <c r="J237" s="4" t="s">
        <v>33</v>
      </c>
      <c r="K237" s="26" t="s">
        <v>11</v>
      </c>
      <c r="L237" s="172">
        <v>3</v>
      </c>
      <c r="M237" s="6">
        <v>9</v>
      </c>
      <c r="N237" s="6"/>
      <c r="O237" s="6">
        <v>0</v>
      </c>
      <c r="P237" s="6"/>
      <c r="Q237" s="7">
        <v>9</v>
      </c>
      <c r="R237" s="6"/>
      <c r="S237" s="1">
        <v>0</v>
      </c>
      <c r="U237" s="1">
        <v>0</v>
      </c>
      <c r="W237" s="1" t="str">
        <f t="shared" si="3"/>
        <v>No</v>
      </c>
    </row>
    <row r="238" spans="1:23" s="1" customFormat="1" ht="11.25">
      <c r="A238" s="2" t="s">
        <v>1025</v>
      </c>
      <c r="B238" s="21" t="s">
        <v>579</v>
      </c>
      <c r="C238" s="26" t="s">
        <v>32</v>
      </c>
      <c r="D238" s="163">
        <v>4041</v>
      </c>
      <c r="E238" s="166">
        <v>40041</v>
      </c>
      <c r="F238" s="92" t="s">
        <v>160</v>
      </c>
      <c r="G238" s="20" t="s">
        <v>149</v>
      </c>
      <c r="H238" s="18">
        <v>2441770</v>
      </c>
      <c r="I238" s="18">
        <v>201</v>
      </c>
      <c r="J238" s="4" t="s">
        <v>12</v>
      </c>
      <c r="K238" s="26" t="s">
        <v>11</v>
      </c>
      <c r="L238" s="172">
        <v>162</v>
      </c>
      <c r="M238" s="6">
        <v>5</v>
      </c>
      <c r="N238" s="6"/>
      <c r="O238" s="6">
        <v>0</v>
      </c>
      <c r="P238" s="6"/>
      <c r="Q238" s="7">
        <v>5</v>
      </c>
      <c r="R238" s="6"/>
      <c r="S238" s="1">
        <v>1</v>
      </c>
      <c r="U238" s="1">
        <v>0</v>
      </c>
      <c r="W238" s="1" t="str">
        <f t="shared" si="3"/>
        <v>No</v>
      </c>
    </row>
    <row r="239" spans="1:23" s="1" customFormat="1" ht="11.25">
      <c r="A239" s="2" t="s">
        <v>1072</v>
      </c>
      <c r="B239" s="21" t="s">
        <v>853</v>
      </c>
      <c r="C239" s="26" t="s">
        <v>19</v>
      </c>
      <c r="D239" s="163">
        <v>9023</v>
      </c>
      <c r="E239" s="166">
        <v>90023</v>
      </c>
      <c r="F239" s="92" t="s">
        <v>348</v>
      </c>
      <c r="G239" s="20" t="s">
        <v>149</v>
      </c>
      <c r="H239" s="18">
        <v>12150996</v>
      </c>
      <c r="I239" s="18">
        <v>199</v>
      </c>
      <c r="J239" s="4" t="s">
        <v>12</v>
      </c>
      <c r="K239" s="26" t="s">
        <v>11</v>
      </c>
      <c r="L239" s="172">
        <v>189</v>
      </c>
      <c r="M239" s="6">
        <v>0</v>
      </c>
      <c r="N239" s="6"/>
      <c r="O239" s="6">
        <v>0</v>
      </c>
      <c r="P239" s="6"/>
      <c r="Q239" s="7">
        <v>0</v>
      </c>
      <c r="R239" s="6"/>
      <c r="S239" s="1">
        <v>0</v>
      </c>
      <c r="U239" s="1">
        <v>0</v>
      </c>
      <c r="W239" s="1" t="str">
        <f t="shared" si="3"/>
        <v>No</v>
      </c>
    </row>
    <row r="240" spans="1:23" s="1" customFormat="1" ht="11.25">
      <c r="A240" s="2" t="s">
        <v>1281</v>
      </c>
      <c r="B240" s="21" t="s">
        <v>857</v>
      </c>
      <c r="C240" s="26" t="s">
        <v>19</v>
      </c>
      <c r="D240" s="163">
        <v>9151</v>
      </c>
      <c r="E240" s="166">
        <v>90151</v>
      </c>
      <c r="F240" s="92" t="s">
        <v>160</v>
      </c>
      <c r="G240" s="20" t="s">
        <v>149</v>
      </c>
      <c r="H240" s="18">
        <v>12150996</v>
      </c>
      <c r="I240" s="18">
        <v>195</v>
      </c>
      <c r="J240" s="4" t="s">
        <v>20</v>
      </c>
      <c r="K240" s="26" t="s">
        <v>15</v>
      </c>
      <c r="L240" s="172">
        <v>195</v>
      </c>
      <c r="M240" s="6">
        <v>59</v>
      </c>
      <c r="N240" s="6"/>
      <c r="O240" s="6">
        <v>0</v>
      </c>
      <c r="P240" s="6"/>
      <c r="Q240" s="7">
        <v>59</v>
      </c>
      <c r="R240" s="6"/>
      <c r="S240" s="1">
        <v>30</v>
      </c>
      <c r="U240" s="1">
        <v>0</v>
      </c>
      <c r="W240" s="1" t="str">
        <f t="shared" si="3"/>
        <v>No</v>
      </c>
    </row>
    <row r="241" spans="1:23" s="1" customFormat="1" ht="11.25">
      <c r="A241" s="2" t="s">
        <v>1308</v>
      </c>
      <c r="B241" s="21" t="s">
        <v>524</v>
      </c>
      <c r="C241" s="26" t="s">
        <v>67</v>
      </c>
      <c r="D241" s="163">
        <v>6019</v>
      </c>
      <c r="E241" s="166">
        <v>60019</v>
      </c>
      <c r="F241" s="92" t="s">
        <v>152</v>
      </c>
      <c r="G241" s="20" t="s">
        <v>149</v>
      </c>
      <c r="H241" s="18">
        <v>741318</v>
      </c>
      <c r="I241" s="18">
        <v>193</v>
      </c>
      <c r="J241" s="4" t="s">
        <v>12</v>
      </c>
      <c r="K241" s="26" t="s">
        <v>11</v>
      </c>
      <c r="L241" s="172">
        <v>131</v>
      </c>
      <c r="M241" s="6">
        <v>1</v>
      </c>
      <c r="N241" s="6"/>
      <c r="O241" s="6">
        <v>0</v>
      </c>
      <c r="P241" s="6"/>
      <c r="Q241" s="7">
        <v>1</v>
      </c>
      <c r="R241" s="6"/>
      <c r="S241" s="1">
        <v>0</v>
      </c>
      <c r="U241" s="1">
        <v>0</v>
      </c>
      <c r="W241" s="1" t="str">
        <f t="shared" si="3"/>
        <v>No</v>
      </c>
    </row>
    <row r="242" spans="1:23" s="1" customFormat="1" ht="11.25">
      <c r="A242" s="2" t="s">
        <v>1828</v>
      </c>
      <c r="B242" s="21" t="s">
        <v>332</v>
      </c>
      <c r="C242" s="26" t="s">
        <v>75</v>
      </c>
      <c r="D242" s="163"/>
      <c r="E242" s="166">
        <v>30202</v>
      </c>
      <c r="F242" s="92" t="s">
        <v>160</v>
      </c>
      <c r="G242" s="20" t="s">
        <v>149</v>
      </c>
      <c r="H242" s="18">
        <v>402004</v>
      </c>
      <c r="I242" s="18">
        <v>192</v>
      </c>
      <c r="J242" s="4" t="s">
        <v>12</v>
      </c>
      <c r="K242" s="26" t="s">
        <v>11</v>
      </c>
      <c r="L242" s="172">
        <v>76</v>
      </c>
      <c r="M242" s="6">
        <v>2</v>
      </c>
      <c r="N242" s="6"/>
      <c r="O242" s="6">
        <v>0</v>
      </c>
      <c r="P242" s="6"/>
      <c r="Q242" s="7">
        <v>2</v>
      </c>
      <c r="R242" s="6"/>
      <c r="S242" s="1">
        <v>2</v>
      </c>
      <c r="U242" s="1">
        <v>0</v>
      </c>
      <c r="W242" s="1" t="str">
        <f t="shared" si="3"/>
        <v>No</v>
      </c>
    </row>
    <row r="243" spans="1:23" s="1" customFormat="1" ht="11.25">
      <c r="A243" s="2" t="s">
        <v>1029</v>
      </c>
      <c r="B243" s="21" t="s">
        <v>1030</v>
      </c>
      <c r="C243" s="26" t="s">
        <v>62</v>
      </c>
      <c r="D243" s="163">
        <v>2126</v>
      </c>
      <c r="E243" s="166">
        <v>20126</v>
      </c>
      <c r="F243" s="92" t="s">
        <v>148</v>
      </c>
      <c r="G243" s="20" t="s">
        <v>149</v>
      </c>
      <c r="H243" s="18">
        <v>18351295</v>
      </c>
      <c r="I243" s="18">
        <v>184</v>
      </c>
      <c r="J243" s="4" t="s">
        <v>21</v>
      </c>
      <c r="K243" s="26" t="s">
        <v>11</v>
      </c>
      <c r="L243" s="172">
        <v>184</v>
      </c>
      <c r="M243" s="6">
        <v>4</v>
      </c>
      <c r="N243" s="6"/>
      <c r="O243" s="6">
        <v>0</v>
      </c>
      <c r="P243" s="6"/>
      <c r="Q243" s="7">
        <v>4</v>
      </c>
      <c r="R243" s="6"/>
      <c r="S243" s="1">
        <v>12</v>
      </c>
      <c r="U243" s="1">
        <v>0</v>
      </c>
      <c r="W243" s="1" t="str">
        <f t="shared" si="3"/>
        <v>No</v>
      </c>
    </row>
    <row r="244" spans="1:23" s="1" customFormat="1" ht="11.25">
      <c r="A244" s="2" t="s">
        <v>905</v>
      </c>
      <c r="B244" s="21" t="s">
        <v>906</v>
      </c>
      <c r="C244" s="26" t="s">
        <v>88</v>
      </c>
      <c r="D244" s="163">
        <v>24</v>
      </c>
      <c r="E244" s="166">
        <v>24</v>
      </c>
      <c r="F244" s="92" t="s">
        <v>160</v>
      </c>
      <c r="G244" s="20" t="s">
        <v>149</v>
      </c>
      <c r="H244" s="18">
        <v>1849898</v>
      </c>
      <c r="I244" s="18">
        <v>181</v>
      </c>
      <c r="J244" s="4" t="s">
        <v>12</v>
      </c>
      <c r="K244" s="26" t="s">
        <v>11</v>
      </c>
      <c r="L244" s="172">
        <v>56</v>
      </c>
      <c r="M244" s="6">
        <v>3</v>
      </c>
      <c r="N244" s="6"/>
      <c r="O244" s="6">
        <v>0</v>
      </c>
      <c r="P244" s="6"/>
      <c r="Q244" s="7">
        <v>3</v>
      </c>
      <c r="R244" s="6"/>
      <c r="S244" s="1">
        <v>0</v>
      </c>
      <c r="U244" s="1">
        <v>0</v>
      </c>
      <c r="W244" s="1" t="str">
        <f t="shared" si="3"/>
        <v>No</v>
      </c>
    </row>
    <row r="245" spans="1:23" s="1" customFormat="1" ht="11.25">
      <c r="A245" s="2" t="s">
        <v>905</v>
      </c>
      <c r="B245" s="21" t="s">
        <v>906</v>
      </c>
      <c r="C245" s="26" t="s">
        <v>88</v>
      </c>
      <c r="D245" s="163">
        <v>24</v>
      </c>
      <c r="E245" s="166">
        <v>24</v>
      </c>
      <c r="F245" s="92" t="s">
        <v>160</v>
      </c>
      <c r="G245" s="20" t="s">
        <v>149</v>
      </c>
      <c r="H245" s="18">
        <v>1849898</v>
      </c>
      <c r="I245" s="18">
        <v>181</v>
      </c>
      <c r="J245" s="4" t="s">
        <v>21</v>
      </c>
      <c r="K245" s="26" t="s">
        <v>11</v>
      </c>
      <c r="L245" s="172">
        <v>43</v>
      </c>
      <c r="M245" s="6">
        <v>3</v>
      </c>
      <c r="N245" s="6"/>
      <c r="O245" s="6">
        <v>0</v>
      </c>
      <c r="P245" s="6"/>
      <c r="Q245" s="7">
        <v>3</v>
      </c>
      <c r="R245" s="6"/>
      <c r="S245" s="1">
        <v>0</v>
      </c>
      <c r="U245" s="1">
        <v>0</v>
      </c>
      <c r="W245" s="1" t="str">
        <f t="shared" si="3"/>
        <v>No</v>
      </c>
    </row>
    <row r="246" spans="1:23" s="1" customFormat="1" ht="11.25">
      <c r="A246" s="2" t="s">
        <v>1118</v>
      </c>
      <c r="B246" s="21" t="s">
        <v>360</v>
      </c>
      <c r="C246" s="26" t="s">
        <v>71</v>
      </c>
      <c r="D246" s="163">
        <v>5017</v>
      </c>
      <c r="E246" s="166">
        <v>50017</v>
      </c>
      <c r="F246" s="92" t="s">
        <v>160</v>
      </c>
      <c r="G246" s="20" t="s">
        <v>149</v>
      </c>
      <c r="H246" s="18">
        <v>724091</v>
      </c>
      <c r="I246" s="18">
        <v>179</v>
      </c>
      <c r="J246" s="4" t="s">
        <v>46</v>
      </c>
      <c r="K246" s="26" t="s">
        <v>11</v>
      </c>
      <c r="L246" s="172">
        <v>26</v>
      </c>
      <c r="M246" s="6">
        <v>4</v>
      </c>
      <c r="N246" s="6"/>
      <c r="O246" s="6">
        <v>0</v>
      </c>
      <c r="P246" s="6"/>
      <c r="Q246" s="7">
        <v>4</v>
      </c>
      <c r="R246" s="6"/>
      <c r="S246" s="1">
        <v>0</v>
      </c>
      <c r="U246" s="1">
        <v>0</v>
      </c>
      <c r="W246" s="1" t="str">
        <f t="shared" si="3"/>
        <v>No</v>
      </c>
    </row>
    <row r="247" spans="1:23" s="1" customFormat="1" ht="11.25">
      <c r="A247" s="2" t="s">
        <v>1118</v>
      </c>
      <c r="B247" s="21" t="s">
        <v>360</v>
      </c>
      <c r="C247" s="26" t="s">
        <v>71</v>
      </c>
      <c r="D247" s="163">
        <v>5017</v>
      </c>
      <c r="E247" s="166">
        <v>50017</v>
      </c>
      <c r="F247" s="92" t="s">
        <v>160</v>
      </c>
      <c r="G247" s="20" t="s">
        <v>149</v>
      </c>
      <c r="H247" s="18">
        <v>724091</v>
      </c>
      <c r="I247" s="18">
        <v>179</v>
      </c>
      <c r="J247" s="4" t="s">
        <v>12</v>
      </c>
      <c r="K247" s="26" t="s">
        <v>11</v>
      </c>
      <c r="L247" s="172">
        <v>98</v>
      </c>
      <c r="M247" s="6">
        <v>5</v>
      </c>
      <c r="N247" s="6"/>
      <c r="O247" s="6">
        <v>0</v>
      </c>
      <c r="P247" s="6"/>
      <c r="Q247" s="7">
        <v>5</v>
      </c>
      <c r="R247" s="6"/>
      <c r="S247" s="1">
        <v>0</v>
      </c>
      <c r="U247" s="1">
        <v>0</v>
      </c>
      <c r="W247" s="1" t="str">
        <f t="shared" si="3"/>
        <v>No</v>
      </c>
    </row>
    <row r="248" spans="1:23" s="1" customFormat="1" ht="11.25">
      <c r="A248" s="2" t="s">
        <v>1068</v>
      </c>
      <c r="B248" s="21" t="s">
        <v>1069</v>
      </c>
      <c r="C248" s="26" t="s">
        <v>75</v>
      </c>
      <c r="D248" s="163">
        <v>3010</v>
      </c>
      <c r="E248" s="166">
        <v>30010</v>
      </c>
      <c r="F248" s="92" t="s">
        <v>160</v>
      </c>
      <c r="G248" s="20" t="s">
        <v>149</v>
      </c>
      <c r="H248" s="18">
        <v>664651</v>
      </c>
      <c r="I248" s="18">
        <v>178</v>
      </c>
      <c r="J248" s="4" t="s">
        <v>12</v>
      </c>
      <c r="K248" s="26" t="s">
        <v>11</v>
      </c>
      <c r="L248" s="172">
        <v>72</v>
      </c>
      <c r="M248" s="6">
        <v>3</v>
      </c>
      <c r="N248" s="6"/>
      <c r="O248" s="6">
        <v>0</v>
      </c>
      <c r="P248" s="6"/>
      <c r="Q248" s="7">
        <v>3</v>
      </c>
      <c r="R248" s="6"/>
      <c r="S248" s="1">
        <v>4</v>
      </c>
      <c r="U248" s="1">
        <v>0</v>
      </c>
      <c r="W248" s="1" t="str">
        <f t="shared" si="3"/>
        <v>No</v>
      </c>
    </row>
    <row r="249" spans="1:23" s="1" customFormat="1" ht="11.25">
      <c r="A249" s="2" t="s">
        <v>1135</v>
      </c>
      <c r="B249" s="21" t="s">
        <v>1136</v>
      </c>
      <c r="C249" s="26" t="s">
        <v>45</v>
      </c>
      <c r="D249" s="163">
        <v>1061</v>
      </c>
      <c r="E249" s="166">
        <v>10061</v>
      </c>
      <c r="F249" s="92" t="s">
        <v>160</v>
      </c>
      <c r="G249" s="20" t="s">
        <v>149</v>
      </c>
      <c r="H249" s="18">
        <v>116960</v>
      </c>
      <c r="I249" s="18">
        <v>176</v>
      </c>
      <c r="J249" s="4" t="s">
        <v>12</v>
      </c>
      <c r="K249" s="26" t="s">
        <v>15</v>
      </c>
      <c r="L249" s="172">
        <v>19</v>
      </c>
      <c r="M249" s="6">
        <v>1</v>
      </c>
      <c r="N249" s="6"/>
      <c r="O249" s="6">
        <v>0</v>
      </c>
      <c r="P249" s="6"/>
      <c r="Q249" s="7">
        <v>1</v>
      </c>
      <c r="R249" s="6"/>
      <c r="S249" s="1">
        <v>3</v>
      </c>
      <c r="U249" s="1">
        <v>0</v>
      </c>
      <c r="W249" s="1" t="str">
        <f t="shared" si="3"/>
        <v>No</v>
      </c>
    </row>
    <row r="250" spans="1:23" s="1" customFormat="1" ht="11.25">
      <c r="A250" s="2" t="s">
        <v>669</v>
      </c>
      <c r="B250" s="21" t="s">
        <v>670</v>
      </c>
      <c r="C250" s="26" t="s">
        <v>51</v>
      </c>
      <c r="D250" s="163">
        <v>5036</v>
      </c>
      <c r="E250" s="166">
        <v>50036</v>
      </c>
      <c r="F250" s="92" t="s">
        <v>160</v>
      </c>
      <c r="G250" s="20" t="s">
        <v>149</v>
      </c>
      <c r="H250" s="18">
        <v>313532</v>
      </c>
      <c r="I250" s="18">
        <v>171</v>
      </c>
      <c r="J250" s="4" t="s">
        <v>12</v>
      </c>
      <c r="K250" s="26" t="s">
        <v>11</v>
      </c>
      <c r="L250" s="172">
        <v>79</v>
      </c>
      <c r="M250" s="6">
        <v>3</v>
      </c>
      <c r="N250" s="6"/>
      <c r="O250" s="6">
        <v>0</v>
      </c>
      <c r="P250" s="6"/>
      <c r="Q250" s="7">
        <v>3</v>
      </c>
      <c r="R250" s="6"/>
      <c r="S250" s="1">
        <v>0</v>
      </c>
      <c r="U250" s="1">
        <v>0</v>
      </c>
      <c r="W250" s="1" t="str">
        <f t="shared" si="3"/>
        <v>No</v>
      </c>
    </row>
    <row r="251" spans="1:23" s="1" customFormat="1" ht="11.25">
      <c r="A251" s="2" t="s">
        <v>1147</v>
      </c>
      <c r="B251" s="21" t="s">
        <v>325</v>
      </c>
      <c r="C251" s="26" t="s">
        <v>9</v>
      </c>
      <c r="D251" s="163">
        <v>12</v>
      </c>
      <c r="E251" s="166">
        <v>12</v>
      </c>
      <c r="F251" s="92" t="s">
        <v>152</v>
      </c>
      <c r="G251" s="20" t="s">
        <v>149</v>
      </c>
      <c r="H251" s="18">
        <v>251243</v>
      </c>
      <c r="I251" s="18">
        <v>170</v>
      </c>
      <c r="J251" s="4" t="s">
        <v>12</v>
      </c>
      <c r="K251" s="26" t="s">
        <v>15</v>
      </c>
      <c r="L251" s="172">
        <v>10</v>
      </c>
      <c r="M251" s="6">
        <v>0</v>
      </c>
      <c r="N251" s="6"/>
      <c r="O251" s="6">
        <v>0</v>
      </c>
      <c r="P251" s="6"/>
      <c r="Q251" s="7">
        <v>0</v>
      </c>
      <c r="R251" s="6"/>
      <c r="S251" s="1">
        <v>0</v>
      </c>
      <c r="U251" s="1">
        <v>0</v>
      </c>
      <c r="W251" s="1" t="str">
        <f t="shared" si="3"/>
        <v>No</v>
      </c>
    </row>
    <row r="252" spans="1:23" s="1" customFormat="1" ht="11.25">
      <c r="A252" s="2" t="s">
        <v>1147</v>
      </c>
      <c r="B252" s="21" t="s">
        <v>325</v>
      </c>
      <c r="C252" s="26" t="s">
        <v>9</v>
      </c>
      <c r="D252" s="163">
        <v>12</v>
      </c>
      <c r="E252" s="166">
        <v>12</v>
      </c>
      <c r="F252" s="92" t="s">
        <v>152</v>
      </c>
      <c r="G252" s="20" t="s">
        <v>149</v>
      </c>
      <c r="H252" s="18">
        <v>251243</v>
      </c>
      <c r="I252" s="18">
        <v>170</v>
      </c>
      <c r="J252" s="4" t="s">
        <v>12</v>
      </c>
      <c r="K252" s="26" t="s">
        <v>11</v>
      </c>
      <c r="L252" s="172">
        <v>43</v>
      </c>
      <c r="M252" s="6">
        <v>2</v>
      </c>
      <c r="N252" s="6"/>
      <c r="O252" s="6">
        <v>0</v>
      </c>
      <c r="P252" s="6"/>
      <c r="Q252" s="7">
        <v>2</v>
      </c>
      <c r="R252" s="6"/>
      <c r="S252" s="1">
        <v>0</v>
      </c>
      <c r="U252" s="1">
        <v>0</v>
      </c>
      <c r="W252" s="1" t="str">
        <f t="shared" si="3"/>
        <v>No</v>
      </c>
    </row>
    <row r="253" spans="1:23" s="1" customFormat="1" ht="11.25">
      <c r="A253" s="2" t="s">
        <v>1420</v>
      </c>
      <c r="B253" s="21" t="s">
        <v>1421</v>
      </c>
      <c r="C253" s="26" t="s">
        <v>19</v>
      </c>
      <c r="D253" s="163">
        <v>9008</v>
      </c>
      <c r="E253" s="166">
        <v>90008</v>
      </c>
      <c r="F253" s="92" t="s">
        <v>152</v>
      </c>
      <c r="G253" s="20" t="s">
        <v>149</v>
      </c>
      <c r="H253" s="18">
        <v>12150996</v>
      </c>
      <c r="I253" s="18">
        <v>168</v>
      </c>
      <c r="J253" s="4" t="s">
        <v>12</v>
      </c>
      <c r="K253" s="26" t="s">
        <v>11</v>
      </c>
      <c r="L253" s="172">
        <v>162</v>
      </c>
      <c r="M253" s="6">
        <v>1</v>
      </c>
      <c r="N253" s="6"/>
      <c r="O253" s="6">
        <v>0</v>
      </c>
      <c r="P253" s="6"/>
      <c r="Q253" s="7">
        <v>1</v>
      </c>
      <c r="R253" s="6"/>
      <c r="S253" s="1">
        <v>0</v>
      </c>
      <c r="U253" s="1">
        <v>0</v>
      </c>
      <c r="W253" s="1" t="str">
        <f t="shared" si="3"/>
        <v>No</v>
      </c>
    </row>
    <row r="254" spans="1:23" s="1" customFormat="1" ht="11.25">
      <c r="A254" s="2" t="s">
        <v>1218</v>
      </c>
      <c r="B254" s="21" t="s">
        <v>1219</v>
      </c>
      <c r="C254" s="26" t="s">
        <v>44</v>
      </c>
      <c r="D254" s="163">
        <v>6032</v>
      </c>
      <c r="E254" s="166">
        <v>60032</v>
      </c>
      <c r="F254" s="92" t="s">
        <v>160</v>
      </c>
      <c r="G254" s="20" t="s">
        <v>149</v>
      </c>
      <c r="H254" s="18">
        <v>899703</v>
      </c>
      <c r="I254" s="18">
        <v>165</v>
      </c>
      <c r="J254" s="4" t="s">
        <v>22</v>
      </c>
      <c r="K254" s="26" t="s">
        <v>15</v>
      </c>
      <c r="L254" s="172">
        <v>2</v>
      </c>
      <c r="M254" s="6">
        <v>4</v>
      </c>
      <c r="N254" s="6"/>
      <c r="O254" s="6">
        <v>0</v>
      </c>
      <c r="P254" s="6"/>
      <c r="Q254" s="7">
        <v>4</v>
      </c>
      <c r="R254" s="6"/>
      <c r="S254" s="1">
        <v>0</v>
      </c>
      <c r="U254" s="1">
        <v>0</v>
      </c>
      <c r="W254" s="1" t="str">
        <f t="shared" si="3"/>
        <v>No</v>
      </c>
    </row>
    <row r="255" spans="1:23" s="1" customFormat="1" ht="11.25">
      <c r="A255" s="2" t="s">
        <v>1218</v>
      </c>
      <c r="B255" s="21" t="s">
        <v>1219</v>
      </c>
      <c r="C255" s="26" t="s">
        <v>44</v>
      </c>
      <c r="D255" s="163">
        <v>6032</v>
      </c>
      <c r="E255" s="166">
        <v>60032</v>
      </c>
      <c r="F255" s="92" t="s">
        <v>160</v>
      </c>
      <c r="G255" s="20" t="s">
        <v>149</v>
      </c>
      <c r="H255" s="18">
        <v>899703</v>
      </c>
      <c r="I255" s="18">
        <v>165</v>
      </c>
      <c r="J255" s="4" t="s">
        <v>12</v>
      </c>
      <c r="K255" s="26" t="s">
        <v>15</v>
      </c>
      <c r="L255" s="172">
        <v>90</v>
      </c>
      <c r="M255" s="6">
        <v>0</v>
      </c>
      <c r="N255" s="6"/>
      <c r="O255" s="6">
        <v>0</v>
      </c>
      <c r="P255" s="6"/>
      <c r="Q255" s="7">
        <v>0</v>
      </c>
      <c r="R255" s="6"/>
      <c r="S255" s="1">
        <v>0</v>
      </c>
      <c r="U255" s="1">
        <v>0</v>
      </c>
      <c r="W255" s="1" t="str">
        <f t="shared" si="3"/>
        <v>No</v>
      </c>
    </row>
    <row r="256" spans="1:23" s="1" customFormat="1" ht="11.25">
      <c r="A256" s="2" t="s">
        <v>918</v>
      </c>
      <c r="B256" s="21" t="s">
        <v>919</v>
      </c>
      <c r="C256" s="26" t="s">
        <v>28</v>
      </c>
      <c r="D256" s="163">
        <v>8005</v>
      </c>
      <c r="E256" s="166">
        <v>80005</v>
      </c>
      <c r="F256" s="92" t="s">
        <v>152</v>
      </c>
      <c r="G256" s="20" t="s">
        <v>149</v>
      </c>
      <c r="H256" s="18">
        <v>559409</v>
      </c>
      <c r="I256" s="18">
        <v>165</v>
      </c>
      <c r="J256" s="4" t="s">
        <v>12</v>
      </c>
      <c r="K256" s="26" t="s">
        <v>15</v>
      </c>
      <c r="L256" s="172">
        <v>43</v>
      </c>
      <c r="M256" s="6">
        <v>1</v>
      </c>
      <c r="N256" s="6"/>
      <c r="O256" s="6">
        <v>0</v>
      </c>
      <c r="P256" s="6"/>
      <c r="Q256" s="7">
        <v>1</v>
      </c>
      <c r="R256" s="6"/>
      <c r="S256" s="1">
        <v>0</v>
      </c>
      <c r="U256" s="1">
        <v>0</v>
      </c>
      <c r="W256" s="1" t="str">
        <f t="shared" si="3"/>
        <v>No</v>
      </c>
    </row>
    <row r="257" spans="1:23" s="1" customFormat="1" ht="11.25">
      <c r="A257" s="2" t="s">
        <v>1218</v>
      </c>
      <c r="B257" s="21" t="s">
        <v>1219</v>
      </c>
      <c r="C257" s="26" t="s">
        <v>44</v>
      </c>
      <c r="D257" s="163">
        <v>6032</v>
      </c>
      <c r="E257" s="166">
        <v>60032</v>
      </c>
      <c r="F257" s="92" t="s">
        <v>160</v>
      </c>
      <c r="G257" s="20" t="s">
        <v>149</v>
      </c>
      <c r="H257" s="18">
        <v>899703</v>
      </c>
      <c r="I257" s="18">
        <v>165</v>
      </c>
      <c r="J257" s="4" t="s">
        <v>33</v>
      </c>
      <c r="K257" s="26" t="s">
        <v>15</v>
      </c>
      <c r="L257" s="172">
        <v>31</v>
      </c>
      <c r="M257" s="6">
        <v>16</v>
      </c>
      <c r="N257" s="6"/>
      <c r="O257" s="6">
        <v>0</v>
      </c>
      <c r="P257" s="6"/>
      <c r="Q257" s="7">
        <v>16</v>
      </c>
      <c r="R257" s="6"/>
      <c r="S257" s="1">
        <v>0</v>
      </c>
      <c r="U257" s="1">
        <v>0</v>
      </c>
      <c r="W257" s="1" t="str">
        <f t="shared" si="3"/>
        <v>No</v>
      </c>
    </row>
    <row r="258" spans="1:23" s="1" customFormat="1" ht="11.25">
      <c r="A258" s="2" t="s">
        <v>991</v>
      </c>
      <c r="B258" s="21" t="s">
        <v>196</v>
      </c>
      <c r="C258" s="26" t="s">
        <v>32</v>
      </c>
      <c r="D258" s="163">
        <v>4030</v>
      </c>
      <c r="E258" s="166">
        <v>40030</v>
      </c>
      <c r="F258" s="92" t="s">
        <v>152</v>
      </c>
      <c r="G258" s="20" t="s">
        <v>149</v>
      </c>
      <c r="H258" s="18">
        <v>187781</v>
      </c>
      <c r="I258" s="18">
        <v>158</v>
      </c>
      <c r="J258" s="4" t="s">
        <v>12</v>
      </c>
      <c r="K258" s="26" t="s">
        <v>11</v>
      </c>
      <c r="L258" s="172">
        <v>111</v>
      </c>
      <c r="M258" s="6">
        <v>2</v>
      </c>
      <c r="N258" s="6"/>
      <c r="O258" s="6">
        <v>0</v>
      </c>
      <c r="P258" s="6"/>
      <c r="Q258" s="7">
        <v>2</v>
      </c>
      <c r="R258" s="6"/>
      <c r="S258" s="1">
        <v>0</v>
      </c>
      <c r="U258" s="1">
        <v>0</v>
      </c>
      <c r="W258" s="1" t="str">
        <f t="shared" ref="W258:W321" si="4">IF(V258&amp;T258&amp;R258&amp;P258&amp;N258&lt;&gt;"","Yes","No")</f>
        <v>No</v>
      </c>
    </row>
    <row r="259" spans="1:23" s="1" customFormat="1" ht="11.25">
      <c r="A259" s="2" t="s">
        <v>569</v>
      </c>
      <c r="B259" s="21" t="s">
        <v>570</v>
      </c>
      <c r="C259" s="26" t="s">
        <v>51</v>
      </c>
      <c r="D259" s="163">
        <v>5040</v>
      </c>
      <c r="E259" s="166">
        <v>50040</v>
      </c>
      <c r="F259" s="92" t="s">
        <v>160</v>
      </c>
      <c r="G259" s="20" t="s">
        <v>149</v>
      </c>
      <c r="H259" s="18">
        <v>306022</v>
      </c>
      <c r="I259" s="18">
        <v>153</v>
      </c>
      <c r="J259" s="4" t="s">
        <v>21</v>
      </c>
      <c r="K259" s="26" t="s">
        <v>11</v>
      </c>
      <c r="L259" s="172">
        <v>2</v>
      </c>
      <c r="M259" s="6">
        <v>0</v>
      </c>
      <c r="N259" s="6"/>
      <c r="O259" s="6">
        <v>0</v>
      </c>
      <c r="P259" s="6"/>
      <c r="Q259" s="7">
        <v>0</v>
      </c>
      <c r="R259" s="6"/>
      <c r="S259" s="1">
        <v>0</v>
      </c>
      <c r="U259" s="1">
        <v>0</v>
      </c>
      <c r="W259" s="1" t="str">
        <f t="shared" si="4"/>
        <v>No</v>
      </c>
    </row>
    <row r="260" spans="1:23" s="1" customFormat="1" ht="11.25">
      <c r="A260" s="2" t="s">
        <v>569</v>
      </c>
      <c r="B260" s="21" t="s">
        <v>570</v>
      </c>
      <c r="C260" s="26" t="s">
        <v>51</v>
      </c>
      <c r="D260" s="163">
        <v>5040</v>
      </c>
      <c r="E260" s="166">
        <v>50040</v>
      </c>
      <c r="F260" s="92" t="s">
        <v>160</v>
      </c>
      <c r="G260" s="20" t="s">
        <v>149</v>
      </c>
      <c r="H260" s="18">
        <v>306022</v>
      </c>
      <c r="I260" s="18">
        <v>153</v>
      </c>
      <c r="J260" s="4" t="s">
        <v>21</v>
      </c>
      <c r="K260" s="26" t="s">
        <v>15</v>
      </c>
      <c r="L260" s="172">
        <v>2</v>
      </c>
      <c r="M260" s="6">
        <v>0</v>
      </c>
      <c r="N260" s="6"/>
      <c r="O260" s="6">
        <v>0</v>
      </c>
      <c r="P260" s="6"/>
      <c r="Q260" s="7">
        <v>0</v>
      </c>
      <c r="R260" s="6"/>
      <c r="S260" s="1">
        <v>0</v>
      </c>
      <c r="U260" s="1">
        <v>0</v>
      </c>
      <c r="W260" s="1" t="str">
        <f t="shared" si="4"/>
        <v>No</v>
      </c>
    </row>
    <row r="261" spans="1:23" s="1" customFormat="1" ht="11.25">
      <c r="A261" s="2" t="s">
        <v>569</v>
      </c>
      <c r="B261" s="21" t="s">
        <v>570</v>
      </c>
      <c r="C261" s="26" t="s">
        <v>51</v>
      </c>
      <c r="D261" s="163">
        <v>5040</v>
      </c>
      <c r="E261" s="166">
        <v>50040</v>
      </c>
      <c r="F261" s="92" t="s">
        <v>160</v>
      </c>
      <c r="G261" s="20" t="s">
        <v>149</v>
      </c>
      <c r="H261" s="18">
        <v>306022</v>
      </c>
      <c r="I261" s="18">
        <v>153</v>
      </c>
      <c r="J261" s="4" t="s">
        <v>12</v>
      </c>
      <c r="K261" s="26" t="s">
        <v>11</v>
      </c>
      <c r="L261" s="172">
        <v>84</v>
      </c>
      <c r="M261" s="6">
        <v>2</v>
      </c>
      <c r="N261" s="6"/>
      <c r="O261" s="6">
        <v>0</v>
      </c>
      <c r="P261" s="6"/>
      <c r="Q261" s="7">
        <v>2</v>
      </c>
      <c r="R261" s="6"/>
      <c r="S261" s="1">
        <v>1</v>
      </c>
      <c r="U261" s="1">
        <v>0</v>
      </c>
      <c r="W261" s="1" t="str">
        <f t="shared" si="4"/>
        <v>No</v>
      </c>
    </row>
    <row r="262" spans="1:23" s="1" customFormat="1" ht="11.25">
      <c r="A262" s="2" t="s">
        <v>995</v>
      </c>
      <c r="B262" s="21" t="s">
        <v>626</v>
      </c>
      <c r="C262" s="26" t="s">
        <v>19</v>
      </c>
      <c r="D262" s="163">
        <v>9016</v>
      </c>
      <c r="E262" s="166">
        <v>90016</v>
      </c>
      <c r="F262" s="92" t="s">
        <v>160</v>
      </c>
      <c r="G262" s="20" t="s">
        <v>149</v>
      </c>
      <c r="H262" s="18">
        <v>3281212</v>
      </c>
      <c r="I262" s="18">
        <v>146</v>
      </c>
      <c r="J262" s="4" t="s">
        <v>22</v>
      </c>
      <c r="K262" s="26" t="s">
        <v>11</v>
      </c>
      <c r="L262" s="172">
        <v>7</v>
      </c>
      <c r="M262" s="6">
        <v>5</v>
      </c>
      <c r="N262" s="6"/>
      <c r="O262" s="6">
        <v>0</v>
      </c>
      <c r="P262" s="6"/>
      <c r="Q262" s="7">
        <v>5</v>
      </c>
      <c r="R262" s="6"/>
      <c r="S262" s="1">
        <v>0</v>
      </c>
      <c r="U262" s="1">
        <v>0</v>
      </c>
      <c r="W262" s="1" t="str">
        <f t="shared" si="4"/>
        <v>No</v>
      </c>
    </row>
    <row r="263" spans="1:23" s="1" customFormat="1" ht="11.25">
      <c r="A263" s="2" t="s">
        <v>995</v>
      </c>
      <c r="B263" s="21" t="s">
        <v>626</v>
      </c>
      <c r="C263" s="26" t="s">
        <v>19</v>
      </c>
      <c r="D263" s="163">
        <v>9016</v>
      </c>
      <c r="E263" s="166">
        <v>90016</v>
      </c>
      <c r="F263" s="92" t="s">
        <v>160</v>
      </c>
      <c r="G263" s="20" t="s">
        <v>149</v>
      </c>
      <c r="H263" s="18">
        <v>3281212</v>
      </c>
      <c r="I263" s="18">
        <v>146</v>
      </c>
      <c r="J263" s="4" t="s">
        <v>12</v>
      </c>
      <c r="K263" s="26" t="s">
        <v>11</v>
      </c>
      <c r="L263" s="172">
        <v>124</v>
      </c>
      <c r="M263" s="6">
        <v>2</v>
      </c>
      <c r="N263" s="6"/>
      <c r="O263" s="6">
        <v>0</v>
      </c>
      <c r="P263" s="6"/>
      <c r="Q263" s="7">
        <v>2</v>
      </c>
      <c r="R263" s="6"/>
      <c r="S263" s="1">
        <v>0</v>
      </c>
      <c r="U263" s="1">
        <v>0</v>
      </c>
      <c r="W263" s="1" t="str">
        <f t="shared" si="4"/>
        <v>No</v>
      </c>
    </row>
    <row r="264" spans="1:23" s="1" customFormat="1" ht="11.25">
      <c r="A264" s="2" t="s">
        <v>1085</v>
      </c>
      <c r="B264" s="21" t="s">
        <v>1086</v>
      </c>
      <c r="C264" s="26" t="s">
        <v>39</v>
      </c>
      <c r="D264" s="163">
        <v>5146</v>
      </c>
      <c r="E264" s="166">
        <v>50146</v>
      </c>
      <c r="F264" s="92" t="s">
        <v>160</v>
      </c>
      <c r="G264" s="20" t="s">
        <v>149</v>
      </c>
      <c r="H264" s="18">
        <v>2150706</v>
      </c>
      <c r="I264" s="18">
        <v>144</v>
      </c>
      <c r="J264" s="4" t="s">
        <v>12</v>
      </c>
      <c r="K264" s="26" t="s">
        <v>15</v>
      </c>
      <c r="L264" s="172">
        <v>75</v>
      </c>
      <c r="M264" s="6">
        <v>5</v>
      </c>
      <c r="N264" s="6"/>
      <c r="O264" s="6">
        <v>0</v>
      </c>
      <c r="P264" s="6"/>
      <c r="Q264" s="7">
        <v>5</v>
      </c>
      <c r="R264" s="6"/>
      <c r="S264" s="1">
        <v>0</v>
      </c>
      <c r="U264" s="1">
        <v>0</v>
      </c>
      <c r="W264" s="1" t="str">
        <f t="shared" si="4"/>
        <v>No</v>
      </c>
    </row>
    <row r="265" spans="1:23" s="1" customFormat="1" ht="11.25">
      <c r="A265" s="2" t="s">
        <v>133</v>
      </c>
      <c r="B265" s="21" t="s">
        <v>1222</v>
      </c>
      <c r="C265" s="26" t="s">
        <v>57</v>
      </c>
      <c r="D265" s="163">
        <v>4108</v>
      </c>
      <c r="E265" s="166">
        <v>40108</v>
      </c>
      <c r="F265" s="92" t="s">
        <v>160</v>
      </c>
      <c r="G265" s="20" t="s">
        <v>149</v>
      </c>
      <c r="H265" s="18">
        <v>347602</v>
      </c>
      <c r="I265" s="18">
        <v>144</v>
      </c>
      <c r="J265" s="4" t="s">
        <v>12</v>
      </c>
      <c r="K265" s="26" t="s">
        <v>11</v>
      </c>
      <c r="L265" s="172">
        <v>57</v>
      </c>
      <c r="M265" s="6">
        <v>3</v>
      </c>
      <c r="N265" s="6"/>
      <c r="O265" s="6">
        <v>0</v>
      </c>
      <c r="P265" s="6"/>
      <c r="Q265" s="7">
        <v>3</v>
      </c>
      <c r="R265" s="6"/>
      <c r="S265" s="1">
        <v>0</v>
      </c>
      <c r="U265" s="1">
        <v>0</v>
      </c>
      <c r="W265" s="1" t="str">
        <f t="shared" si="4"/>
        <v>No</v>
      </c>
    </row>
    <row r="266" spans="1:23" s="1" customFormat="1" ht="11.25">
      <c r="A266" s="2" t="s">
        <v>133</v>
      </c>
      <c r="B266" s="21" t="s">
        <v>1222</v>
      </c>
      <c r="C266" s="26" t="s">
        <v>57</v>
      </c>
      <c r="D266" s="163">
        <v>4108</v>
      </c>
      <c r="E266" s="166">
        <v>40108</v>
      </c>
      <c r="F266" s="92" t="s">
        <v>160</v>
      </c>
      <c r="G266" s="20" t="s">
        <v>149</v>
      </c>
      <c r="H266" s="18">
        <v>347602</v>
      </c>
      <c r="I266" s="18">
        <v>144</v>
      </c>
      <c r="J266" s="4" t="s">
        <v>12</v>
      </c>
      <c r="K266" s="26" t="s">
        <v>15</v>
      </c>
      <c r="L266" s="172">
        <v>20</v>
      </c>
      <c r="M266" s="6">
        <v>3</v>
      </c>
      <c r="N266" s="6"/>
      <c r="O266" s="6">
        <v>0</v>
      </c>
      <c r="P266" s="6"/>
      <c r="Q266" s="7">
        <v>3</v>
      </c>
      <c r="R266" s="6"/>
      <c r="S266" s="1">
        <v>0</v>
      </c>
      <c r="U266" s="1">
        <v>0</v>
      </c>
      <c r="W266" s="1" t="str">
        <f t="shared" si="4"/>
        <v>No</v>
      </c>
    </row>
    <row r="267" spans="1:23" s="1" customFormat="1" ht="11.25">
      <c r="A267" s="2" t="s">
        <v>1284</v>
      </c>
      <c r="B267" s="21" t="s">
        <v>1285</v>
      </c>
      <c r="C267" s="26" t="s">
        <v>32</v>
      </c>
      <c r="D267" s="163">
        <v>4063</v>
      </c>
      <c r="E267" s="166">
        <v>40063</v>
      </c>
      <c r="F267" s="92" t="s">
        <v>152</v>
      </c>
      <c r="G267" s="20" t="s">
        <v>149</v>
      </c>
      <c r="H267" s="18">
        <v>452791</v>
      </c>
      <c r="I267" s="18">
        <v>142</v>
      </c>
      <c r="J267" s="4" t="s">
        <v>12</v>
      </c>
      <c r="K267" s="26" t="s">
        <v>11</v>
      </c>
      <c r="L267" s="172">
        <v>31</v>
      </c>
      <c r="M267" s="6">
        <v>0</v>
      </c>
      <c r="N267" s="6"/>
      <c r="O267" s="6">
        <v>0</v>
      </c>
      <c r="P267" s="6"/>
      <c r="Q267" s="7">
        <v>0</v>
      </c>
      <c r="R267" s="6"/>
      <c r="S267" s="1">
        <v>0</v>
      </c>
      <c r="U267" s="1">
        <v>0</v>
      </c>
      <c r="W267" s="1" t="str">
        <f t="shared" si="4"/>
        <v>No</v>
      </c>
    </row>
    <row r="268" spans="1:23" s="1" customFormat="1" ht="11.25">
      <c r="A268" s="2" t="s">
        <v>1187</v>
      </c>
      <c r="B268" s="21" t="s">
        <v>1188</v>
      </c>
      <c r="C268" s="26" t="s">
        <v>19</v>
      </c>
      <c r="D268" s="163">
        <v>9134</v>
      </c>
      <c r="E268" s="166">
        <v>90134</v>
      </c>
      <c r="F268" s="92" t="s">
        <v>160</v>
      </c>
      <c r="G268" s="20" t="s">
        <v>149</v>
      </c>
      <c r="H268" s="18">
        <v>3281212</v>
      </c>
      <c r="I268" s="18">
        <v>140</v>
      </c>
      <c r="J268" s="4" t="s">
        <v>20</v>
      </c>
      <c r="K268" s="26" t="s">
        <v>15</v>
      </c>
      <c r="L268" s="172">
        <v>108</v>
      </c>
      <c r="M268" s="6">
        <v>26</v>
      </c>
      <c r="N268" s="6"/>
      <c r="O268" s="6">
        <v>6</v>
      </c>
      <c r="P268" s="6"/>
      <c r="Q268" s="7">
        <v>32</v>
      </c>
      <c r="R268" s="6"/>
      <c r="S268" s="1">
        <v>11</v>
      </c>
      <c r="U268" s="1">
        <v>4</v>
      </c>
      <c r="W268" s="1" t="str">
        <f t="shared" si="4"/>
        <v>No</v>
      </c>
    </row>
    <row r="269" spans="1:23" s="1" customFormat="1" ht="11.25">
      <c r="A269" s="2" t="s">
        <v>1187</v>
      </c>
      <c r="B269" s="21" t="s">
        <v>1188</v>
      </c>
      <c r="C269" s="26" t="s">
        <v>19</v>
      </c>
      <c r="D269" s="163">
        <v>9134</v>
      </c>
      <c r="E269" s="166">
        <v>90134</v>
      </c>
      <c r="F269" s="92" t="s">
        <v>160</v>
      </c>
      <c r="G269" s="20" t="s">
        <v>149</v>
      </c>
      <c r="H269" s="18">
        <v>3281212</v>
      </c>
      <c r="I269" s="18">
        <v>140</v>
      </c>
      <c r="J269" s="4" t="s">
        <v>12</v>
      </c>
      <c r="K269" s="26" t="s">
        <v>15</v>
      </c>
      <c r="L269" s="172">
        <v>32</v>
      </c>
      <c r="M269" s="6">
        <v>0</v>
      </c>
      <c r="N269" s="6"/>
      <c r="O269" s="6">
        <v>0</v>
      </c>
      <c r="P269" s="6"/>
      <c r="Q269" s="7">
        <v>0</v>
      </c>
      <c r="R269" s="6"/>
      <c r="S269" s="1">
        <v>0</v>
      </c>
      <c r="U269" s="1">
        <v>0</v>
      </c>
      <c r="W269" s="1" t="str">
        <f t="shared" si="4"/>
        <v>No</v>
      </c>
    </row>
    <row r="270" spans="1:23" s="1" customFormat="1" ht="11.25">
      <c r="A270" s="2" t="s">
        <v>1097</v>
      </c>
      <c r="B270" s="21" t="s">
        <v>1098</v>
      </c>
      <c r="C270" s="26" t="s">
        <v>83</v>
      </c>
      <c r="D270" s="163">
        <v>4003</v>
      </c>
      <c r="E270" s="166">
        <v>40003</v>
      </c>
      <c r="F270" s="92" t="s">
        <v>152</v>
      </c>
      <c r="G270" s="20" t="s">
        <v>149</v>
      </c>
      <c r="H270" s="18">
        <v>1060061</v>
      </c>
      <c r="I270" s="18">
        <v>139</v>
      </c>
      <c r="J270" s="4" t="s">
        <v>12</v>
      </c>
      <c r="K270" s="26" t="s">
        <v>11</v>
      </c>
      <c r="L270" s="172">
        <v>99</v>
      </c>
      <c r="M270" s="6">
        <v>4</v>
      </c>
      <c r="N270" s="6"/>
      <c r="O270" s="6">
        <v>0</v>
      </c>
      <c r="P270" s="6"/>
      <c r="Q270" s="7">
        <v>4</v>
      </c>
      <c r="R270" s="6"/>
      <c r="S270" s="1">
        <v>2</v>
      </c>
      <c r="U270" s="1">
        <v>0</v>
      </c>
      <c r="W270" s="1" t="str">
        <f t="shared" si="4"/>
        <v>No</v>
      </c>
    </row>
    <row r="271" spans="1:23" s="1" customFormat="1" ht="11.25">
      <c r="A271" s="2" t="s">
        <v>678</v>
      </c>
      <c r="B271" s="21" t="s">
        <v>313</v>
      </c>
      <c r="C271" s="26" t="s">
        <v>19</v>
      </c>
      <c r="D271" s="163">
        <v>9078</v>
      </c>
      <c r="E271" s="166">
        <v>90078</v>
      </c>
      <c r="F271" s="92" t="s">
        <v>160</v>
      </c>
      <c r="G271" s="20" t="s">
        <v>149</v>
      </c>
      <c r="H271" s="18">
        <v>615968</v>
      </c>
      <c r="I271" s="18">
        <v>139</v>
      </c>
      <c r="J271" s="4" t="s">
        <v>12</v>
      </c>
      <c r="K271" s="26" t="s">
        <v>11</v>
      </c>
      <c r="L271" s="172">
        <v>92</v>
      </c>
      <c r="M271" s="6">
        <v>1</v>
      </c>
      <c r="N271" s="6"/>
      <c r="O271" s="6">
        <v>0</v>
      </c>
      <c r="P271" s="6"/>
      <c r="Q271" s="7">
        <v>1</v>
      </c>
      <c r="R271" s="6"/>
      <c r="S271" s="1">
        <v>3</v>
      </c>
      <c r="U271" s="1">
        <v>0</v>
      </c>
      <c r="W271" s="1" t="str">
        <f t="shared" si="4"/>
        <v>No</v>
      </c>
    </row>
    <row r="272" spans="1:23" s="1" customFormat="1" ht="11.25">
      <c r="A272" s="2" t="s">
        <v>1097</v>
      </c>
      <c r="B272" s="21" t="s">
        <v>1098</v>
      </c>
      <c r="C272" s="26" t="s">
        <v>83</v>
      </c>
      <c r="D272" s="163">
        <v>4003</v>
      </c>
      <c r="E272" s="166">
        <v>40003</v>
      </c>
      <c r="F272" s="92" t="s">
        <v>152</v>
      </c>
      <c r="G272" s="20" t="s">
        <v>149</v>
      </c>
      <c r="H272" s="18">
        <v>1060061</v>
      </c>
      <c r="I272" s="18">
        <v>139</v>
      </c>
      <c r="J272" s="4" t="s">
        <v>33</v>
      </c>
      <c r="K272" s="26" t="s">
        <v>11</v>
      </c>
      <c r="L272" s="172">
        <v>0</v>
      </c>
      <c r="M272" s="6">
        <v>7</v>
      </c>
      <c r="N272" s="6"/>
      <c r="O272" s="6">
        <v>0</v>
      </c>
      <c r="P272" s="6"/>
      <c r="Q272" s="7">
        <v>7</v>
      </c>
      <c r="R272" s="6"/>
      <c r="S272" s="1">
        <v>0</v>
      </c>
      <c r="U272" s="1">
        <v>0</v>
      </c>
      <c r="W272" s="1" t="str">
        <f t="shared" si="4"/>
        <v>No</v>
      </c>
    </row>
    <row r="273" spans="1:23" s="1" customFormat="1" ht="11.25">
      <c r="A273" s="2" t="s">
        <v>990</v>
      </c>
      <c r="B273" s="21" t="s">
        <v>211</v>
      </c>
      <c r="C273" s="26" t="s">
        <v>19</v>
      </c>
      <c r="D273" s="163">
        <v>9027</v>
      </c>
      <c r="E273" s="166">
        <v>90027</v>
      </c>
      <c r="F273" s="92" t="s">
        <v>152</v>
      </c>
      <c r="G273" s="20" t="s">
        <v>149</v>
      </c>
      <c r="H273" s="18">
        <v>654628</v>
      </c>
      <c r="I273" s="18">
        <v>139</v>
      </c>
      <c r="J273" s="4" t="s">
        <v>12</v>
      </c>
      <c r="K273" s="26" t="s">
        <v>11</v>
      </c>
      <c r="L273" s="172">
        <v>89</v>
      </c>
      <c r="M273" s="6">
        <v>1</v>
      </c>
      <c r="N273" s="6"/>
      <c r="O273" s="6">
        <v>0</v>
      </c>
      <c r="P273" s="6"/>
      <c r="Q273" s="7">
        <v>1</v>
      </c>
      <c r="R273" s="6"/>
      <c r="S273" s="1">
        <v>0</v>
      </c>
      <c r="U273" s="1">
        <v>0</v>
      </c>
      <c r="W273" s="1" t="str">
        <f t="shared" si="4"/>
        <v>No</v>
      </c>
    </row>
    <row r="274" spans="1:23" s="1" customFormat="1" ht="11.25">
      <c r="A274" s="2" t="s">
        <v>943</v>
      </c>
      <c r="B274" s="21" t="s">
        <v>944</v>
      </c>
      <c r="C274" s="26" t="s">
        <v>32</v>
      </c>
      <c r="D274" s="163">
        <v>4032</v>
      </c>
      <c r="E274" s="166">
        <v>40032</v>
      </c>
      <c r="F274" s="92" t="s">
        <v>152</v>
      </c>
      <c r="G274" s="20" t="s">
        <v>149</v>
      </c>
      <c r="H274" s="18">
        <v>349064</v>
      </c>
      <c r="I274" s="18">
        <v>138</v>
      </c>
      <c r="J274" s="4" t="s">
        <v>12</v>
      </c>
      <c r="K274" s="26" t="s">
        <v>11</v>
      </c>
      <c r="L274" s="172">
        <v>54</v>
      </c>
      <c r="M274" s="6">
        <v>2</v>
      </c>
      <c r="N274" s="6"/>
      <c r="O274" s="6">
        <v>0</v>
      </c>
      <c r="P274" s="6"/>
      <c r="Q274" s="7">
        <v>2</v>
      </c>
      <c r="R274" s="6"/>
      <c r="S274" s="1">
        <v>0</v>
      </c>
      <c r="U274" s="1">
        <v>0</v>
      </c>
      <c r="W274" s="1" t="str">
        <f t="shared" si="4"/>
        <v>No</v>
      </c>
    </row>
    <row r="275" spans="1:23" s="1" customFormat="1" ht="11.25">
      <c r="A275" s="2" t="s">
        <v>1653</v>
      </c>
      <c r="B275" s="21" t="s">
        <v>1679</v>
      </c>
      <c r="C275" s="26" t="s">
        <v>52</v>
      </c>
      <c r="D275" s="163">
        <v>5222</v>
      </c>
      <c r="E275" s="166">
        <v>50519</v>
      </c>
      <c r="F275" s="92" t="s">
        <v>160</v>
      </c>
      <c r="G275" s="20" t="s">
        <v>149</v>
      </c>
      <c r="H275" s="18">
        <v>2650890</v>
      </c>
      <c r="I275" s="18">
        <v>133</v>
      </c>
      <c r="J275" s="4" t="s">
        <v>12</v>
      </c>
      <c r="K275" s="26" t="s">
        <v>15</v>
      </c>
      <c r="L275" s="172">
        <v>133</v>
      </c>
      <c r="M275" s="6">
        <v>7</v>
      </c>
      <c r="N275" s="6"/>
      <c r="O275" s="6">
        <v>0</v>
      </c>
      <c r="P275" s="6"/>
      <c r="Q275" s="7">
        <v>7</v>
      </c>
      <c r="R275" s="6"/>
      <c r="S275" s="1">
        <v>2</v>
      </c>
      <c r="U275" s="1">
        <v>6</v>
      </c>
      <c r="W275" s="1" t="str">
        <f t="shared" si="4"/>
        <v>No</v>
      </c>
    </row>
    <row r="276" spans="1:23" s="1" customFormat="1" ht="11.25">
      <c r="A276" s="2" t="s">
        <v>1111</v>
      </c>
      <c r="B276" s="21" t="s">
        <v>881</v>
      </c>
      <c r="C276" s="26" t="s">
        <v>77</v>
      </c>
      <c r="D276" s="163">
        <v>4086</v>
      </c>
      <c r="E276" s="166">
        <v>40086</v>
      </c>
      <c r="F276" s="92" t="s">
        <v>160</v>
      </c>
      <c r="G276" s="20" t="s">
        <v>149</v>
      </c>
      <c r="H276" s="18">
        <v>2148346</v>
      </c>
      <c r="I276" s="18">
        <v>128</v>
      </c>
      <c r="J276" s="4" t="s">
        <v>12</v>
      </c>
      <c r="K276" s="26" t="s">
        <v>11</v>
      </c>
      <c r="L276" s="172">
        <v>87</v>
      </c>
      <c r="M276" s="6">
        <v>8</v>
      </c>
      <c r="N276" s="6"/>
      <c r="O276" s="6">
        <v>0</v>
      </c>
      <c r="P276" s="6"/>
      <c r="Q276" s="7">
        <v>8</v>
      </c>
      <c r="R276" s="6"/>
      <c r="S276" s="1">
        <v>0</v>
      </c>
      <c r="U276" s="1">
        <v>0</v>
      </c>
      <c r="W276" s="1" t="str">
        <f t="shared" si="4"/>
        <v>No</v>
      </c>
    </row>
    <row r="277" spans="1:23" s="1" customFormat="1" ht="11.25">
      <c r="A277" s="2" t="s">
        <v>843</v>
      </c>
      <c r="B277" s="21" t="s">
        <v>844</v>
      </c>
      <c r="C277" s="26" t="s">
        <v>39</v>
      </c>
      <c r="D277" s="163">
        <v>5211</v>
      </c>
      <c r="E277" s="166">
        <v>50211</v>
      </c>
      <c r="F277" s="92" t="s">
        <v>160</v>
      </c>
      <c r="G277" s="20" t="s">
        <v>149</v>
      </c>
      <c r="H277" s="18">
        <v>67821</v>
      </c>
      <c r="I277" s="18">
        <v>126</v>
      </c>
      <c r="J277" s="4" t="s">
        <v>12</v>
      </c>
      <c r="K277" s="26" t="s">
        <v>11</v>
      </c>
      <c r="L277" s="172">
        <v>126</v>
      </c>
      <c r="M277" s="6">
        <v>4</v>
      </c>
      <c r="N277" s="6"/>
      <c r="O277" s="6">
        <v>0</v>
      </c>
      <c r="P277" s="6"/>
      <c r="Q277" s="7">
        <v>4</v>
      </c>
      <c r="R277" s="6"/>
      <c r="S277" s="1">
        <v>0</v>
      </c>
      <c r="U277" s="1">
        <v>0</v>
      </c>
      <c r="W277" s="1" t="str">
        <f t="shared" si="4"/>
        <v>No</v>
      </c>
    </row>
    <row r="278" spans="1:23" s="1" customFormat="1" ht="11.25">
      <c r="A278" s="2" t="s">
        <v>1428</v>
      </c>
      <c r="B278" s="21" t="s">
        <v>324</v>
      </c>
      <c r="C278" s="26" t="s">
        <v>35</v>
      </c>
      <c r="D278" s="163">
        <v>4135</v>
      </c>
      <c r="E278" s="166">
        <v>40135</v>
      </c>
      <c r="F278" s="92" t="s">
        <v>269</v>
      </c>
      <c r="G278" s="20" t="s">
        <v>149</v>
      </c>
      <c r="H278" s="18">
        <v>4515419</v>
      </c>
      <c r="I278" s="18">
        <v>125</v>
      </c>
      <c r="J278" s="4" t="s">
        <v>21</v>
      </c>
      <c r="K278" s="26" t="s">
        <v>15</v>
      </c>
      <c r="L278" s="172">
        <v>125</v>
      </c>
      <c r="M278" s="6">
        <v>12</v>
      </c>
      <c r="N278" s="6"/>
      <c r="O278" s="6">
        <v>0</v>
      </c>
      <c r="P278" s="6"/>
      <c r="Q278" s="7">
        <v>12</v>
      </c>
      <c r="R278" s="6"/>
      <c r="S278" s="1">
        <v>30</v>
      </c>
      <c r="U278" s="1">
        <v>79</v>
      </c>
      <c r="W278" s="1" t="str">
        <f t="shared" si="4"/>
        <v>No</v>
      </c>
    </row>
    <row r="279" spans="1:23" s="1" customFormat="1" ht="11.25">
      <c r="A279" s="2" t="s">
        <v>372</v>
      </c>
      <c r="B279" s="21" t="s">
        <v>373</v>
      </c>
      <c r="C279" s="26" t="s">
        <v>84</v>
      </c>
      <c r="D279" s="163">
        <v>6101</v>
      </c>
      <c r="E279" s="166">
        <v>60101</v>
      </c>
      <c r="F279" s="92" t="s">
        <v>160</v>
      </c>
      <c r="G279" s="20" t="s">
        <v>149</v>
      </c>
      <c r="H279" s="18">
        <v>366174</v>
      </c>
      <c r="I279" s="18">
        <v>123</v>
      </c>
      <c r="J279" s="4" t="s">
        <v>12</v>
      </c>
      <c r="K279" s="26" t="s">
        <v>11</v>
      </c>
      <c r="L279" s="172">
        <v>56</v>
      </c>
      <c r="M279" s="6">
        <v>0</v>
      </c>
      <c r="N279" s="6"/>
      <c r="O279" s="6">
        <v>0</v>
      </c>
      <c r="P279" s="6"/>
      <c r="Q279" s="7">
        <v>0</v>
      </c>
      <c r="R279" s="6"/>
      <c r="S279" s="1">
        <v>0</v>
      </c>
      <c r="U279" s="1">
        <v>0</v>
      </c>
      <c r="W279" s="1" t="str">
        <f t="shared" si="4"/>
        <v>No</v>
      </c>
    </row>
    <row r="280" spans="1:23" s="1" customFormat="1" ht="11.25">
      <c r="A280" s="2" t="s">
        <v>372</v>
      </c>
      <c r="B280" s="21" t="s">
        <v>373</v>
      </c>
      <c r="C280" s="26" t="s">
        <v>84</v>
      </c>
      <c r="D280" s="163">
        <v>6101</v>
      </c>
      <c r="E280" s="166">
        <v>60101</v>
      </c>
      <c r="F280" s="92" t="s">
        <v>160</v>
      </c>
      <c r="G280" s="20" t="s">
        <v>149</v>
      </c>
      <c r="H280" s="18">
        <v>366174</v>
      </c>
      <c r="I280" s="18">
        <v>123</v>
      </c>
      <c r="J280" s="4" t="s">
        <v>26</v>
      </c>
      <c r="K280" s="26" t="s">
        <v>15</v>
      </c>
      <c r="L280" s="172">
        <v>8</v>
      </c>
      <c r="M280" s="6">
        <v>5</v>
      </c>
      <c r="N280" s="6"/>
      <c r="O280" s="6">
        <v>0</v>
      </c>
      <c r="P280" s="6"/>
      <c r="Q280" s="7">
        <v>5</v>
      </c>
      <c r="R280" s="6"/>
      <c r="S280" s="1">
        <v>0</v>
      </c>
      <c r="U280" s="1">
        <v>0</v>
      </c>
      <c r="W280" s="1" t="str">
        <f t="shared" si="4"/>
        <v>No</v>
      </c>
    </row>
    <row r="281" spans="1:23" s="1" customFormat="1" ht="11.25">
      <c r="A281" s="2" t="s">
        <v>973</v>
      </c>
      <c r="B281" s="21" t="s">
        <v>974</v>
      </c>
      <c r="C281" s="26" t="s">
        <v>75</v>
      </c>
      <c r="D281" s="163">
        <v>3013</v>
      </c>
      <c r="E281" s="166">
        <v>30013</v>
      </c>
      <c r="F281" s="92" t="s">
        <v>160</v>
      </c>
      <c r="G281" s="20" t="s">
        <v>149</v>
      </c>
      <c r="H281" s="18">
        <v>196611</v>
      </c>
      <c r="I281" s="18">
        <v>120</v>
      </c>
      <c r="J281" s="4" t="s">
        <v>12</v>
      </c>
      <c r="K281" s="26" t="s">
        <v>11</v>
      </c>
      <c r="L281" s="172">
        <v>67</v>
      </c>
      <c r="M281" s="6">
        <v>1</v>
      </c>
      <c r="N281" s="6"/>
      <c r="O281" s="6">
        <v>0</v>
      </c>
      <c r="P281" s="6"/>
      <c r="Q281" s="7">
        <v>1</v>
      </c>
      <c r="R281" s="6"/>
      <c r="S281" s="1">
        <v>0</v>
      </c>
      <c r="U281" s="1">
        <v>0</v>
      </c>
      <c r="W281" s="1" t="str">
        <f t="shared" si="4"/>
        <v>No</v>
      </c>
    </row>
    <row r="282" spans="1:23" s="1" customFormat="1" ht="11.25">
      <c r="A282" s="2" t="s">
        <v>1330</v>
      </c>
      <c r="B282" s="21" t="s">
        <v>1331</v>
      </c>
      <c r="C282" s="26" t="s">
        <v>43</v>
      </c>
      <c r="D282" s="163">
        <v>4019</v>
      </c>
      <c r="E282" s="166">
        <v>40019</v>
      </c>
      <c r="F282" s="92" t="s">
        <v>160</v>
      </c>
      <c r="G282" s="20" t="s">
        <v>149</v>
      </c>
      <c r="H282" s="18">
        <v>1624827</v>
      </c>
      <c r="I282" s="18">
        <v>119</v>
      </c>
      <c r="J282" s="4" t="s">
        <v>12</v>
      </c>
      <c r="K282" s="26" t="s">
        <v>11</v>
      </c>
      <c r="L282" s="172">
        <v>97</v>
      </c>
      <c r="M282" s="6">
        <v>1</v>
      </c>
      <c r="N282" s="6"/>
      <c r="O282" s="6">
        <v>0</v>
      </c>
      <c r="P282" s="6"/>
      <c r="Q282" s="7">
        <v>1</v>
      </c>
      <c r="R282" s="6"/>
      <c r="S282" s="1">
        <v>0</v>
      </c>
      <c r="U282" s="1">
        <v>0</v>
      </c>
      <c r="W282" s="1" t="str">
        <f t="shared" si="4"/>
        <v>No</v>
      </c>
    </row>
    <row r="283" spans="1:23" s="1" customFormat="1" ht="11.25">
      <c r="A283" s="2" t="s">
        <v>705</v>
      </c>
      <c r="B283" s="21" t="s">
        <v>246</v>
      </c>
      <c r="C283" s="26" t="s">
        <v>39</v>
      </c>
      <c r="D283" s="163">
        <v>5060</v>
      </c>
      <c r="E283" s="166">
        <v>50060</v>
      </c>
      <c r="F283" s="92" t="s">
        <v>160</v>
      </c>
      <c r="G283" s="20" t="s">
        <v>149</v>
      </c>
      <c r="H283" s="18">
        <v>145361</v>
      </c>
      <c r="I283" s="18">
        <v>119</v>
      </c>
      <c r="J283" s="4" t="s">
        <v>12</v>
      </c>
      <c r="K283" s="26" t="s">
        <v>11</v>
      </c>
      <c r="L283" s="172">
        <v>96</v>
      </c>
      <c r="M283" s="6">
        <v>1</v>
      </c>
      <c r="N283" s="6"/>
      <c r="O283" s="6">
        <v>0</v>
      </c>
      <c r="P283" s="6"/>
      <c r="Q283" s="7">
        <v>1</v>
      </c>
      <c r="R283" s="6"/>
      <c r="S283" s="1">
        <v>2</v>
      </c>
      <c r="U283" s="1">
        <v>0</v>
      </c>
      <c r="W283" s="1" t="str">
        <f t="shared" si="4"/>
        <v>No</v>
      </c>
    </row>
    <row r="284" spans="1:23" s="1" customFormat="1" ht="11.25">
      <c r="A284" s="2" t="s">
        <v>1431</v>
      </c>
      <c r="B284" s="21" t="s">
        <v>1432</v>
      </c>
      <c r="C284" s="26" t="s">
        <v>47</v>
      </c>
      <c r="D284" s="163">
        <v>3085</v>
      </c>
      <c r="E284" s="166">
        <v>30085</v>
      </c>
      <c r="F284" s="92" t="s">
        <v>152</v>
      </c>
      <c r="G284" s="20" t="s">
        <v>149</v>
      </c>
      <c r="H284" s="18">
        <v>4586770</v>
      </c>
      <c r="I284" s="18">
        <v>116</v>
      </c>
      <c r="J284" s="4" t="s">
        <v>12</v>
      </c>
      <c r="K284" s="26" t="s">
        <v>15</v>
      </c>
      <c r="L284" s="172">
        <v>76</v>
      </c>
      <c r="M284" s="6">
        <v>0</v>
      </c>
      <c r="N284" s="6"/>
      <c r="O284" s="6">
        <v>0</v>
      </c>
      <c r="P284" s="6"/>
      <c r="Q284" s="7">
        <v>0</v>
      </c>
      <c r="R284" s="6"/>
      <c r="S284" s="1">
        <v>0</v>
      </c>
      <c r="U284" s="1">
        <v>0</v>
      </c>
      <c r="W284" s="1" t="str">
        <f t="shared" si="4"/>
        <v>No</v>
      </c>
    </row>
    <row r="285" spans="1:23" s="1" customFormat="1" ht="11.25">
      <c r="A285" s="2" t="s">
        <v>1000</v>
      </c>
      <c r="B285" s="21" t="s">
        <v>1001</v>
      </c>
      <c r="C285" s="26" t="s">
        <v>45</v>
      </c>
      <c r="D285" s="163">
        <v>1064</v>
      </c>
      <c r="E285" s="166">
        <v>10064</v>
      </c>
      <c r="F285" s="92" t="s">
        <v>160</v>
      </c>
      <c r="G285" s="20" t="s">
        <v>149</v>
      </c>
      <c r="H285" s="18">
        <v>1190956</v>
      </c>
      <c r="I285" s="18">
        <v>115</v>
      </c>
      <c r="J285" s="4" t="s">
        <v>12</v>
      </c>
      <c r="K285" s="26" t="s">
        <v>15</v>
      </c>
      <c r="L285" s="172">
        <v>46</v>
      </c>
      <c r="M285" s="6">
        <v>2</v>
      </c>
      <c r="N285" s="6"/>
      <c r="O285" s="6">
        <v>0</v>
      </c>
      <c r="P285" s="6"/>
      <c r="Q285" s="7">
        <v>2</v>
      </c>
      <c r="R285" s="6"/>
      <c r="S285" s="1">
        <v>0</v>
      </c>
      <c r="U285" s="1">
        <v>0</v>
      </c>
      <c r="W285" s="1" t="str">
        <f t="shared" si="4"/>
        <v>No</v>
      </c>
    </row>
    <row r="286" spans="1:23" s="1" customFormat="1" ht="11.25">
      <c r="A286" s="2" t="s">
        <v>1375</v>
      </c>
      <c r="B286" s="21" t="s">
        <v>408</v>
      </c>
      <c r="C286" s="26" t="s">
        <v>88</v>
      </c>
      <c r="D286" s="163">
        <v>21</v>
      </c>
      <c r="E286" s="166">
        <v>21</v>
      </c>
      <c r="F286" s="92" t="s">
        <v>160</v>
      </c>
      <c r="G286" s="20" t="s">
        <v>149</v>
      </c>
      <c r="H286" s="18">
        <v>114473</v>
      </c>
      <c r="I286" s="18">
        <v>113</v>
      </c>
      <c r="J286" s="4" t="s">
        <v>12</v>
      </c>
      <c r="K286" s="26" t="s">
        <v>11</v>
      </c>
      <c r="L286" s="172">
        <v>47</v>
      </c>
      <c r="M286" s="6">
        <v>4</v>
      </c>
      <c r="N286" s="6"/>
      <c r="O286" s="6">
        <v>0</v>
      </c>
      <c r="P286" s="6"/>
      <c r="Q286" s="7">
        <v>4</v>
      </c>
      <c r="R286" s="6"/>
      <c r="S286" s="1">
        <v>0</v>
      </c>
      <c r="U286" s="1">
        <v>0</v>
      </c>
      <c r="W286" s="1" t="str">
        <f t="shared" si="4"/>
        <v>No</v>
      </c>
    </row>
    <row r="287" spans="1:23" s="1" customFormat="1" ht="11.25">
      <c r="A287" s="2" t="s">
        <v>1254</v>
      </c>
      <c r="B287" s="21" t="s">
        <v>1255</v>
      </c>
      <c r="C287" s="26" t="s">
        <v>19</v>
      </c>
      <c r="D287" s="163">
        <v>9006</v>
      </c>
      <c r="E287" s="166">
        <v>90006</v>
      </c>
      <c r="F287" s="92" t="s">
        <v>160</v>
      </c>
      <c r="G287" s="20" t="s">
        <v>149</v>
      </c>
      <c r="H287" s="18">
        <v>163703</v>
      </c>
      <c r="I287" s="18">
        <v>112</v>
      </c>
      <c r="J287" s="4" t="s">
        <v>21</v>
      </c>
      <c r="K287" s="26" t="s">
        <v>11</v>
      </c>
      <c r="L287" s="172">
        <v>15</v>
      </c>
      <c r="M287" s="6">
        <v>3</v>
      </c>
      <c r="N287" s="6"/>
      <c r="O287" s="6">
        <v>0</v>
      </c>
      <c r="P287" s="6"/>
      <c r="Q287" s="7">
        <v>3</v>
      </c>
      <c r="R287" s="6"/>
      <c r="S287" s="1">
        <v>0</v>
      </c>
      <c r="U287" s="1">
        <v>0</v>
      </c>
      <c r="W287" s="1" t="str">
        <f t="shared" si="4"/>
        <v>No</v>
      </c>
    </row>
    <row r="288" spans="1:23" s="1" customFormat="1" ht="11.25">
      <c r="A288" s="2" t="s">
        <v>1254</v>
      </c>
      <c r="B288" s="21" t="s">
        <v>1255</v>
      </c>
      <c r="C288" s="26" t="s">
        <v>19</v>
      </c>
      <c r="D288" s="163">
        <v>9006</v>
      </c>
      <c r="E288" s="166">
        <v>90006</v>
      </c>
      <c r="F288" s="92" t="s">
        <v>160</v>
      </c>
      <c r="G288" s="20" t="s">
        <v>149</v>
      </c>
      <c r="H288" s="18">
        <v>163703</v>
      </c>
      <c r="I288" s="18">
        <v>112</v>
      </c>
      <c r="J288" s="4" t="s">
        <v>12</v>
      </c>
      <c r="K288" s="26" t="s">
        <v>11</v>
      </c>
      <c r="L288" s="172">
        <v>65</v>
      </c>
      <c r="M288" s="6">
        <v>4</v>
      </c>
      <c r="N288" s="6"/>
      <c r="O288" s="6">
        <v>0</v>
      </c>
      <c r="P288" s="6"/>
      <c r="Q288" s="7">
        <v>4</v>
      </c>
      <c r="R288" s="6"/>
      <c r="S288" s="1">
        <v>0</v>
      </c>
      <c r="U288" s="1">
        <v>0</v>
      </c>
      <c r="W288" s="1" t="str">
        <f t="shared" si="4"/>
        <v>No</v>
      </c>
    </row>
    <row r="289" spans="1:23" s="1" customFormat="1" ht="11.25">
      <c r="A289" s="2" t="s">
        <v>947</v>
      </c>
      <c r="B289" s="21" t="s">
        <v>844</v>
      </c>
      <c r="C289" s="26" t="s">
        <v>75</v>
      </c>
      <c r="D289" s="163">
        <v>3014</v>
      </c>
      <c r="E289" s="166">
        <v>30014</v>
      </c>
      <c r="F289" s="92" t="s">
        <v>160</v>
      </c>
      <c r="G289" s="20" t="s">
        <v>149</v>
      </c>
      <c r="H289" s="18">
        <v>444474</v>
      </c>
      <c r="I289" s="18">
        <v>112</v>
      </c>
      <c r="J289" s="4" t="s">
        <v>12</v>
      </c>
      <c r="K289" s="26" t="s">
        <v>11</v>
      </c>
      <c r="L289" s="172">
        <v>64</v>
      </c>
      <c r="M289" s="6">
        <v>1</v>
      </c>
      <c r="N289" s="6"/>
      <c r="O289" s="6">
        <v>0</v>
      </c>
      <c r="P289" s="6"/>
      <c r="Q289" s="7">
        <v>1</v>
      </c>
      <c r="R289" s="6"/>
      <c r="S289" s="1">
        <v>0</v>
      </c>
      <c r="U289" s="1">
        <v>0</v>
      </c>
      <c r="W289" s="1" t="str">
        <f t="shared" si="4"/>
        <v>No</v>
      </c>
    </row>
    <row r="290" spans="1:23" s="1" customFormat="1" ht="11.25">
      <c r="A290" s="2" t="s">
        <v>947</v>
      </c>
      <c r="B290" s="21" t="s">
        <v>844</v>
      </c>
      <c r="C290" s="26" t="s">
        <v>75</v>
      </c>
      <c r="D290" s="163">
        <v>3014</v>
      </c>
      <c r="E290" s="166">
        <v>30014</v>
      </c>
      <c r="F290" s="92" t="s">
        <v>160</v>
      </c>
      <c r="G290" s="20" t="s">
        <v>149</v>
      </c>
      <c r="H290" s="18">
        <v>444474</v>
      </c>
      <c r="I290" s="18">
        <v>112</v>
      </c>
      <c r="J290" s="4" t="s">
        <v>12</v>
      </c>
      <c r="K290" s="26" t="s">
        <v>15</v>
      </c>
      <c r="L290" s="172">
        <v>2</v>
      </c>
      <c r="M290" s="6">
        <v>0</v>
      </c>
      <c r="N290" s="6"/>
      <c r="O290" s="6">
        <v>0</v>
      </c>
      <c r="P290" s="6"/>
      <c r="Q290" s="7">
        <v>0</v>
      </c>
      <c r="R290" s="6"/>
      <c r="S290" s="1">
        <v>0</v>
      </c>
      <c r="U290" s="1">
        <v>0</v>
      </c>
      <c r="W290" s="1" t="str">
        <f t="shared" si="4"/>
        <v>No</v>
      </c>
    </row>
    <row r="291" spans="1:23" s="1" customFormat="1" ht="11.25">
      <c r="A291" s="2" t="s">
        <v>1332</v>
      </c>
      <c r="B291" s="21" t="s">
        <v>310</v>
      </c>
      <c r="C291" s="26" t="s">
        <v>59</v>
      </c>
      <c r="D291" s="163">
        <v>7002</v>
      </c>
      <c r="E291" s="166">
        <v>70002</v>
      </c>
      <c r="F291" s="92" t="s">
        <v>160</v>
      </c>
      <c r="G291" s="20" t="s">
        <v>149</v>
      </c>
      <c r="H291" s="18">
        <v>725008</v>
      </c>
      <c r="I291" s="18">
        <v>111</v>
      </c>
      <c r="J291" s="4" t="s">
        <v>12</v>
      </c>
      <c r="K291" s="26" t="s">
        <v>11</v>
      </c>
      <c r="L291" s="172">
        <v>90</v>
      </c>
      <c r="M291" s="6">
        <v>1</v>
      </c>
      <c r="N291" s="6"/>
      <c r="O291" s="6">
        <v>0</v>
      </c>
      <c r="P291" s="6"/>
      <c r="Q291" s="7">
        <v>1</v>
      </c>
      <c r="R291" s="6"/>
      <c r="S291" s="1">
        <v>1</v>
      </c>
      <c r="U291" s="1">
        <v>0</v>
      </c>
      <c r="W291" s="1" t="str">
        <f t="shared" si="4"/>
        <v>No</v>
      </c>
    </row>
    <row r="292" spans="1:23" s="1" customFormat="1" ht="11.25">
      <c r="A292" s="2" t="s">
        <v>1139</v>
      </c>
      <c r="B292" s="21" t="s">
        <v>1140</v>
      </c>
      <c r="C292" s="26" t="s">
        <v>19</v>
      </c>
      <c r="D292" s="163">
        <v>9062</v>
      </c>
      <c r="E292" s="166">
        <v>90062</v>
      </c>
      <c r="F292" s="92" t="s">
        <v>160</v>
      </c>
      <c r="G292" s="20" t="s">
        <v>149</v>
      </c>
      <c r="H292" s="18">
        <v>114237</v>
      </c>
      <c r="I292" s="18">
        <v>110</v>
      </c>
      <c r="J292" s="4" t="s">
        <v>21</v>
      </c>
      <c r="K292" s="26" t="s">
        <v>11</v>
      </c>
      <c r="L292" s="172">
        <v>6</v>
      </c>
      <c r="M292" s="6">
        <v>8</v>
      </c>
      <c r="N292" s="6"/>
      <c r="O292" s="6">
        <v>0</v>
      </c>
      <c r="P292" s="6"/>
      <c r="Q292" s="7">
        <v>8</v>
      </c>
      <c r="R292" s="6"/>
      <c r="S292" s="1">
        <v>1</v>
      </c>
      <c r="U292" s="1">
        <v>1</v>
      </c>
      <c r="W292" s="1" t="str">
        <f t="shared" si="4"/>
        <v>No</v>
      </c>
    </row>
    <row r="293" spans="1:23" s="1" customFormat="1" ht="11.25">
      <c r="A293" s="2" t="s">
        <v>703</v>
      </c>
      <c r="B293" s="21" t="s">
        <v>704</v>
      </c>
      <c r="C293" s="26" t="s">
        <v>75</v>
      </c>
      <c r="D293" s="163">
        <v>3054</v>
      </c>
      <c r="E293" s="166">
        <v>30054</v>
      </c>
      <c r="F293" s="92" t="s">
        <v>160</v>
      </c>
      <c r="G293" s="20" t="s">
        <v>149</v>
      </c>
      <c r="H293" s="18">
        <v>87454</v>
      </c>
      <c r="I293" s="18">
        <v>110</v>
      </c>
      <c r="J293" s="4" t="s">
        <v>12</v>
      </c>
      <c r="K293" s="26" t="s">
        <v>11</v>
      </c>
      <c r="L293" s="172">
        <v>60</v>
      </c>
      <c r="M293" s="6">
        <v>1</v>
      </c>
      <c r="N293" s="6"/>
      <c r="O293" s="6">
        <v>0</v>
      </c>
      <c r="P293" s="6"/>
      <c r="Q293" s="7">
        <v>1</v>
      </c>
      <c r="R293" s="6"/>
      <c r="S293" s="1">
        <v>0</v>
      </c>
      <c r="U293" s="1">
        <v>0</v>
      </c>
      <c r="W293" s="1" t="str">
        <f t="shared" si="4"/>
        <v>No</v>
      </c>
    </row>
    <row r="294" spans="1:23" s="1" customFormat="1" ht="11.25">
      <c r="A294" s="2" t="s">
        <v>1139</v>
      </c>
      <c r="B294" s="21" t="s">
        <v>1140</v>
      </c>
      <c r="C294" s="26" t="s">
        <v>19</v>
      </c>
      <c r="D294" s="163">
        <v>9062</v>
      </c>
      <c r="E294" s="166">
        <v>90062</v>
      </c>
      <c r="F294" s="92" t="s">
        <v>160</v>
      </c>
      <c r="G294" s="20" t="s">
        <v>149</v>
      </c>
      <c r="H294" s="18">
        <v>114237</v>
      </c>
      <c r="I294" s="18">
        <v>110</v>
      </c>
      <c r="J294" s="4" t="s">
        <v>12</v>
      </c>
      <c r="K294" s="26" t="s">
        <v>11</v>
      </c>
      <c r="L294" s="172">
        <v>51</v>
      </c>
      <c r="M294" s="6">
        <v>4</v>
      </c>
      <c r="N294" s="6"/>
      <c r="O294" s="6">
        <v>0</v>
      </c>
      <c r="P294" s="6"/>
      <c r="Q294" s="7">
        <v>4</v>
      </c>
      <c r="R294" s="6"/>
      <c r="S294" s="1">
        <v>0</v>
      </c>
      <c r="U294" s="1">
        <v>0</v>
      </c>
      <c r="W294" s="1" t="str">
        <f t="shared" si="4"/>
        <v>No</v>
      </c>
    </row>
    <row r="295" spans="1:23" s="1" customFormat="1" ht="11.25">
      <c r="A295" s="2" t="s">
        <v>1139</v>
      </c>
      <c r="B295" s="21" t="s">
        <v>1140</v>
      </c>
      <c r="C295" s="26" t="s">
        <v>19</v>
      </c>
      <c r="D295" s="163">
        <v>9062</v>
      </c>
      <c r="E295" s="166">
        <v>90062</v>
      </c>
      <c r="F295" s="92" t="s">
        <v>160</v>
      </c>
      <c r="G295" s="20" t="s">
        <v>149</v>
      </c>
      <c r="H295" s="18">
        <v>114237</v>
      </c>
      <c r="I295" s="18">
        <v>110</v>
      </c>
      <c r="J295" s="4" t="s">
        <v>12</v>
      </c>
      <c r="K295" s="26" t="s">
        <v>15</v>
      </c>
      <c r="L295" s="172">
        <v>21</v>
      </c>
      <c r="M295" s="6">
        <v>4</v>
      </c>
      <c r="N295" s="6"/>
      <c r="O295" s="6">
        <v>0</v>
      </c>
      <c r="P295" s="6"/>
      <c r="Q295" s="7">
        <v>4</v>
      </c>
      <c r="R295" s="6"/>
      <c r="S295" s="1">
        <v>0</v>
      </c>
      <c r="U295" s="1">
        <v>0</v>
      </c>
      <c r="W295" s="1" t="str">
        <f t="shared" si="4"/>
        <v>No</v>
      </c>
    </row>
    <row r="296" spans="1:23" s="1" customFormat="1" ht="11.25">
      <c r="A296" s="2" t="s">
        <v>1066</v>
      </c>
      <c r="B296" s="21" t="s">
        <v>1067</v>
      </c>
      <c r="C296" s="26" t="s">
        <v>32</v>
      </c>
      <c r="D296" s="163">
        <v>4028</v>
      </c>
      <c r="E296" s="166">
        <v>40028</v>
      </c>
      <c r="F296" s="92" t="s">
        <v>152</v>
      </c>
      <c r="G296" s="20" t="s">
        <v>149</v>
      </c>
      <c r="H296" s="18">
        <v>530290</v>
      </c>
      <c r="I296" s="18">
        <v>109</v>
      </c>
      <c r="J296" s="4" t="s">
        <v>12</v>
      </c>
      <c r="K296" s="26" t="s">
        <v>11</v>
      </c>
      <c r="L296" s="172">
        <v>49</v>
      </c>
      <c r="M296" s="6">
        <v>3</v>
      </c>
      <c r="N296" s="6"/>
      <c r="O296" s="6">
        <v>0</v>
      </c>
      <c r="P296" s="6"/>
      <c r="Q296" s="7">
        <v>3</v>
      </c>
      <c r="R296" s="6"/>
      <c r="S296" s="1">
        <v>0</v>
      </c>
      <c r="U296" s="1">
        <v>0</v>
      </c>
      <c r="W296" s="1" t="str">
        <f t="shared" si="4"/>
        <v>No</v>
      </c>
    </row>
    <row r="297" spans="1:23" s="1" customFormat="1" ht="11.25">
      <c r="A297" s="2" t="s">
        <v>1137</v>
      </c>
      <c r="B297" s="21" t="s">
        <v>1138</v>
      </c>
      <c r="C297" s="26" t="s">
        <v>19</v>
      </c>
      <c r="D297" s="163">
        <v>9041</v>
      </c>
      <c r="E297" s="166">
        <v>90041</v>
      </c>
      <c r="F297" s="92" t="s">
        <v>152</v>
      </c>
      <c r="G297" s="20" t="s">
        <v>149</v>
      </c>
      <c r="H297" s="18">
        <v>12150996</v>
      </c>
      <c r="I297" s="18">
        <v>107</v>
      </c>
      <c r="J297" s="4" t="s">
        <v>12</v>
      </c>
      <c r="K297" s="26" t="s">
        <v>11</v>
      </c>
      <c r="L297" s="172">
        <v>62</v>
      </c>
      <c r="M297" s="6">
        <v>1</v>
      </c>
      <c r="N297" s="6"/>
      <c r="O297" s="6">
        <v>0</v>
      </c>
      <c r="P297" s="6"/>
      <c r="Q297" s="7">
        <v>1</v>
      </c>
      <c r="R297" s="6"/>
      <c r="S297" s="1">
        <v>0</v>
      </c>
      <c r="U297" s="1">
        <v>0</v>
      </c>
      <c r="W297" s="1" t="str">
        <f t="shared" si="4"/>
        <v>No</v>
      </c>
    </row>
    <row r="298" spans="1:23" s="1" customFormat="1" ht="11.25">
      <c r="A298" s="2" t="s">
        <v>1137</v>
      </c>
      <c r="B298" s="21" t="s">
        <v>1138</v>
      </c>
      <c r="C298" s="26" t="s">
        <v>19</v>
      </c>
      <c r="D298" s="163">
        <v>9041</v>
      </c>
      <c r="E298" s="166">
        <v>90041</v>
      </c>
      <c r="F298" s="92" t="s">
        <v>152</v>
      </c>
      <c r="G298" s="20" t="s">
        <v>149</v>
      </c>
      <c r="H298" s="18">
        <v>12150996</v>
      </c>
      <c r="I298" s="18">
        <v>107</v>
      </c>
      <c r="J298" s="4" t="s">
        <v>12</v>
      </c>
      <c r="K298" s="26" t="s">
        <v>15</v>
      </c>
      <c r="L298" s="172">
        <v>5</v>
      </c>
      <c r="M298" s="6">
        <v>1</v>
      </c>
      <c r="N298" s="6"/>
      <c r="O298" s="6">
        <v>0</v>
      </c>
      <c r="P298" s="6"/>
      <c r="Q298" s="7">
        <v>1</v>
      </c>
      <c r="R298" s="6"/>
      <c r="S298" s="1">
        <v>0</v>
      </c>
      <c r="U298" s="1">
        <v>0</v>
      </c>
      <c r="W298" s="1" t="str">
        <f t="shared" si="4"/>
        <v>No</v>
      </c>
    </row>
    <row r="299" spans="1:23" s="1" customFormat="1" ht="11.25">
      <c r="A299" s="2" t="s">
        <v>939</v>
      </c>
      <c r="B299" s="21" t="s">
        <v>940</v>
      </c>
      <c r="C299" s="26" t="s">
        <v>84</v>
      </c>
      <c r="D299" s="163">
        <v>6051</v>
      </c>
      <c r="E299" s="166">
        <v>60051</v>
      </c>
      <c r="F299" s="92" t="s">
        <v>160</v>
      </c>
      <c r="G299" s="20" t="s">
        <v>149</v>
      </c>
      <c r="H299" s="18">
        <v>320069</v>
      </c>
      <c r="I299" s="18">
        <v>105</v>
      </c>
      <c r="J299" s="4" t="s">
        <v>12</v>
      </c>
      <c r="K299" s="26" t="s">
        <v>11</v>
      </c>
      <c r="L299" s="172">
        <v>62</v>
      </c>
      <c r="M299" s="6">
        <v>5</v>
      </c>
      <c r="N299" s="6"/>
      <c r="O299" s="6">
        <v>0</v>
      </c>
      <c r="P299" s="6"/>
      <c r="Q299" s="7">
        <v>5</v>
      </c>
      <c r="R299" s="6"/>
      <c r="S299" s="1">
        <v>0</v>
      </c>
      <c r="U299" s="1">
        <v>0</v>
      </c>
      <c r="W299" s="1" t="str">
        <f t="shared" si="4"/>
        <v>No</v>
      </c>
    </row>
    <row r="300" spans="1:23" s="1" customFormat="1" ht="11.25">
      <c r="A300" s="2" t="s">
        <v>1829</v>
      </c>
      <c r="B300" s="21" t="s">
        <v>738</v>
      </c>
      <c r="C300" s="26" t="s">
        <v>86</v>
      </c>
      <c r="D300" s="163">
        <v>3071</v>
      </c>
      <c r="E300" s="166">
        <v>30071</v>
      </c>
      <c r="F300" s="92" t="s">
        <v>152</v>
      </c>
      <c r="G300" s="20" t="s">
        <v>149</v>
      </c>
      <c r="H300" s="18">
        <v>4586770</v>
      </c>
      <c r="I300" s="18">
        <v>105</v>
      </c>
      <c r="J300" s="4" t="s">
        <v>12</v>
      </c>
      <c r="K300" s="26" t="s">
        <v>11</v>
      </c>
      <c r="L300" s="172">
        <v>72</v>
      </c>
      <c r="M300" s="6">
        <v>7</v>
      </c>
      <c r="N300" s="6"/>
      <c r="O300" s="6">
        <v>0</v>
      </c>
      <c r="P300" s="6"/>
      <c r="Q300" s="7">
        <v>7</v>
      </c>
      <c r="R300" s="6"/>
      <c r="S300" s="1">
        <v>0</v>
      </c>
      <c r="U300" s="1">
        <v>0</v>
      </c>
      <c r="W300" s="1" t="str">
        <f t="shared" si="4"/>
        <v>No</v>
      </c>
    </row>
    <row r="301" spans="1:23" s="1" customFormat="1" ht="11.25">
      <c r="A301" s="2" t="s">
        <v>939</v>
      </c>
      <c r="B301" s="21" t="s">
        <v>940</v>
      </c>
      <c r="C301" s="26" t="s">
        <v>84</v>
      </c>
      <c r="D301" s="163">
        <v>6051</v>
      </c>
      <c r="E301" s="166">
        <v>60051</v>
      </c>
      <c r="F301" s="92" t="s">
        <v>160</v>
      </c>
      <c r="G301" s="20" t="s">
        <v>149</v>
      </c>
      <c r="H301" s="18">
        <v>320069</v>
      </c>
      <c r="I301" s="18">
        <v>105</v>
      </c>
      <c r="J301" s="4" t="s">
        <v>12</v>
      </c>
      <c r="K301" s="26" t="s">
        <v>15</v>
      </c>
      <c r="L301" s="172">
        <v>10</v>
      </c>
      <c r="M301" s="6">
        <v>1</v>
      </c>
      <c r="N301" s="6"/>
      <c r="O301" s="6">
        <v>0</v>
      </c>
      <c r="P301" s="6"/>
      <c r="Q301" s="7">
        <v>1</v>
      </c>
      <c r="R301" s="6"/>
      <c r="S301" s="1">
        <v>0</v>
      </c>
      <c r="U301" s="1">
        <v>0</v>
      </c>
      <c r="W301" s="1" t="str">
        <f t="shared" si="4"/>
        <v>No</v>
      </c>
    </row>
    <row r="302" spans="1:23" s="1" customFormat="1" ht="11.25">
      <c r="A302" s="2" t="s">
        <v>1247</v>
      </c>
      <c r="B302" s="21" t="s">
        <v>553</v>
      </c>
      <c r="C302" s="26" t="s">
        <v>19</v>
      </c>
      <c r="D302" s="163">
        <v>9012</v>
      </c>
      <c r="E302" s="166">
        <v>90012</v>
      </c>
      <c r="F302" s="92" t="s">
        <v>160</v>
      </c>
      <c r="G302" s="20" t="s">
        <v>149</v>
      </c>
      <c r="H302" s="18">
        <v>370583</v>
      </c>
      <c r="I302" s="18">
        <v>104</v>
      </c>
      <c r="J302" s="4" t="s">
        <v>21</v>
      </c>
      <c r="K302" s="26" t="s">
        <v>15</v>
      </c>
      <c r="L302" s="172">
        <v>14</v>
      </c>
      <c r="M302" s="6">
        <v>0</v>
      </c>
      <c r="N302" s="6"/>
      <c r="O302" s="6">
        <v>0</v>
      </c>
      <c r="P302" s="6"/>
      <c r="Q302" s="7">
        <v>0</v>
      </c>
      <c r="R302" s="6"/>
      <c r="S302" s="1">
        <v>0</v>
      </c>
      <c r="U302" s="1">
        <v>0</v>
      </c>
      <c r="W302" s="1" t="str">
        <f t="shared" si="4"/>
        <v>No</v>
      </c>
    </row>
    <row r="303" spans="1:23" s="1" customFormat="1" ht="11.25">
      <c r="A303" s="2" t="s">
        <v>1247</v>
      </c>
      <c r="B303" s="21" t="s">
        <v>553</v>
      </c>
      <c r="C303" s="26" t="s">
        <v>19</v>
      </c>
      <c r="D303" s="163">
        <v>9012</v>
      </c>
      <c r="E303" s="166">
        <v>90012</v>
      </c>
      <c r="F303" s="92" t="s">
        <v>160</v>
      </c>
      <c r="G303" s="20" t="s">
        <v>149</v>
      </c>
      <c r="H303" s="18">
        <v>370583</v>
      </c>
      <c r="I303" s="18">
        <v>104</v>
      </c>
      <c r="J303" s="4" t="s">
        <v>12</v>
      </c>
      <c r="K303" s="26" t="s">
        <v>11</v>
      </c>
      <c r="L303" s="172">
        <v>48</v>
      </c>
      <c r="M303" s="6">
        <v>1</v>
      </c>
      <c r="N303" s="6"/>
      <c r="O303" s="6">
        <v>0</v>
      </c>
      <c r="P303" s="6"/>
      <c r="Q303" s="7">
        <v>1</v>
      </c>
      <c r="R303" s="6"/>
      <c r="S303" s="1">
        <v>0</v>
      </c>
      <c r="U303" s="1">
        <v>0</v>
      </c>
      <c r="W303" s="1" t="str">
        <f t="shared" si="4"/>
        <v>No</v>
      </c>
    </row>
    <row r="304" spans="1:23" s="1" customFormat="1" ht="11.25">
      <c r="A304" s="2" t="s">
        <v>1247</v>
      </c>
      <c r="B304" s="21" t="s">
        <v>553</v>
      </c>
      <c r="C304" s="26" t="s">
        <v>19</v>
      </c>
      <c r="D304" s="163">
        <v>9012</v>
      </c>
      <c r="E304" s="166">
        <v>90012</v>
      </c>
      <c r="F304" s="92" t="s">
        <v>160</v>
      </c>
      <c r="G304" s="20" t="s">
        <v>149</v>
      </c>
      <c r="H304" s="18">
        <v>370583</v>
      </c>
      <c r="I304" s="18">
        <v>104</v>
      </c>
      <c r="J304" s="4" t="s">
        <v>12</v>
      </c>
      <c r="K304" s="26" t="s">
        <v>15</v>
      </c>
      <c r="L304" s="172">
        <v>22</v>
      </c>
      <c r="M304" s="6">
        <v>0</v>
      </c>
      <c r="N304" s="6"/>
      <c r="O304" s="6">
        <v>0</v>
      </c>
      <c r="P304" s="6"/>
      <c r="Q304" s="7">
        <v>0</v>
      </c>
      <c r="R304" s="6"/>
      <c r="S304" s="1">
        <v>0</v>
      </c>
      <c r="U304" s="1">
        <v>0</v>
      </c>
      <c r="W304" s="1" t="str">
        <f t="shared" si="4"/>
        <v>No</v>
      </c>
    </row>
    <row r="305" spans="1:23" s="1" customFormat="1" ht="11.25">
      <c r="A305" s="2" t="s">
        <v>1383</v>
      </c>
      <c r="B305" s="21" t="s">
        <v>634</v>
      </c>
      <c r="C305" s="26" t="s">
        <v>45</v>
      </c>
      <c r="D305" s="163">
        <v>1014</v>
      </c>
      <c r="E305" s="166">
        <v>10014</v>
      </c>
      <c r="F305" s="92" t="s">
        <v>160</v>
      </c>
      <c r="G305" s="20" t="s">
        <v>149</v>
      </c>
      <c r="H305" s="18">
        <v>486514</v>
      </c>
      <c r="I305" s="18">
        <v>103</v>
      </c>
      <c r="J305" s="4" t="s">
        <v>12</v>
      </c>
      <c r="K305" s="26" t="s">
        <v>11</v>
      </c>
      <c r="L305" s="172">
        <v>44</v>
      </c>
      <c r="M305" s="6">
        <v>1</v>
      </c>
      <c r="N305" s="6"/>
      <c r="O305" s="6">
        <v>0</v>
      </c>
      <c r="P305" s="6"/>
      <c r="Q305" s="7">
        <v>1</v>
      </c>
      <c r="R305" s="6"/>
      <c r="S305" s="1">
        <v>0</v>
      </c>
      <c r="U305" s="1">
        <v>0</v>
      </c>
      <c r="W305" s="1" t="str">
        <f t="shared" si="4"/>
        <v>No</v>
      </c>
    </row>
    <row r="306" spans="1:23" s="1" customFormat="1" ht="11.25">
      <c r="A306" s="2" t="s">
        <v>1383</v>
      </c>
      <c r="B306" s="21" t="s">
        <v>634</v>
      </c>
      <c r="C306" s="26" t="s">
        <v>45</v>
      </c>
      <c r="D306" s="163">
        <v>1014</v>
      </c>
      <c r="E306" s="166">
        <v>10014</v>
      </c>
      <c r="F306" s="92" t="s">
        <v>160</v>
      </c>
      <c r="G306" s="20" t="s">
        <v>149</v>
      </c>
      <c r="H306" s="18">
        <v>486514</v>
      </c>
      <c r="I306" s="18">
        <v>103</v>
      </c>
      <c r="J306" s="4" t="s">
        <v>12</v>
      </c>
      <c r="K306" s="26" t="s">
        <v>15</v>
      </c>
      <c r="L306" s="172">
        <v>1</v>
      </c>
      <c r="M306" s="6">
        <v>0</v>
      </c>
      <c r="N306" s="6"/>
      <c r="O306" s="6">
        <v>0</v>
      </c>
      <c r="P306" s="6"/>
      <c r="Q306" s="7">
        <v>0</v>
      </c>
      <c r="R306" s="6"/>
      <c r="S306" s="1">
        <v>0</v>
      </c>
      <c r="U306" s="1">
        <v>0</v>
      </c>
      <c r="W306" s="1" t="str">
        <f t="shared" si="4"/>
        <v>No</v>
      </c>
    </row>
    <row r="307" spans="1:23" s="1" customFormat="1" ht="11.25">
      <c r="A307" s="2" t="s">
        <v>1303</v>
      </c>
      <c r="B307" s="21" t="s">
        <v>565</v>
      </c>
      <c r="C307" s="26" t="s">
        <v>62</v>
      </c>
      <c r="D307" s="163">
        <v>2128</v>
      </c>
      <c r="E307" s="166">
        <v>20128</v>
      </c>
      <c r="F307" s="92" t="s">
        <v>148</v>
      </c>
      <c r="G307" s="20" t="s">
        <v>149</v>
      </c>
      <c r="H307" s="18">
        <v>18351295</v>
      </c>
      <c r="I307" s="18">
        <v>103</v>
      </c>
      <c r="J307" s="4" t="s">
        <v>21</v>
      </c>
      <c r="K307" s="26" t="s">
        <v>11</v>
      </c>
      <c r="L307" s="172">
        <v>103</v>
      </c>
      <c r="M307" s="6">
        <v>3</v>
      </c>
      <c r="N307" s="6"/>
      <c r="O307" s="6">
        <v>0</v>
      </c>
      <c r="P307" s="6"/>
      <c r="Q307" s="7">
        <v>3</v>
      </c>
      <c r="R307" s="6"/>
      <c r="S307" s="1">
        <v>2</v>
      </c>
      <c r="U307" s="1">
        <v>0</v>
      </c>
      <c r="W307" s="1" t="str">
        <f t="shared" si="4"/>
        <v>No</v>
      </c>
    </row>
    <row r="308" spans="1:23" s="1" customFormat="1" ht="11.25">
      <c r="A308" s="2" t="s">
        <v>1329</v>
      </c>
      <c r="B308" s="21" t="s">
        <v>272</v>
      </c>
      <c r="C308" s="26" t="s">
        <v>43</v>
      </c>
      <c r="D308" s="163">
        <v>4017</v>
      </c>
      <c r="E308" s="166">
        <v>40017</v>
      </c>
      <c r="F308" s="92" t="s">
        <v>160</v>
      </c>
      <c r="G308" s="20" t="s">
        <v>149</v>
      </c>
      <c r="H308" s="18">
        <v>290263</v>
      </c>
      <c r="I308" s="18">
        <v>103</v>
      </c>
      <c r="J308" s="4" t="s">
        <v>12</v>
      </c>
      <c r="K308" s="26" t="s">
        <v>11</v>
      </c>
      <c r="L308" s="172">
        <v>51</v>
      </c>
      <c r="M308" s="6">
        <v>1</v>
      </c>
      <c r="N308" s="6"/>
      <c r="O308" s="6">
        <v>0</v>
      </c>
      <c r="P308" s="6"/>
      <c r="Q308" s="7">
        <v>1</v>
      </c>
      <c r="R308" s="6"/>
      <c r="S308" s="1">
        <v>1</v>
      </c>
      <c r="U308" s="1">
        <v>0</v>
      </c>
      <c r="W308" s="1" t="str">
        <f t="shared" si="4"/>
        <v>No</v>
      </c>
    </row>
    <row r="309" spans="1:23" s="1" customFormat="1" ht="11.25">
      <c r="A309" s="2" t="s">
        <v>1688</v>
      </c>
      <c r="B309" s="21" t="s">
        <v>340</v>
      </c>
      <c r="C309" s="26" t="s">
        <v>35</v>
      </c>
      <c r="D309" s="163">
        <v>4078</v>
      </c>
      <c r="E309" s="166">
        <v>40078</v>
      </c>
      <c r="F309" s="92" t="s">
        <v>152</v>
      </c>
      <c r="G309" s="20" t="s">
        <v>149</v>
      </c>
      <c r="H309" s="18">
        <v>4515419</v>
      </c>
      <c r="I309" s="18">
        <v>102</v>
      </c>
      <c r="J309" s="4" t="s">
        <v>21</v>
      </c>
      <c r="K309" s="26" t="s">
        <v>15</v>
      </c>
      <c r="L309" s="172">
        <v>29</v>
      </c>
      <c r="M309" s="6">
        <v>2</v>
      </c>
      <c r="N309" s="6"/>
      <c r="O309" s="6">
        <v>0</v>
      </c>
      <c r="P309" s="6"/>
      <c r="Q309" s="7">
        <v>2</v>
      </c>
      <c r="R309" s="6"/>
      <c r="S309" s="1">
        <v>0</v>
      </c>
      <c r="U309" s="1">
        <v>0</v>
      </c>
      <c r="W309" s="1" t="str">
        <f t="shared" si="4"/>
        <v>No</v>
      </c>
    </row>
    <row r="310" spans="1:23" s="1" customFormat="1" ht="11.25">
      <c r="A310" s="2" t="s">
        <v>1688</v>
      </c>
      <c r="B310" s="21" t="s">
        <v>340</v>
      </c>
      <c r="C310" s="26" t="s">
        <v>35</v>
      </c>
      <c r="D310" s="163">
        <v>4078</v>
      </c>
      <c r="E310" s="166">
        <v>40078</v>
      </c>
      <c r="F310" s="92" t="s">
        <v>152</v>
      </c>
      <c r="G310" s="20" t="s">
        <v>149</v>
      </c>
      <c r="H310" s="18">
        <v>4515419</v>
      </c>
      <c r="I310" s="18">
        <v>102</v>
      </c>
      <c r="J310" s="4" t="s">
        <v>12</v>
      </c>
      <c r="K310" s="26" t="s">
        <v>15</v>
      </c>
      <c r="L310" s="172">
        <v>48</v>
      </c>
      <c r="M310" s="6">
        <v>2</v>
      </c>
      <c r="N310" s="6"/>
      <c r="O310" s="6">
        <v>0</v>
      </c>
      <c r="P310" s="6"/>
      <c r="Q310" s="7">
        <v>2</v>
      </c>
      <c r="R310" s="6"/>
      <c r="S310" s="1">
        <v>0</v>
      </c>
      <c r="U310" s="1">
        <v>0</v>
      </c>
      <c r="W310" s="1" t="str">
        <f t="shared" si="4"/>
        <v>No</v>
      </c>
    </row>
    <row r="311" spans="1:23" s="1" customFormat="1" ht="11.25">
      <c r="A311" s="2" t="s">
        <v>1423</v>
      </c>
      <c r="B311" s="21" t="s">
        <v>1424</v>
      </c>
      <c r="C311" s="26" t="s">
        <v>84</v>
      </c>
      <c r="D311" s="163">
        <v>6091</v>
      </c>
      <c r="E311" s="166">
        <v>60091</v>
      </c>
      <c r="F311" s="92" t="s">
        <v>160</v>
      </c>
      <c r="G311" s="20" t="s">
        <v>149</v>
      </c>
      <c r="H311" s="18">
        <v>217630</v>
      </c>
      <c r="I311" s="18">
        <v>102</v>
      </c>
      <c r="J311" s="4" t="s">
        <v>12</v>
      </c>
      <c r="K311" s="26" t="s">
        <v>11</v>
      </c>
      <c r="L311" s="172">
        <v>13</v>
      </c>
      <c r="M311" s="6">
        <v>0</v>
      </c>
      <c r="N311" s="6"/>
      <c r="O311" s="6">
        <v>0</v>
      </c>
      <c r="P311" s="6"/>
      <c r="Q311" s="7">
        <v>0</v>
      </c>
      <c r="R311" s="6"/>
      <c r="S311" s="1">
        <v>0</v>
      </c>
      <c r="U311" s="1">
        <v>0</v>
      </c>
      <c r="W311" s="1" t="str">
        <f t="shared" si="4"/>
        <v>No</v>
      </c>
    </row>
    <row r="312" spans="1:23" s="1" customFormat="1" ht="11.25">
      <c r="A312" s="2" t="s">
        <v>1047</v>
      </c>
      <c r="B312" s="21" t="s">
        <v>1048</v>
      </c>
      <c r="C312" s="26" t="s">
        <v>42</v>
      </c>
      <c r="D312" s="163">
        <v>7035</v>
      </c>
      <c r="E312" s="166">
        <v>70035</v>
      </c>
      <c r="F312" s="92" t="s">
        <v>152</v>
      </c>
      <c r="G312" s="20" t="s">
        <v>149</v>
      </c>
      <c r="H312" s="18">
        <v>1519417</v>
      </c>
      <c r="I312" s="18">
        <v>101</v>
      </c>
      <c r="J312" s="4" t="s">
        <v>21</v>
      </c>
      <c r="K312" s="26" t="s">
        <v>15</v>
      </c>
      <c r="L312" s="172">
        <v>21</v>
      </c>
      <c r="M312" s="6">
        <v>0</v>
      </c>
      <c r="N312" s="6"/>
      <c r="O312" s="6">
        <v>0</v>
      </c>
      <c r="P312" s="6"/>
      <c r="Q312" s="7">
        <v>0</v>
      </c>
      <c r="R312" s="6"/>
      <c r="S312" s="1">
        <v>0</v>
      </c>
      <c r="U312" s="1">
        <v>0</v>
      </c>
      <c r="W312" s="1" t="str">
        <f t="shared" si="4"/>
        <v>No</v>
      </c>
    </row>
    <row r="313" spans="1:23" s="1" customFormat="1" ht="11.25">
      <c r="A313" s="2" t="s">
        <v>1047</v>
      </c>
      <c r="B313" s="21" t="s">
        <v>1048</v>
      </c>
      <c r="C313" s="26" t="s">
        <v>42</v>
      </c>
      <c r="D313" s="163">
        <v>7035</v>
      </c>
      <c r="E313" s="166">
        <v>70035</v>
      </c>
      <c r="F313" s="92" t="s">
        <v>152</v>
      </c>
      <c r="G313" s="20" t="s">
        <v>149</v>
      </c>
      <c r="H313" s="18">
        <v>1519417</v>
      </c>
      <c r="I313" s="18">
        <v>101</v>
      </c>
      <c r="J313" s="4" t="s">
        <v>12</v>
      </c>
      <c r="K313" s="26" t="s">
        <v>15</v>
      </c>
      <c r="L313" s="172">
        <v>22</v>
      </c>
      <c r="M313" s="6">
        <v>0</v>
      </c>
      <c r="N313" s="6"/>
      <c r="O313" s="6">
        <v>0</v>
      </c>
      <c r="P313" s="6"/>
      <c r="Q313" s="7">
        <v>0</v>
      </c>
      <c r="R313" s="6"/>
      <c r="S313" s="1">
        <v>0</v>
      </c>
      <c r="U313" s="1">
        <v>0</v>
      </c>
      <c r="W313" s="1" t="str">
        <f t="shared" si="4"/>
        <v>No</v>
      </c>
    </row>
    <row r="314" spans="1:23" s="1" customFormat="1" ht="11.25">
      <c r="A314" s="2" t="s">
        <v>623</v>
      </c>
      <c r="B314" s="21" t="s">
        <v>201</v>
      </c>
      <c r="C314" s="26" t="s">
        <v>13</v>
      </c>
      <c r="D314" s="163">
        <v>4042</v>
      </c>
      <c r="E314" s="166">
        <v>40042</v>
      </c>
      <c r="F314" s="92" t="s">
        <v>160</v>
      </c>
      <c r="G314" s="20" t="s">
        <v>149</v>
      </c>
      <c r="H314" s="18">
        <v>749495</v>
      </c>
      <c r="I314" s="18">
        <v>100</v>
      </c>
      <c r="J314" s="4" t="s">
        <v>12</v>
      </c>
      <c r="K314" s="26" t="s">
        <v>11</v>
      </c>
      <c r="L314" s="172">
        <v>70</v>
      </c>
      <c r="M314" s="6">
        <v>1</v>
      </c>
      <c r="N314" s="6"/>
      <c r="O314" s="6">
        <v>0</v>
      </c>
      <c r="P314" s="6"/>
      <c r="Q314" s="7">
        <v>1</v>
      </c>
      <c r="R314" s="6"/>
      <c r="S314" s="1">
        <v>0</v>
      </c>
      <c r="U314" s="1">
        <v>0</v>
      </c>
      <c r="W314" s="1" t="str">
        <f t="shared" si="4"/>
        <v>No</v>
      </c>
    </row>
    <row r="315" spans="1:23" s="1" customFormat="1" ht="11.25">
      <c r="A315" s="2" t="s">
        <v>934</v>
      </c>
      <c r="B315" s="21" t="s">
        <v>838</v>
      </c>
      <c r="C315" s="26" t="s">
        <v>29</v>
      </c>
      <c r="D315" s="163">
        <v>1055</v>
      </c>
      <c r="E315" s="166">
        <v>10055</v>
      </c>
      <c r="F315" s="92" t="s">
        <v>269</v>
      </c>
      <c r="G315" s="20" t="s">
        <v>149</v>
      </c>
      <c r="H315" s="18">
        <v>562839</v>
      </c>
      <c r="I315" s="18">
        <v>98</v>
      </c>
      <c r="J315" s="4" t="s">
        <v>12</v>
      </c>
      <c r="K315" s="26" t="s">
        <v>11</v>
      </c>
      <c r="L315" s="172">
        <v>98</v>
      </c>
      <c r="M315" s="6">
        <v>0</v>
      </c>
      <c r="N315" s="6"/>
      <c r="O315" s="6">
        <v>0</v>
      </c>
      <c r="P315" s="6"/>
      <c r="Q315" s="7">
        <v>0</v>
      </c>
      <c r="R315" s="6"/>
      <c r="S315" s="1">
        <v>0</v>
      </c>
      <c r="U315" s="1">
        <v>0</v>
      </c>
      <c r="W315" s="1" t="str">
        <f t="shared" si="4"/>
        <v>No</v>
      </c>
    </row>
    <row r="316" spans="1:23" s="1" customFormat="1" ht="11.25">
      <c r="A316" s="2" t="s">
        <v>1353</v>
      </c>
      <c r="B316" s="21" t="s">
        <v>738</v>
      </c>
      <c r="C316" s="26" t="s">
        <v>86</v>
      </c>
      <c r="D316" s="163">
        <v>3073</v>
      </c>
      <c r="E316" s="166">
        <v>30073</v>
      </c>
      <c r="F316" s="92" t="s">
        <v>160</v>
      </c>
      <c r="G316" s="20" t="s">
        <v>149</v>
      </c>
      <c r="H316" s="18">
        <v>4586770</v>
      </c>
      <c r="I316" s="18">
        <v>97</v>
      </c>
      <c r="J316" s="4" t="s">
        <v>20</v>
      </c>
      <c r="K316" s="26" t="s">
        <v>15</v>
      </c>
      <c r="L316" s="172">
        <v>97</v>
      </c>
      <c r="M316" s="6">
        <v>19</v>
      </c>
      <c r="N316" s="6"/>
      <c r="O316" s="6">
        <v>0</v>
      </c>
      <c r="P316" s="6"/>
      <c r="Q316" s="7">
        <v>19</v>
      </c>
      <c r="R316" s="6"/>
      <c r="S316" s="1">
        <v>5</v>
      </c>
      <c r="U316" s="1">
        <v>0</v>
      </c>
      <c r="W316" s="1" t="str">
        <f t="shared" si="4"/>
        <v>No</v>
      </c>
    </row>
    <row r="317" spans="1:23" s="1" customFormat="1" ht="11.25">
      <c r="A317" s="2" t="s">
        <v>72</v>
      </c>
      <c r="B317" s="21" t="s">
        <v>1055</v>
      </c>
      <c r="C317" s="26" t="s">
        <v>71</v>
      </c>
      <c r="D317" s="163">
        <v>5117</v>
      </c>
      <c r="E317" s="166">
        <v>50117</v>
      </c>
      <c r="F317" s="92" t="s">
        <v>160</v>
      </c>
      <c r="G317" s="20" t="s">
        <v>149</v>
      </c>
      <c r="H317" s="18">
        <v>1780673</v>
      </c>
      <c r="I317" s="18">
        <v>96</v>
      </c>
      <c r="J317" s="4" t="s">
        <v>21</v>
      </c>
      <c r="K317" s="26" t="s">
        <v>11</v>
      </c>
      <c r="L317" s="172">
        <v>14</v>
      </c>
      <c r="M317" s="6">
        <v>0</v>
      </c>
      <c r="N317" s="6"/>
      <c r="O317" s="6">
        <v>0</v>
      </c>
      <c r="P317" s="6"/>
      <c r="Q317" s="7">
        <v>0</v>
      </c>
      <c r="R317" s="6"/>
      <c r="S317" s="1">
        <v>0</v>
      </c>
      <c r="U317" s="1">
        <v>0</v>
      </c>
      <c r="W317" s="1" t="str">
        <f t="shared" si="4"/>
        <v>No</v>
      </c>
    </row>
    <row r="318" spans="1:23" s="1" customFormat="1" ht="11.25">
      <c r="A318" s="2" t="s">
        <v>1078</v>
      </c>
      <c r="B318" s="21" t="s">
        <v>1079</v>
      </c>
      <c r="C318" s="26" t="s">
        <v>86</v>
      </c>
      <c r="D318" s="163">
        <v>3081</v>
      </c>
      <c r="E318" s="166">
        <v>30081</v>
      </c>
      <c r="F318" s="92" t="s">
        <v>152</v>
      </c>
      <c r="G318" s="20" t="s">
        <v>149</v>
      </c>
      <c r="H318" s="18">
        <v>4586770</v>
      </c>
      <c r="I318" s="18">
        <v>96</v>
      </c>
      <c r="J318" s="4" t="s">
        <v>21</v>
      </c>
      <c r="K318" s="26" t="s">
        <v>15</v>
      </c>
      <c r="L318" s="172">
        <v>50</v>
      </c>
      <c r="M318" s="6">
        <v>0</v>
      </c>
      <c r="N318" s="6"/>
      <c r="O318" s="6">
        <v>0</v>
      </c>
      <c r="P318" s="6"/>
      <c r="Q318" s="7">
        <v>0</v>
      </c>
      <c r="R318" s="6"/>
      <c r="S318" s="1">
        <v>0</v>
      </c>
      <c r="U318" s="1">
        <v>0</v>
      </c>
      <c r="W318" s="1" t="str">
        <f t="shared" si="4"/>
        <v>No</v>
      </c>
    </row>
    <row r="319" spans="1:23" s="1" customFormat="1" ht="11.25">
      <c r="A319" s="2" t="s">
        <v>72</v>
      </c>
      <c r="B319" s="21" t="s">
        <v>1055</v>
      </c>
      <c r="C319" s="26" t="s">
        <v>71</v>
      </c>
      <c r="D319" s="163">
        <v>5117</v>
      </c>
      <c r="E319" s="166">
        <v>50117</v>
      </c>
      <c r="F319" s="92" t="s">
        <v>160</v>
      </c>
      <c r="G319" s="20" t="s">
        <v>149</v>
      </c>
      <c r="H319" s="18">
        <v>1780673</v>
      </c>
      <c r="I319" s="18">
        <v>96</v>
      </c>
      <c r="J319" s="4" t="s">
        <v>12</v>
      </c>
      <c r="K319" s="26" t="s">
        <v>11</v>
      </c>
      <c r="L319" s="172">
        <v>10</v>
      </c>
      <c r="M319" s="6">
        <v>5</v>
      </c>
      <c r="N319" s="6"/>
      <c r="O319" s="6">
        <v>0</v>
      </c>
      <c r="P319" s="6"/>
      <c r="Q319" s="7">
        <v>5</v>
      </c>
      <c r="R319" s="6"/>
      <c r="S319" s="1">
        <v>0</v>
      </c>
      <c r="U319" s="1">
        <v>0</v>
      </c>
      <c r="W319" s="1" t="str">
        <f t="shared" si="4"/>
        <v>No</v>
      </c>
    </row>
    <row r="320" spans="1:23" s="1" customFormat="1" ht="11.25">
      <c r="A320" s="2" t="s">
        <v>1078</v>
      </c>
      <c r="B320" s="21" t="s">
        <v>1079</v>
      </c>
      <c r="C320" s="26" t="s">
        <v>86</v>
      </c>
      <c r="D320" s="163">
        <v>3081</v>
      </c>
      <c r="E320" s="166">
        <v>30081</v>
      </c>
      <c r="F320" s="92" t="s">
        <v>152</v>
      </c>
      <c r="G320" s="20" t="s">
        <v>149</v>
      </c>
      <c r="H320" s="18">
        <v>4586770</v>
      </c>
      <c r="I320" s="18">
        <v>96</v>
      </c>
      <c r="J320" s="4" t="s">
        <v>12</v>
      </c>
      <c r="K320" s="26" t="s">
        <v>15</v>
      </c>
      <c r="L320" s="172">
        <v>46</v>
      </c>
      <c r="M320" s="6">
        <v>0</v>
      </c>
      <c r="N320" s="6"/>
      <c r="O320" s="6">
        <v>0</v>
      </c>
      <c r="P320" s="6"/>
      <c r="Q320" s="7">
        <v>0</v>
      </c>
      <c r="R320" s="6"/>
      <c r="S320" s="1">
        <v>0</v>
      </c>
      <c r="U320" s="1">
        <v>0</v>
      </c>
      <c r="W320" s="1" t="str">
        <f t="shared" si="4"/>
        <v>No</v>
      </c>
    </row>
    <row r="321" spans="1:23" s="1" customFormat="1" ht="11.25">
      <c r="A321" s="2" t="s">
        <v>454</v>
      </c>
      <c r="B321" s="21" t="s">
        <v>455</v>
      </c>
      <c r="C321" s="26" t="s">
        <v>45</v>
      </c>
      <c r="D321" s="163">
        <v>1118</v>
      </c>
      <c r="E321" s="166">
        <v>10118</v>
      </c>
      <c r="F321" s="92" t="s">
        <v>160</v>
      </c>
      <c r="G321" s="20" t="s">
        <v>149</v>
      </c>
      <c r="H321" s="18">
        <v>4181019</v>
      </c>
      <c r="I321" s="18">
        <v>95</v>
      </c>
      <c r="J321" s="4" t="s">
        <v>12</v>
      </c>
      <c r="K321" s="26" t="s">
        <v>15</v>
      </c>
      <c r="L321" s="172">
        <v>33</v>
      </c>
      <c r="M321" s="6">
        <v>1</v>
      </c>
      <c r="N321" s="6"/>
      <c r="O321" s="6">
        <v>0</v>
      </c>
      <c r="P321" s="6"/>
      <c r="Q321" s="7">
        <v>1</v>
      </c>
      <c r="R321" s="6"/>
      <c r="S321" s="1">
        <v>0</v>
      </c>
      <c r="U321" s="1">
        <v>0</v>
      </c>
      <c r="W321" s="1" t="str">
        <f t="shared" si="4"/>
        <v>No</v>
      </c>
    </row>
    <row r="322" spans="1:23" s="1" customFormat="1" ht="11.25">
      <c r="A322" s="2" t="s">
        <v>66</v>
      </c>
      <c r="B322" s="21" t="s">
        <v>1427</v>
      </c>
      <c r="C322" s="26" t="s">
        <v>62</v>
      </c>
      <c r="D322" s="163">
        <v>2149</v>
      </c>
      <c r="E322" s="166">
        <v>20149</v>
      </c>
      <c r="F322" s="92" t="s">
        <v>148</v>
      </c>
      <c r="G322" s="20" t="s">
        <v>149</v>
      </c>
      <c r="H322" s="18">
        <v>18351295</v>
      </c>
      <c r="I322" s="18">
        <v>94</v>
      </c>
      <c r="J322" s="4" t="s">
        <v>21</v>
      </c>
      <c r="K322" s="26" t="s">
        <v>11</v>
      </c>
      <c r="L322" s="172">
        <v>94</v>
      </c>
      <c r="M322" s="6">
        <v>2</v>
      </c>
      <c r="N322" s="6"/>
      <c r="O322" s="6">
        <v>0</v>
      </c>
      <c r="P322" s="6"/>
      <c r="Q322" s="7">
        <v>2</v>
      </c>
      <c r="R322" s="6"/>
      <c r="S322" s="1">
        <v>0</v>
      </c>
      <c r="U322" s="1">
        <v>0</v>
      </c>
      <c r="W322" s="1" t="str">
        <f t="shared" ref="W322:W385" si="5">IF(V322&amp;T322&amp;R322&amp;P322&amp;N322&lt;&gt;"","Yes","No")</f>
        <v>No</v>
      </c>
    </row>
    <row r="323" spans="1:23" s="1" customFormat="1" ht="11.25">
      <c r="A323" s="2" t="s">
        <v>1116</v>
      </c>
      <c r="B323" s="21" t="s">
        <v>1117</v>
      </c>
      <c r="C323" s="26" t="s">
        <v>73</v>
      </c>
      <c r="D323" s="163">
        <v>6018</v>
      </c>
      <c r="E323" s="166">
        <v>60018</v>
      </c>
      <c r="F323" s="92" t="s">
        <v>152</v>
      </c>
      <c r="G323" s="20" t="s">
        <v>149</v>
      </c>
      <c r="H323" s="18">
        <v>655479</v>
      </c>
      <c r="I323" s="18">
        <v>93</v>
      </c>
      <c r="J323" s="4" t="s">
        <v>12</v>
      </c>
      <c r="K323" s="26" t="s">
        <v>11</v>
      </c>
      <c r="L323" s="172">
        <v>53</v>
      </c>
      <c r="M323" s="6">
        <v>2</v>
      </c>
      <c r="N323" s="6"/>
      <c r="O323" s="6">
        <v>0</v>
      </c>
      <c r="P323" s="6"/>
      <c r="Q323" s="7">
        <v>2</v>
      </c>
      <c r="R323" s="6"/>
      <c r="S323" s="1">
        <v>0</v>
      </c>
      <c r="U323" s="1">
        <v>0</v>
      </c>
      <c r="W323" s="1" t="str">
        <f t="shared" si="5"/>
        <v>No</v>
      </c>
    </row>
    <row r="324" spans="1:23" s="1" customFormat="1" ht="11.25">
      <c r="A324" s="2" t="s">
        <v>1116</v>
      </c>
      <c r="B324" s="21" t="s">
        <v>1117</v>
      </c>
      <c r="C324" s="26" t="s">
        <v>73</v>
      </c>
      <c r="D324" s="163">
        <v>6018</v>
      </c>
      <c r="E324" s="166">
        <v>60018</v>
      </c>
      <c r="F324" s="92" t="s">
        <v>152</v>
      </c>
      <c r="G324" s="20" t="s">
        <v>149</v>
      </c>
      <c r="H324" s="18">
        <v>655479</v>
      </c>
      <c r="I324" s="18">
        <v>93</v>
      </c>
      <c r="J324" s="4" t="s">
        <v>12</v>
      </c>
      <c r="K324" s="26" t="s">
        <v>15</v>
      </c>
      <c r="L324" s="172">
        <v>7</v>
      </c>
      <c r="M324" s="6">
        <v>2</v>
      </c>
      <c r="N324" s="6"/>
      <c r="O324" s="6">
        <v>0</v>
      </c>
      <c r="P324" s="6"/>
      <c r="Q324" s="7">
        <v>2</v>
      </c>
      <c r="R324" s="6"/>
      <c r="S324" s="1">
        <v>0</v>
      </c>
      <c r="U324" s="1">
        <v>0</v>
      </c>
      <c r="W324" s="1" t="str">
        <f t="shared" si="5"/>
        <v>No</v>
      </c>
    </row>
    <row r="325" spans="1:23" s="1" customFormat="1" ht="11.25">
      <c r="A325" s="2" t="s">
        <v>1309</v>
      </c>
      <c r="B325" s="21" t="s">
        <v>1310</v>
      </c>
      <c r="C325" s="26" t="s">
        <v>19</v>
      </c>
      <c r="D325" s="163">
        <v>9079</v>
      </c>
      <c r="E325" s="166">
        <v>90079</v>
      </c>
      <c r="F325" s="92" t="s">
        <v>160</v>
      </c>
      <c r="G325" s="20" t="s">
        <v>149</v>
      </c>
      <c r="H325" s="18">
        <v>345580</v>
      </c>
      <c r="I325" s="18">
        <v>93</v>
      </c>
      <c r="J325" s="4" t="s">
        <v>12</v>
      </c>
      <c r="K325" s="26" t="s">
        <v>11</v>
      </c>
      <c r="L325" s="172">
        <v>61</v>
      </c>
      <c r="M325" s="6">
        <v>1</v>
      </c>
      <c r="N325" s="6"/>
      <c r="O325" s="6">
        <v>0</v>
      </c>
      <c r="P325" s="6"/>
      <c r="Q325" s="7">
        <v>1</v>
      </c>
      <c r="R325" s="6"/>
      <c r="S325" s="1">
        <v>0</v>
      </c>
      <c r="U325" s="1">
        <v>0</v>
      </c>
      <c r="W325" s="1" t="str">
        <f t="shared" si="5"/>
        <v>No</v>
      </c>
    </row>
    <row r="326" spans="1:23" s="1" customFormat="1" ht="11.25">
      <c r="A326" s="2" t="s">
        <v>1260</v>
      </c>
      <c r="B326" s="21" t="s">
        <v>1261</v>
      </c>
      <c r="C326" s="26" t="s">
        <v>32</v>
      </c>
      <c r="D326" s="163">
        <v>4046</v>
      </c>
      <c r="E326" s="166">
        <v>40046</v>
      </c>
      <c r="F326" s="92" t="s">
        <v>152</v>
      </c>
      <c r="G326" s="20" t="s">
        <v>149</v>
      </c>
      <c r="H326" s="18">
        <v>643260</v>
      </c>
      <c r="I326" s="18">
        <v>92</v>
      </c>
      <c r="J326" s="4" t="s">
        <v>21</v>
      </c>
      <c r="K326" s="26" t="s">
        <v>11</v>
      </c>
      <c r="L326" s="172">
        <v>5</v>
      </c>
      <c r="M326" s="6">
        <v>1</v>
      </c>
      <c r="N326" s="6"/>
      <c r="O326" s="6">
        <v>0</v>
      </c>
      <c r="P326" s="6"/>
      <c r="Q326" s="7">
        <v>1</v>
      </c>
      <c r="R326" s="6"/>
      <c r="S326" s="1">
        <v>0</v>
      </c>
      <c r="U326" s="1">
        <v>0</v>
      </c>
      <c r="W326" s="1" t="str">
        <f t="shared" si="5"/>
        <v>No</v>
      </c>
    </row>
    <row r="327" spans="1:23" s="1" customFormat="1" ht="11.25">
      <c r="A327" s="2" t="s">
        <v>1373</v>
      </c>
      <c r="B327" s="21" t="s">
        <v>1374</v>
      </c>
      <c r="C327" s="26" t="s">
        <v>75</v>
      </c>
      <c r="D327" s="163">
        <v>3044</v>
      </c>
      <c r="E327" s="166">
        <v>30044</v>
      </c>
      <c r="F327" s="92" t="s">
        <v>152</v>
      </c>
      <c r="G327" s="20" t="s">
        <v>149</v>
      </c>
      <c r="H327" s="18">
        <v>1733853</v>
      </c>
      <c r="I327" s="18">
        <v>92</v>
      </c>
      <c r="J327" s="4" t="s">
        <v>12</v>
      </c>
      <c r="K327" s="26" t="s">
        <v>15</v>
      </c>
      <c r="L327" s="172">
        <v>31</v>
      </c>
      <c r="M327" s="6">
        <v>1</v>
      </c>
      <c r="N327" s="6"/>
      <c r="O327" s="6">
        <v>0</v>
      </c>
      <c r="P327" s="6"/>
      <c r="Q327" s="7">
        <v>1</v>
      </c>
      <c r="R327" s="6"/>
      <c r="S327" s="1">
        <v>0</v>
      </c>
      <c r="U327" s="1">
        <v>0</v>
      </c>
      <c r="W327" s="1" t="str">
        <f t="shared" si="5"/>
        <v>No</v>
      </c>
    </row>
    <row r="328" spans="1:23" s="1" customFormat="1" ht="11.25">
      <c r="A328" s="2" t="s">
        <v>1260</v>
      </c>
      <c r="B328" s="21" t="s">
        <v>1261</v>
      </c>
      <c r="C328" s="26" t="s">
        <v>32</v>
      </c>
      <c r="D328" s="163">
        <v>4046</v>
      </c>
      <c r="E328" s="166">
        <v>40046</v>
      </c>
      <c r="F328" s="92" t="s">
        <v>152</v>
      </c>
      <c r="G328" s="20" t="s">
        <v>149</v>
      </c>
      <c r="H328" s="18">
        <v>643260</v>
      </c>
      <c r="I328" s="18">
        <v>92</v>
      </c>
      <c r="J328" s="4" t="s">
        <v>12</v>
      </c>
      <c r="K328" s="26" t="s">
        <v>11</v>
      </c>
      <c r="L328" s="172">
        <v>48</v>
      </c>
      <c r="M328" s="6">
        <v>4</v>
      </c>
      <c r="N328" s="6"/>
      <c r="O328" s="6">
        <v>0</v>
      </c>
      <c r="P328" s="6"/>
      <c r="Q328" s="7">
        <v>4</v>
      </c>
      <c r="R328" s="6"/>
      <c r="S328" s="1">
        <v>0</v>
      </c>
      <c r="U328" s="1">
        <v>0</v>
      </c>
      <c r="W328" s="1" t="str">
        <f t="shared" si="5"/>
        <v>No</v>
      </c>
    </row>
    <row r="329" spans="1:23" s="1" customFormat="1" ht="11.25">
      <c r="A329" s="2" t="s">
        <v>1260</v>
      </c>
      <c r="B329" s="21" t="s">
        <v>1261</v>
      </c>
      <c r="C329" s="26" t="s">
        <v>32</v>
      </c>
      <c r="D329" s="163">
        <v>4046</v>
      </c>
      <c r="E329" s="166">
        <v>40046</v>
      </c>
      <c r="F329" s="92" t="s">
        <v>152</v>
      </c>
      <c r="G329" s="20" t="s">
        <v>149</v>
      </c>
      <c r="H329" s="18">
        <v>643260</v>
      </c>
      <c r="I329" s="18">
        <v>92</v>
      </c>
      <c r="J329" s="4" t="s">
        <v>12</v>
      </c>
      <c r="K329" s="26" t="s">
        <v>15</v>
      </c>
      <c r="L329" s="172">
        <v>3</v>
      </c>
      <c r="M329" s="6">
        <v>0</v>
      </c>
      <c r="N329" s="6"/>
      <c r="O329" s="6">
        <v>0</v>
      </c>
      <c r="P329" s="6"/>
      <c r="Q329" s="7">
        <v>0</v>
      </c>
      <c r="R329" s="6"/>
      <c r="S329" s="1">
        <v>0</v>
      </c>
      <c r="U329" s="1">
        <v>0</v>
      </c>
      <c r="W329" s="1" t="str">
        <f t="shared" si="5"/>
        <v>No</v>
      </c>
    </row>
    <row r="330" spans="1:23" s="1" customFormat="1" ht="11.25">
      <c r="A330" s="2" t="s">
        <v>1252</v>
      </c>
      <c r="B330" s="21" t="s">
        <v>1253</v>
      </c>
      <c r="C330" s="26" t="s">
        <v>19</v>
      </c>
      <c r="D330" s="163">
        <v>9171</v>
      </c>
      <c r="E330" s="166">
        <v>90171</v>
      </c>
      <c r="F330" s="92" t="s">
        <v>152</v>
      </c>
      <c r="G330" s="20" t="s">
        <v>149</v>
      </c>
      <c r="H330" s="18">
        <v>258653</v>
      </c>
      <c r="I330" s="18">
        <v>90</v>
      </c>
      <c r="J330" s="4" t="s">
        <v>12</v>
      </c>
      <c r="K330" s="26" t="s">
        <v>15</v>
      </c>
      <c r="L330" s="172">
        <v>44</v>
      </c>
      <c r="M330" s="6">
        <v>3</v>
      </c>
      <c r="N330" s="6"/>
      <c r="O330" s="6">
        <v>0</v>
      </c>
      <c r="P330" s="6"/>
      <c r="Q330" s="7">
        <v>3</v>
      </c>
      <c r="R330" s="6"/>
      <c r="S330" s="1">
        <v>0</v>
      </c>
      <c r="U330" s="1">
        <v>0</v>
      </c>
      <c r="W330" s="1" t="str">
        <f t="shared" si="5"/>
        <v>No</v>
      </c>
    </row>
    <row r="331" spans="1:23" s="1" customFormat="1" ht="11.25">
      <c r="A331" s="2" t="s">
        <v>964</v>
      </c>
      <c r="B331" s="21" t="s">
        <v>495</v>
      </c>
      <c r="C331" s="26" t="s">
        <v>57</v>
      </c>
      <c r="D331" s="163">
        <v>4087</v>
      </c>
      <c r="E331" s="166">
        <v>40087</v>
      </c>
      <c r="F331" s="92" t="s">
        <v>152</v>
      </c>
      <c r="G331" s="20" t="s">
        <v>149</v>
      </c>
      <c r="H331" s="18">
        <v>347602</v>
      </c>
      <c r="I331" s="18">
        <v>90</v>
      </c>
      <c r="J331" s="4" t="s">
        <v>12</v>
      </c>
      <c r="K331" s="26" t="s">
        <v>15</v>
      </c>
      <c r="L331" s="172">
        <v>45</v>
      </c>
      <c r="M331" s="6">
        <v>1</v>
      </c>
      <c r="N331" s="6"/>
      <c r="O331" s="6">
        <v>0</v>
      </c>
      <c r="P331" s="6"/>
      <c r="Q331" s="7">
        <v>1</v>
      </c>
      <c r="R331" s="6"/>
      <c r="S331" s="1">
        <v>1</v>
      </c>
      <c r="U331" s="1">
        <v>0</v>
      </c>
      <c r="W331" s="1" t="str">
        <f t="shared" si="5"/>
        <v>No</v>
      </c>
    </row>
    <row r="332" spans="1:23" s="1" customFormat="1" ht="11.25">
      <c r="A332" s="2" t="s">
        <v>1252</v>
      </c>
      <c r="B332" s="21" t="s">
        <v>1253</v>
      </c>
      <c r="C332" s="26" t="s">
        <v>19</v>
      </c>
      <c r="D332" s="163">
        <v>9171</v>
      </c>
      <c r="E332" s="166">
        <v>90171</v>
      </c>
      <c r="F332" s="92" t="s">
        <v>152</v>
      </c>
      <c r="G332" s="20" t="s">
        <v>149</v>
      </c>
      <c r="H332" s="18">
        <v>258653</v>
      </c>
      <c r="I332" s="18">
        <v>90</v>
      </c>
      <c r="J332" s="4" t="s">
        <v>21</v>
      </c>
      <c r="K332" s="26" t="s">
        <v>15</v>
      </c>
      <c r="L332" s="172">
        <v>24</v>
      </c>
      <c r="M332" s="6">
        <v>3</v>
      </c>
      <c r="N332" s="6"/>
      <c r="O332" s="6">
        <v>0</v>
      </c>
      <c r="P332" s="6"/>
      <c r="Q332" s="7">
        <v>3</v>
      </c>
      <c r="R332" s="6"/>
      <c r="S332" s="1">
        <v>0</v>
      </c>
      <c r="U332" s="1">
        <v>0</v>
      </c>
      <c r="W332" s="1" t="str">
        <f t="shared" si="5"/>
        <v>No</v>
      </c>
    </row>
    <row r="333" spans="1:23" s="1" customFormat="1" ht="11.25">
      <c r="A333" s="2" t="s">
        <v>728</v>
      </c>
      <c r="B333" s="21" t="s">
        <v>729</v>
      </c>
      <c r="C333" s="26" t="s">
        <v>84</v>
      </c>
      <c r="D333" s="163">
        <v>6010</v>
      </c>
      <c r="E333" s="166">
        <v>60010</v>
      </c>
      <c r="F333" s="92" t="s">
        <v>152</v>
      </c>
      <c r="G333" s="20" t="s">
        <v>149</v>
      </c>
      <c r="H333" s="18">
        <v>237356</v>
      </c>
      <c r="I333" s="18">
        <v>89</v>
      </c>
      <c r="J333" s="4" t="s">
        <v>12</v>
      </c>
      <c r="K333" s="26" t="s">
        <v>11</v>
      </c>
      <c r="L333" s="172">
        <v>60</v>
      </c>
      <c r="M333" s="6">
        <v>1</v>
      </c>
      <c r="N333" s="6"/>
      <c r="O333" s="6">
        <v>0</v>
      </c>
      <c r="P333" s="6"/>
      <c r="Q333" s="7">
        <v>1</v>
      </c>
      <c r="R333" s="6"/>
      <c r="S333" s="1">
        <v>0</v>
      </c>
      <c r="U333" s="1">
        <v>0</v>
      </c>
      <c r="W333" s="1" t="str">
        <f t="shared" si="5"/>
        <v>No</v>
      </c>
    </row>
    <row r="334" spans="1:23" s="1" customFormat="1" ht="11.25">
      <c r="A334" s="2" t="s">
        <v>706</v>
      </c>
      <c r="B334" s="21" t="s">
        <v>707</v>
      </c>
      <c r="C334" s="26" t="s">
        <v>57</v>
      </c>
      <c r="D334" s="163">
        <v>4051</v>
      </c>
      <c r="E334" s="166">
        <v>40051</v>
      </c>
      <c r="F334" s="92" t="s">
        <v>152</v>
      </c>
      <c r="G334" s="20" t="s">
        <v>149</v>
      </c>
      <c r="H334" s="18">
        <v>347602</v>
      </c>
      <c r="I334" s="18">
        <v>88</v>
      </c>
      <c r="J334" s="4" t="s">
        <v>12</v>
      </c>
      <c r="K334" s="26" t="s">
        <v>11</v>
      </c>
      <c r="L334" s="172">
        <v>74</v>
      </c>
      <c r="M334" s="6">
        <v>0</v>
      </c>
      <c r="N334" s="6"/>
      <c r="O334" s="6">
        <v>0</v>
      </c>
      <c r="P334" s="6"/>
      <c r="Q334" s="7">
        <v>0</v>
      </c>
      <c r="R334" s="6"/>
      <c r="S334" s="1">
        <v>0</v>
      </c>
      <c r="U334" s="1">
        <v>0</v>
      </c>
      <c r="W334" s="1" t="str">
        <f t="shared" si="5"/>
        <v>No</v>
      </c>
    </row>
    <row r="335" spans="1:23" s="1" customFormat="1" ht="11.25">
      <c r="A335" s="2" t="s">
        <v>647</v>
      </c>
      <c r="B335" s="21" t="s">
        <v>648</v>
      </c>
      <c r="C335" s="26" t="s">
        <v>45</v>
      </c>
      <c r="D335" s="163">
        <v>1004</v>
      </c>
      <c r="E335" s="166">
        <v>10004</v>
      </c>
      <c r="F335" s="92" t="s">
        <v>160</v>
      </c>
      <c r="G335" s="20" t="s">
        <v>149</v>
      </c>
      <c r="H335" s="18">
        <v>4181019</v>
      </c>
      <c r="I335" s="18">
        <v>87</v>
      </c>
      <c r="J335" s="4" t="s">
        <v>12</v>
      </c>
      <c r="K335" s="26" t="s">
        <v>15</v>
      </c>
      <c r="L335" s="172">
        <v>44</v>
      </c>
      <c r="M335" s="6">
        <v>1</v>
      </c>
      <c r="N335" s="6"/>
      <c r="O335" s="6">
        <v>0</v>
      </c>
      <c r="P335" s="6"/>
      <c r="Q335" s="7">
        <v>1</v>
      </c>
      <c r="R335" s="6"/>
      <c r="S335" s="1">
        <v>0</v>
      </c>
      <c r="U335" s="1">
        <v>0</v>
      </c>
      <c r="W335" s="1" t="str">
        <f t="shared" si="5"/>
        <v>No</v>
      </c>
    </row>
    <row r="336" spans="1:23" s="1" customFormat="1" ht="11.25">
      <c r="A336" s="2" t="s">
        <v>1248</v>
      </c>
      <c r="B336" s="21" t="s">
        <v>1249</v>
      </c>
      <c r="C336" s="26" t="s">
        <v>19</v>
      </c>
      <c r="D336" s="163">
        <v>9020</v>
      </c>
      <c r="E336" s="166">
        <v>90020</v>
      </c>
      <c r="F336" s="92" t="s">
        <v>160</v>
      </c>
      <c r="G336" s="20" t="s">
        <v>149</v>
      </c>
      <c r="H336" s="18">
        <v>195861</v>
      </c>
      <c r="I336" s="18">
        <v>87</v>
      </c>
      <c r="J336" s="4" t="s">
        <v>12</v>
      </c>
      <c r="K336" s="26" t="s">
        <v>11</v>
      </c>
      <c r="L336" s="172">
        <v>87</v>
      </c>
      <c r="M336" s="6">
        <v>1</v>
      </c>
      <c r="N336" s="6"/>
      <c r="O336" s="6">
        <v>0</v>
      </c>
      <c r="P336" s="6"/>
      <c r="Q336" s="7">
        <v>1</v>
      </c>
      <c r="R336" s="6"/>
      <c r="S336" s="1">
        <v>0</v>
      </c>
      <c r="U336" s="1">
        <v>0</v>
      </c>
      <c r="W336" s="1" t="str">
        <f t="shared" si="5"/>
        <v>No</v>
      </c>
    </row>
    <row r="337" spans="1:23" s="1" customFormat="1" ht="11.25">
      <c r="A337" s="2" t="s">
        <v>890</v>
      </c>
      <c r="B337" s="21" t="s">
        <v>222</v>
      </c>
      <c r="C337" s="26" t="s">
        <v>32</v>
      </c>
      <c r="D337" s="163">
        <v>4036</v>
      </c>
      <c r="E337" s="166">
        <v>40036</v>
      </c>
      <c r="F337" s="92" t="s">
        <v>152</v>
      </c>
      <c r="G337" s="20" t="s">
        <v>149</v>
      </c>
      <c r="H337" s="18">
        <v>240223</v>
      </c>
      <c r="I337" s="18">
        <v>87</v>
      </c>
      <c r="J337" s="4" t="s">
        <v>12</v>
      </c>
      <c r="K337" s="26" t="s">
        <v>11</v>
      </c>
      <c r="L337" s="172">
        <v>68</v>
      </c>
      <c r="M337" s="6">
        <v>1</v>
      </c>
      <c r="N337" s="6"/>
      <c r="O337" s="6">
        <v>0</v>
      </c>
      <c r="P337" s="6"/>
      <c r="Q337" s="7">
        <v>1</v>
      </c>
      <c r="R337" s="6"/>
      <c r="S337" s="1">
        <v>0</v>
      </c>
      <c r="U337" s="1">
        <v>0</v>
      </c>
      <c r="W337" s="1" t="str">
        <f t="shared" si="5"/>
        <v>No</v>
      </c>
    </row>
    <row r="338" spans="1:23" s="1" customFormat="1" ht="11.25">
      <c r="A338" s="2" t="s">
        <v>1422</v>
      </c>
      <c r="B338" s="21" t="s">
        <v>486</v>
      </c>
      <c r="C338" s="26" t="s">
        <v>86</v>
      </c>
      <c r="D338" s="163">
        <v>3080</v>
      </c>
      <c r="E338" s="166">
        <v>30080</v>
      </c>
      <c r="F338" s="92" t="s">
        <v>152</v>
      </c>
      <c r="G338" s="20" t="s">
        <v>149</v>
      </c>
      <c r="H338" s="18">
        <v>4586770</v>
      </c>
      <c r="I338" s="18">
        <v>87</v>
      </c>
      <c r="J338" s="4" t="s">
        <v>12</v>
      </c>
      <c r="K338" s="26" t="s">
        <v>15</v>
      </c>
      <c r="L338" s="172">
        <v>48</v>
      </c>
      <c r="M338" s="6">
        <v>11</v>
      </c>
      <c r="N338" s="6"/>
      <c r="O338" s="6">
        <v>0</v>
      </c>
      <c r="P338" s="6"/>
      <c r="Q338" s="7">
        <v>11</v>
      </c>
      <c r="R338" s="6"/>
      <c r="S338" s="1">
        <v>0</v>
      </c>
      <c r="U338" s="1">
        <v>0</v>
      </c>
      <c r="W338" s="1" t="str">
        <f t="shared" si="5"/>
        <v>No</v>
      </c>
    </row>
    <row r="339" spans="1:23" s="1" customFormat="1" ht="11.25">
      <c r="A339" s="2" t="s">
        <v>713</v>
      </c>
      <c r="B339" s="21" t="s">
        <v>714</v>
      </c>
      <c r="C339" s="26" t="s">
        <v>35</v>
      </c>
      <c r="D339" s="163">
        <v>4025</v>
      </c>
      <c r="E339" s="166">
        <v>40025</v>
      </c>
      <c r="F339" s="92" t="s">
        <v>160</v>
      </c>
      <c r="G339" s="20" t="s">
        <v>149</v>
      </c>
      <c r="H339" s="18">
        <v>260677</v>
      </c>
      <c r="I339" s="18">
        <v>86</v>
      </c>
      <c r="J339" s="4" t="s">
        <v>12</v>
      </c>
      <c r="K339" s="26" t="s">
        <v>11</v>
      </c>
      <c r="L339" s="172">
        <v>52</v>
      </c>
      <c r="M339" s="6">
        <v>1</v>
      </c>
      <c r="N339" s="6"/>
      <c r="O339" s="6">
        <v>0</v>
      </c>
      <c r="P339" s="6"/>
      <c r="Q339" s="7">
        <v>1</v>
      </c>
      <c r="R339" s="6"/>
      <c r="S339" s="1">
        <v>0</v>
      </c>
      <c r="U339" s="1">
        <v>0</v>
      </c>
      <c r="W339" s="1" t="str">
        <f t="shared" si="5"/>
        <v>No</v>
      </c>
    </row>
    <row r="340" spans="1:23" s="1" customFormat="1" ht="11.25">
      <c r="A340" s="2" t="s">
        <v>713</v>
      </c>
      <c r="B340" s="21" t="s">
        <v>714</v>
      </c>
      <c r="C340" s="26" t="s">
        <v>35</v>
      </c>
      <c r="D340" s="163">
        <v>4025</v>
      </c>
      <c r="E340" s="166">
        <v>40025</v>
      </c>
      <c r="F340" s="92" t="s">
        <v>160</v>
      </c>
      <c r="G340" s="20" t="s">
        <v>149</v>
      </c>
      <c r="H340" s="18">
        <v>260677</v>
      </c>
      <c r="I340" s="18">
        <v>86</v>
      </c>
      <c r="J340" s="4" t="s">
        <v>22</v>
      </c>
      <c r="K340" s="26" t="s">
        <v>11</v>
      </c>
      <c r="L340" s="172">
        <v>2</v>
      </c>
      <c r="M340" s="6">
        <v>1</v>
      </c>
      <c r="N340" s="6"/>
      <c r="O340" s="6">
        <v>0</v>
      </c>
      <c r="P340" s="6"/>
      <c r="Q340" s="7">
        <v>1</v>
      </c>
      <c r="R340" s="6"/>
      <c r="S340" s="1">
        <v>0</v>
      </c>
      <c r="U340" s="1">
        <v>0</v>
      </c>
      <c r="W340" s="1" t="str">
        <f t="shared" si="5"/>
        <v>No</v>
      </c>
    </row>
    <row r="341" spans="1:23" s="1" customFormat="1" ht="11.25">
      <c r="A341" s="2" t="s">
        <v>994</v>
      </c>
      <c r="B341" s="21" t="s">
        <v>213</v>
      </c>
      <c r="C341" s="26" t="s">
        <v>19</v>
      </c>
      <c r="D341" s="163">
        <v>9004</v>
      </c>
      <c r="E341" s="166">
        <v>90004</v>
      </c>
      <c r="F341" s="92" t="s">
        <v>160</v>
      </c>
      <c r="G341" s="20" t="s">
        <v>149</v>
      </c>
      <c r="H341" s="18">
        <v>523994</v>
      </c>
      <c r="I341" s="18">
        <v>85</v>
      </c>
      <c r="J341" s="4" t="s">
        <v>12</v>
      </c>
      <c r="K341" s="26" t="s">
        <v>11</v>
      </c>
      <c r="L341" s="172">
        <v>69</v>
      </c>
      <c r="M341" s="6">
        <v>3</v>
      </c>
      <c r="N341" s="6"/>
      <c r="O341" s="6">
        <v>0</v>
      </c>
      <c r="P341" s="6"/>
      <c r="Q341" s="7">
        <v>3</v>
      </c>
      <c r="R341" s="6"/>
      <c r="S341" s="1">
        <v>0</v>
      </c>
      <c r="U341" s="1">
        <v>0</v>
      </c>
      <c r="W341" s="1" t="str">
        <f t="shared" si="5"/>
        <v>No</v>
      </c>
    </row>
    <row r="342" spans="1:23" s="1" customFormat="1" ht="11.25">
      <c r="A342" s="2" t="s">
        <v>91</v>
      </c>
      <c r="B342" s="21" t="s">
        <v>267</v>
      </c>
      <c r="C342" s="26" t="s">
        <v>88</v>
      </c>
      <c r="D342" s="163">
        <v>44</v>
      </c>
      <c r="E342" s="166">
        <v>44</v>
      </c>
      <c r="F342" s="92" t="s">
        <v>160</v>
      </c>
      <c r="G342" s="20" t="s">
        <v>149</v>
      </c>
      <c r="H342" s="18">
        <v>62966</v>
      </c>
      <c r="I342" s="18">
        <v>85</v>
      </c>
      <c r="J342" s="4" t="s">
        <v>21</v>
      </c>
      <c r="K342" s="26" t="s">
        <v>11</v>
      </c>
      <c r="L342" s="172">
        <v>5</v>
      </c>
      <c r="M342" s="6">
        <v>3</v>
      </c>
      <c r="N342" s="6"/>
      <c r="O342" s="6">
        <v>0</v>
      </c>
      <c r="P342" s="6"/>
      <c r="Q342" s="7">
        <v>3</v>
      </c>
      <c r="R342" s="6"/>
      <c r="S342" s="1">
        <v>2</v>
      </c>
      <c r="U342" s="1">
        <v>0</v>
      </c>
      <c r="W342" s="1" t="str">
        <f t="shared" si="5"/>
        <v>No</v>
      </c>
    </row>
    <row r="343" spans="1:23" s="1" customFormat="1" ht="11.25">
      <c r="A343" s="2" t="s">
        <v>91</v>
      </c>
      <c r="B343" s="21" t="s">
        <v>267</v>
      </c>
      <c r="C343" s="26" t="s">
        <v>88</v>
      </c>
      <c r="D343" s="163">
        <v>44</v>
      </c>
      <c r="E343" s="166">
        <v>44</v>
      </c>
      <c r="F343" s="92" t="s">
        <v>160</v>
      </c>
      <c r="G343" s="20" t="s">
        <v>149</v>
      </c>
      <c r="H343" s="18">
        <v>62966</v>
      </c>
      <c r="I343" s="18">
        <v>85</v>
      </c>
      <c r="J343" s="4" t="s">
        <v>12</v>
      </c>
      <c r="K343" s="26" t="s">
        <v>11</v>
      </c>
      <c r="L343" s="172">
        <v>16</v>
      </c>
      <c r="M343" s="6">
        <v>1</v>
      </c>
      <c r="N343" s="6"/>
      <c r="O343" s="6">
        <v>0</v>
      </c>
      <c r="P343" s="6"/>
      <c r="Q343" s="7">
        <v>1</v>
      </c>
      <c r="R343" s="6"/>
      <c r="S343" s="1">
        <v>0</v>
      </c>
      <c r="U343" s="1">
        <v>0</v>
      </c>
      <c r="W343" s="1" t="str">
        <f t="shared" si="5"/>
        <v>No</v>
      </c>
    </row>
    <row r="344" spans="1:23" s="1" customFormat="1" ht="11.25">
      <c r="A344" s="2" t="s">
        <v>38</v>
      </c>
      <c r="B344" s="21" t="s">
        <v>1438</v>
      </c>
      <c r="C344" s="26" t="s">
        <v>37</v>
      </c>
      <c r="D344" s="163">
        <v>7041</v>
      </c>
      <c r="E344" s="166">
        <v>70041</v>
      </c>
      <c r="F344" s="92" t="s">
        <v>152</v>
      </c>
      <c r="G344" s="20" t="s">
        <v>149</v>
      </c>
      <c r="H344" s="18">
        <v>60438</v>
      </c>
      <c r="I344" s="18">
        <v>84</v>
      </c>
      <c r="J344" s="4" t="s">
        <v>12</v>
      </c>
      <c r="K344" s="26" t="s">
        <v>15</v>
      </c>
      <c r="L344" s="172">
        <v>4</v>
      </c>
      <c r="M344" s="6">
        <v>0</v>
      </c>
      <c r="N344" s="6"/>
      <c r="O344" s="6">
        <v>0</v>
      </c>
      <c r="P344" s="6"/>
      <c r="Q344" s="7">
        <v>0</v>
      </c>
      <c r="R344" s="6"/>
      <c r="S344" s="1">
        <v>0</v>
      </c>
      <c r="U344" s="1">
        <v>0</v>
      </c>
      <c r="W344" s="1" t="str">
        <f t="shared" si="5"/>
        <v>No</v>
      </c>
    </row>
    <row r="345" spans="1:23" s="1" customFormat="1" ht="11.25">
      <c r="A345" s="2" t="s">
        <v>891</v>
      </c>
      <c r="B345" s="21" t="s">
        <v>892</v>
      </c>
      <c r="C345" s="26" t="s">
        <v>19</v>
      </c>
      <c r="D345" s="163">
        <v>9010</v>
      </c>
      <c r="E345" s="166">
        <v>90010</v>
      </c>
      <c r="F345" s="92" t="s">
        <v>152</v>
      </c>
      <c r="G345" s="20" t="s">
        <v>149</v>
      </c>
      <c r="H345" s="18">
        <v>12150996</v>
      </c>
      <c r="I345" s="18">
        <v>84</v>
      </c>
      <c r="J345" s="4" t="s">
        <v>12</v>
      </c>
      <c r="K345" s="26" t="s">
        <v>11</v>
      </c>
      <c r="L345" s="172">
        <v>48</v>
      </c>
      <c r="M345" s="6">
        <v>2</v>
      </c>
      <c r="N345" s="6"/>
      <c r="O345" s="6">
        <v>0</v>
      </c>
      <c r="P345" s="6"/>
      <c r="Q345" s="7">
        <v>2</v>
      </c>
      <c r="R345" s="6"/>
      <c r="S345" s="1">
        <v>1</v>
      </c>
      <c r="U345" s="1">
        <v>0</v>
      </c>
      <c r="W345" s="1" t="str">
        <f t="shared" si="5"/>
        <v>No</v>
      </c>
    </row>
    <row r="346" spans="1:23" s="1" customFormat="1" ht="11.25">
      <c r="A346" s="2" t="s">
        <v>1184</v>
      </c>
      <c r="B346" s="21" t="s">
        <v>1185</v>
      </c>
      <c r="C346" s="26" t="s">
        <v>32</v>
      </c>
      <c r="D346" s="163">
        <v>4074</v>
      </c>
      <c r="E346" s="166">
        <v>40074</v>
      </c>
      <c r="F346" s="92" t="s">
        <v>152</v>
      </c>
      <c r="G346" s="20" t="s">
        <v>149</v>
      </c>
      <c r="H346" s="18">
        <v>2441770</v>
      </c>
      <c r="I346" s="18">
        <v>84</v>
      </c>
      <c r="J346" s="4" t="s">
        <v>12</v>
      </c>
      <c r="K346" s="26" t="s">
        <v>11</v>
      </c>
      <c r="L346" s="172">
        <v>23</v>
      </c>
      <c r="M346" s="6">
        <v>0</v>
      </c>
      <c r="N346" s="6"/>
      <c r="O346" s="6">
        <v>0</v>
      </c>
      <c r="P346" s="6"/>
      <c r="Q346" s="7">
        <v>0</v>
      </c>
      <c r="R346" s="6"/>
      <c r="S346" s="1">
        <v>0</v>
      </c>
      <c r="U346" s="1">
        <v>0</v>
      </c>
      <c r="W346" s="1" t="str">
        <f t="shared" si="5"/>
        <v>No</v>
      </c>
    </row>
    <row r="347" spans="1:23" s="1" customFormat="1" ht="11.25">
      <c r="A347" s="2" t="s">
        <v>38</v>
      </c>
      <c r="B347" s="21" t="s">
        <v>1438</v>
      </c>
      <c r="C347" s="26" t="s">
        <v>37</v>
      </c>
      <c r="D347" s="163">
        <v>7041</v>
      </c>
      <c r="E347" s="166">
        <v>70041</v>
      </c>
      <c r="F347" s="92" t="s">
        <v>152</v>
      </c>
      <c r="G347" s="20" t="s">
        <v>149</v>
      </c>
      <c r="H347" s="18">
        <v>60438</v>
      </c>
      <c r="I347" s="18">
        <v>84</v>
      </c>
      <c r="J347" s="4" t="s">
        <v>12</v>
      </c>
      <c r="K347" s="26" t="s">
        <v>11</v>
      </c>
      <c r="L347" s="172">
        <v>77</v>
      </c>
      <c r="M347" s="6">
        <v>1</v>
      </c>
      <c r="N347" s="6"/>
      <c r="O347" s="6">
        <v>0</v>
      </c>
      <c r="P347" s="6"/>
      <c r="Q347" s="7">
        <v>1</v>
      </c>
      <c r="R347" s="6"/>
      <c r="S347" s="1">
        <v>0</v>
      </c>
      <c r="U347" s="1">
        <v>0</v>
      </c>
      <c r="W347" s="1" t="str">
        <f t="shared" si="5"/>
        <v>No</v>
      </c>
    </row>
    <row r="348" spans="1:23" s="1" customFormat="1" ht="11.25">
      <c r="A348" s="2" t="s">
        <v>1014</v>
      </c>
      <c r="B348" s="21" t="s">
        <v>227</v>
      </c>
      <c r="C348" s="26" t="s">
        <v>57</v>
      </c>
      <c r="D348" s="163">
        <v>4093</v>
      </c>
      <c r="E348" s="166">
        <v>40093</v>
      </c>
      <c r="F348" s="92" t="s">
        <v>152</v>
      </c>
      <c r="G348" s="20" t="s">
        <v>149</v>
      </c>
      <c r="H348" s="18">
        <v>311810</v>
      </c>
      <c r="I348" s="18">
        <v>83</v>
      </c>
      <c r="J348" s="4" t="s">
        <v>12</v>
      </c>
      <c r="K348" s="26" t="s">
        <v>15</v>
      </c>
      <c r="L348" s="172">
        <v>41</v>
      </c>
      <c r="M348" s="6">
        <v>1</v>
      </c>
      <c r="N348" s="6"/>
      <c r="O348" s="6">
        <v>0</v>
      </c>
      <c r="P348" s="6"/>
      <c r="Q348" s="7">
        <v>1</v>
      </c>
      <c r="R348" s="6"/>
      <c r="S348" s="1">
        <v>2</v>
      </c>
      <c r="U348" s="1">
        <v>1</v>
      </c>
      <c r="W348" s="1" t="str">
        <f t="shared" si="5"/>
        <v>No</v>
      </c>
    </row>
    <row r="349" spans="1:23" s="1" customFormat="1" ht="11.25">
      <c r="A349" s="2" t="s">
        <v>914</v>
      </c>
      <c r="B349" s="21" t="s">
        <v>915</v>
      </c>
      <c r="C349" s="26" t="s">
        <v>69</v>
      </c>
      <c r="D349" s="163">
        <v>2217</v>
      </c>
      <c r="E349" s="166">
        <v>20217</v>
      </c>
      <c r="F349" s="92" t="s">
        <v>148</v>
      </c>
      <c r="G349" s="20" t="s">
        <v>149</v>
      </c>
      <c r="H349" s="18">
        <v>18351295</v>
      </c>
      <c r="I349" s="18">
        <v>83</v>
      </c>
      <c r="J349" s="4" t="s">
        <v>21</v>
      </c>
      <c r="K349" s="26" t="s">
        <v>11</v>
      </c>
      <c r="L349" s="172">
        <v>83</v>
      </c>
      <c r="M349" s="6">
        <v>2</v>
      </c>
      <c r="N349" s="6"/>
      <c r="O349" s="6">
        <v>0</v>
      </c>
      <c r="P349" s="6"/>
      <c r="Q349" s="7">
        <v>2</v>
      </c>
      <c r="R349" s="6"/>
      <c r="S349" s="1">
        <v>1</v>
      </c>
      <c r="U349" s="1">
        <v>0</v>
      </c>
      <c r="W349" s="1" t="str">
        <f t="shared" si="5"/>
        <v>No</v>
      </c>
    </row>
    <row r="350" spans="1:23" s="1" customFormat="1" ht="11.25">
      <c r="A350" s="2" t="s">
        <v>1008</v>
      </c>
      <c r="B350" s="21" t="s">
        <v>247</v>
      </c>
      <c r="C350" s="26" t="s">
        <v>39</v>
      </c>
      <c r="D350" s="163">
        <v>5056</v>
      </c>
      <c r="E350" s="166">
        <v>50056</v>
      </c>
      <c r="F350" s="92" t="s">
        <v>160</v>
      </c>
      <c r="G350" s="20" t="s">
        <v>149</v>
      </c>
      <c r="H350" s="18">
        <v>266921</v>
      </c>
      <c r="I350" s="18">
        <v>82</v>
      </c>
      <c r="J350" s="4" t="s">
        <v>12</v>
      </c>
      <c r="K350" s="26" t="s">
        <v>11</v>
      </c>
      <c r="L350" s="172">
        <v>45</v>
      </c>
      <c r="M350" s="6">
        <v>1</v>
      </c>
      <c r="N350" s="6"/>
      <c r="O350" s="6">
        <v>0</v>
      </c>
      <c r="P350" s="6"/>
      <c r="Q350" s="7">
        <v>1</v>
      </c>
      <c r="R350" s="6"/>
      <c r="S350" s="1">
        <v>1</v>
      </c>
      <c r="U350" s="1">
        <v>0</v>
      </c>
      <c r="W350" s="1" t="str">
        <f t="shared" si="5"/>
        <v>No</v>
      </c>
    </row>
    <row r="351" spans="1:23" s="1" customFormat="1" ht="11.25">
      <c r="A351" s="2" t="s">
        <v>574</v>
      </c>
      <c r="B351" s="21" t="s">
        <v>332</v>
      </c>
      <c r="C351" s="26" t="s">
        <v>19</v>
      </c>
      <c r="D351" s="163">
        <v>9121</v>
      </c>
      <c r="E351" s="166">
        <v>90121</v>
      </c>
      <c r="F351" s="92" t="s">
        <v>160</v>
      </c>
      <c r="G351" s="20" t="s">
        <v>149</v>
      </c>
      <c r="H351" s="18">
        <v>341219</v>
      </c>
      <c r="I351" s="18">
        <v>82</v>
      </c>
      <c r="J351" s="4" t="s">
        <v>21</v>
      </c>
      <c r="K351" s="26" t="s">
        <v>15</v>
      </c>
      <c r="L351" s="172">
        <v>26</v>
      </c>
      <c r="M351" s="6">
        <v>0</v>
      </c>
      <c r="N351" s="6"/>
      <c r="O351" s="6">
        <v>0</v>
      </c>
      <c r="P351" s="6"/>
      <c r="Q351" s="7">
        <v>0</v>
      </c>
      <c r="R351" s="6"/>
      <c r="S351" s="1">
        <v>0</v>
      </c>
      <c r="U351" s="1">
        <v>0</v>
      </c>
      <c r="W351" s="1" t="str">
        <f t="shared" si="5"/>
        <v>No</v>
      </c>
    </row>
    <row r="352" spans="1:23" s="1" customFormat="1" ht="11.25">
      <c r="A352" s="2" t="s">
        <v>30</v>
      </c>
      <c r="B352" s="21" t="s">
        <v>330</v>
      </c>
      <c r="C352" s="26" t="s">
        <v>29</v>
      </c>
      <c r="D352" s="163">
        <v>1057</v>
      </c>
      <c r="E352" s="166">
        <v>10057</v>
      </c>
      <c r="F352" s="92" t="s">
        <v>160</v>
      </c>
      <c r="G352" s="20" t="s">
        <v>149</v>
      </c>
      <c r="H352" s="18">
        <v>923311</v>
      </c>
      <c r="I352" s="18">
        <v>82</v>
      </c>
      <c r="J352" s="4" t="s">
        <v>12</v>
      </c>
      <c r="K352" s="26" t="s">
        <v>11</v>
      </c>
      <c r="L352" s="172">
        <v>44</v>
      </c>
      <c r="M352" s="6">
        <v>1</v>
      </c>
      <c r="N352" s="6"/>
      <c r="O352" s="6">
        <v>0</v>
      </c>
      <c r="P352" s="6"/>
      <c r="Q352" s="7">
        <v>1</v>
      </c>
      <c r="R352" s="6"/>
      <c r="S352" s="1">
        <v>0</v>
      </c>
      <c r="U352" s="1">
        <v>0</v>
      </c>
      <c r="W352" s="1" t="str">
        <f t="shared" si="5"/>
        <v>No</v>
      </c>
    </row>
    <row r="353" spans="1:23" s="1" customFormat="1" ht="11.25">
      <c r="A353" s="2" t="s">
        <v>574</v>
      </c>
      <c r="B353" s="21" t="s">
        <v>332</v>
      </c>
      <c r="C353" s="26" t="s">
        <v>19</v>
      </c>
      <c r="D353" s="163">
        <v>9121</v>
      </c>
      <c r="E353" s="166">
        <v>90121</v>
      </c>
      <c r="F353" s="92" t="s">
        <v>160</v>
      </c>
      <c r="G353" s="20" t="s">
        <v>149</v>
      </c>
      <c r="H353" s="18">
        <v>341219</v>
      </c>
      <c r="I353" s="18">
        <v>82</v>
      </c>
      <c r="J353" s="4" t="s">
        <v>12</v>
      </c>
      <c r="K353" s="26" t="s">
        <v>15</v>
      </c>
      <c r="L353" s="172">
        <v>44</v>
      </c>
      <c r="M353" s="6">
        <v>0</v>
      </c>
      <c r="N353" s="6"/>
      <c r="O353" s="6">
        <v>0</v>
      </c>
      <c r="P353" s="6"/>
      <c r="Q353" s="7">
        <v>0</v>
      </c>
      <c r="R353" s="6"/>
      <c r="S353" s="1">
        <v>0</v>
      </c>
      <c r="U353" s="1">
        <v>0</v>
      </c>
      <c r="W353" s="1" t="str">
        <f t="shared" si="5"/>
        <v>No</v>
      </c>
    </row>
    <row r="354" spans="1:23" s="1" customFormat="1" ht="11.25">
      <c r="A354" s="2" t="s">
        <v>30</v>
      </c>
      <c r="B354" s="21" t="s">
        <v>330</v>
      </c>
      <c r="C354" s="26" t="s">
        <v>29</v>
      </c>
      <c r="D354" s="163">
        <v>1057</v>
      </c>
      <c r="E354" s="166">
        <v>10057</v>
      </c>
      <c r="F354" s="92" t="s">
        <v>160</v>
      </c>
      <c r="G354" s="20" t="s">
        <v>149</v>
      </c>
      <c r="H354" s="18">
        <v>923311</v>
      </c>
      <c r="I354" s="18">
        <v>82</v>
      </c>
      <c r="J354" s="4" t="s">
        <v>12</v>
      </c>
      <c r="K354" s="26" t="s">
        <v>15</v>
      </c>
      <c r="L354" s="172">
        <v>4</v>
      </c>
      <c r="M354" s="6">
        <v>0</v>
      </c>
      <c r="N354" s="6"/>
      <c r="O354" s="6">
        <v>0</v>
      </c>
      <c r="P354" s="6"/>
      <c r="Q354" s="7">
        <v>0</v>
      </c>
      <c r="R354" s="6"/>
      <c r="S354" s="1">
        <v>0</v>
      </c>
      <c r="U354" s="1">
        <v>0</v>
      </c>
      <c r="W354" s="1" t="str">
        <f t="shared" si="5"/>
        <v>No</v>
      </c>
    </row>
    <row r="355" spans="1:23" s="1" customFormat="1" ht="11.25">
      <c r="A355" s="2" t="s">
        <v>130</v>
      </c>
      <c r="B355" s="21" t="s">
        <v>790</v>
      </c>
      <c r="C355" s="26" t="s">
        <v>19</v>
      </c>
      <c r="D355" s="163">
        <v>9234</v>
      </c>
      <c r="E355" s="166">
        <v>90234</v>
      </c>
      <c r="F355" s="92" t="s">
        <v>160</v>
      </c>
      <c r="G355" s="20" t="s">
        <v>149</v>
      </c>
      <c r="H355" s="18">
        <v>3281212</v>
      </c>
      <c r="I355" s="18">
        <v>81</v>
      </c>
      <c r="J355" s="4" t="s">
        <v>12</v>
      </c>
      <c r="K355" s="26" t="s">
        <v>15</v>
      </c>
      <c r="L355" s="172">
        <v>55</v>
      </c>
      <c r="M355" s="6">
        <v>1</v>
      </c>
      <c r="N355" s="6"/>
      <c r="O355" s="6">
        <v>0</v>
      </c>
      <c r="P355" s="6"/>
      <c r="Q355" s="7">
        <v>1</v>
      </c>
      <c r="R355" s="6"/>
      <c r="S355" s="1">
        <v>0</v>
      </c>
      <c r="U355" s="1">
        <v>0</v>
      </c>
      <c r="W355" s="1" t="str">
        <f t="shared" si="5"/>
        <v>No</v>
      </c>
    </row>
    <row r="356" spans="1:23" s="1" customFormat="1" ht="11.25">
      <c r="A356" s="2" t="s">
        <v>523</v>
      </c>
      <c r="B356" s="21" t="s">
        <v>524</v>
      </c>
      <c r="C356" s="26" t="s">
        <v>67</v>
      </c>
      <c r="D356" s="163">
        <v>6111</v>
      </c>
      <c r="E356" s="166">
        <v>60111</v>
      </c>
      <c r="F356" s="92" t="s">
        <v>160</v>
      </c>
      <c r="G356" s="20" t="s">
        <v>149</v>
      </c>
      <c r="H356" s="18">
        <v>741318</v>
      </c>
      <c r="I356" s="18">
        <v>80</v>
      </c>
      <c r="J356" s="4" t="s">
        <v>20</v>
      </c>
      <c r="K356" s="26" t="s">
        <v>15</v>
      </c>
      <c r="L356" s="172">
        <v>25</v>
      </c>
      <c r="M356" s="6">
        <v>14</v>
      </c>
      <c r="N356" s="6"/>
      <c r="O356" s="6">
        <v>0</v>
      </c>
      <c r="P356" s="6"/>
      <c r="Q356" s="7">
        <v>14</v>
      </c>
      <c r="R356" s="6"/>
      <c r="S356" s="1">
        <v>0</v>
      </c>
      <c r="U356" s="1">
        <v>0</v>
      </c>
      <c r="W356" s="1" t="str">
        <f t="shared" si="5"/>
        <v>No</v>
      </c>
    </row>
    <row r="357" spans="1:23" s="1" customFormat="1" ht="11.25">
      <c r="A357" s="2" t="s">
        <v>523</v>
      </c>
      <c r="B357" s="21" t="s">
        <v>524</v>
      </c>
      <c r="C357" s="26" t="s">
        <v>67</v>
      </c>
      <c r="D357" s="163">
        <v>6111</v>
      </c>
      <c r="E357" s="166">
        <v>60111</v>
      </c>
      <c r="F357" s="92" t="s">
        <v>160</v>
      </c>
      <c r="G357" s="20" t="s">
        <v>149</v>
      </c>
      <c r="H357" s="18">
        <v>741318</v>
      </c>
      <c r="I357" s="18">
        <v>80</v>
      </c>
      <c r="J357" s="4" t="s">
        <v>12</v>
      </c>
      <c r="K357" s="26" t="s">
        <v>11</v>
      </c>
      <c r="L357" s="172">
        <v>2</v>
      </c>
      <c r="M357" s="6">
        <v>0</v>
      </c>
      <c r="N357" s="6"/>
      <c r="O357" s="6">
        <v>0</v>
      </c>
      <c r="P357" s="6"/>
      <c r="Q357" s="7">
        <v>0</v>
      </c>
      <c r="R357" s="6"/>
      <c r="S357" s="1">
        <v>0</v>
      </c>
      <c r="U357" s="1">
        <v>0</v>
      </c>
      <c r="W357" s="1" t="str">
        <f t="shared" si="5"/>
        <v>No</v>
      </c>
    </row>
    <row r="358" spans="1:23" s="1" customFormat="1" ht="11.25">
      <c r="A358" s="2" t="s">
        <v>715</v>
      </c>
      <c r="B358" s="21" t="s">
        <v>716</v>
      </c>
      <c r="C358" s="26" t="s">
        <v>83</v>
      </c>
      <c r="D358" s="163">
        <v>4001</v>
      </c>
      <c r="E358" s="166">
        <v>40001</v>
      </c>
      <c r="F358" s="92" t="s">
        <v>152</v>
      </c>
      <c r="G358" s="20" t="s">
        <v>149</v>
      </c>
      <c r="H358" s="18">
        <v>381112</v>
      </c>
      <c r="I358" s="18">
        <v>80</v>
      </c>
      <c r="J358" s="4" t="s">
        <v>76</v>
      </c>
      <c r="K358" s="26" t="s">
        <v>11</v>
      </c>
      <c r="L358" s="172">
        <v>2</v>
      </c>
      <c r="M358" s="6">
        <v>2</v>
      </c>
      <c r="N358" s="6"/>
      <c r="O358" s="6">
        <v>0</v>
      </c>
      <c r="P358" s="6"/>
      <c r="Q358" s="7">
        <v>2</v>
      </c>
      <c r="R358" s="6"/>
      <c r="S358" s="1">
        <v>1</v>
      </c>
      <c r="U358" s="1">
        <v>0</v>
      </c>
      <c r="W358" s="1" t="str">
        <f t="shared" si="5"/>
        <v>No</v>
      </c>
    </row>
    <row r="359" spans="1:23" s="1" customFormat="1" ht="11.25">
      <c r="A359" s="2" t="s">
        <v>685</v>
      </c>
      <c r="B359" s="21" t="s">
        <v>686</v>
      </c>
      <c r="C359" s="26" t="s">
        <v>73</v>
      </c>
      <c r="D359" s="163">
        <v>6017</v>
      </c>
      <c r="E359" s="166">
        <v>60017</v>
      </c>
      <c r="F359" s="92" t="s">
        <v>152</v>
      </c>
      <c r="G359" s="20" t="s">
        <v>149</v>
      </c>
      <c r="H359" s="18">
        <v>861505</v>
      </c>
      <c r="I359" s="18">
        <v>80</v>
      </c>
      <c r="J359" s="4" t="s">
        <v>22</v>
      </c>
      <c r="K359" s="26" t="s">
        <v>15</v>
      </c>
      <c r="L359" s="172">
        <v>2</v>
      </c>
      <c r="M359" s="6">
        <v>4</v>
      </c>
      <c r="N359" s="6"/>
      <c r="O359" s="6">
        <v>0</v>
      </c>
      <c r="P359" s="6"/>
      <c r="Q359" s="7">
        <v>4</v>
      </c>
      <c r="R359" s="6"/>
      <c r="S359" s="1">
        <v>0</v>
      </c>
      <c r="U359" s="1">
        <v>0</v>
      </c>
      <c r="W359" s="1" t="str">
        <f t="shared" si="5"/>
        <v>No</v>
      </c>
    </row>
    <row r="360" spans="1:23" s="1" customFormat="1" ht="11.25">
      <c r="A360" s="2" t="s">
        <v>523</v>
      </c>
      <c r="B360" s="21" t="s">
        <v>524</v>
      </c>
      <c r="C360" s="26" t="s">
        <v>67</v>
      </c>
      <c r="D360" s="163">
        <v>6111</v>
      </c>
      <c r="E360" s="166">
        <v>60111</v>
      </c>
      <c r="F360" s="92" t="s">
        <v>160</v>
      </c>
      <c r="G360" s="20" t="s">
        <v>149</v>
      </c>
      <c r="H360" s="18">
        <v>741318</v>
      </c>
      <c r="I360" s="18">
        <v>80</v>
      </c>
      <c r="J360" s="4" t="s">
        <v>21</v>
      </c>
      <c r="K360" s="26" t="s">
        <v>11</v>
      </c>
      <c r="L360" s="172">
        <v>2</v>
      </c>
      <c r="M360" s="6">
        <v>0</v>
      </c>
      <c r="N360" s="6"/>
      <c r="O360" s="6">
        <v>0</v>
      </c>
      <c r="P360" s="6"/>
      <c r="Q360" s="7">
        <v>0</v>
      </c>
      <c r="R360" s="6"/>
      <c r="S360" s="1">
        <v>0</v>
      </c>
      <c r="U360" s="1">
        <v>0</v>
      </c>
      <c r="W360" s="1" t="str">
        <f t="shared" si="5"/>
        <v>No</v>
      </c>
    </row>
    <row r="361" spans="1:23" s="1" customFormat="1" ht="11.25">
      <c r="A361" s="2" t="s">
        <v>1830</v>
      </c>
      <c r="B361" s="21" t="s">
        <v>291</v>
      </c>
      <c r="C361" s="26" t="s">
        <v>74</v>
      </c>
      <c r="D361" s="163" t="s">
        <v>1831</v>
      </c>
      <c r="E361" s="166">
        <v>376</v>
      </c>
      <c r="F361" s="92" t="s">
        <v>197</v>
      </c>
      <c r="G361" s="20" t="s">
        <v>149</v>
      </c>
      <c r="H361" s="18">
        <v>1849898</v>
      </c>
      <c r="I361" s="18">
        <v>80</v>
      </c>
      <c r="J361" s="4" t="s">
        <v>12</v>
      </c>
      <c r="K361" s="26" t="s">
        <v>11</v>
      </c>
      <c r="L361" s="172">
        <v>7</v>
      </c>
      <c r="M361" s="6">
        <v>0</v>
      </c>
      <c r="N361" s="6"/>
      <c r="O361" s="6">
        <v>0</v>
      </c>
      <c r="P361" s="6"/>
      <c r="Q361" s="7">
        <v>0</v>
      </c>
      <c r="R361" s="6"/>
      <c r="S361" s="1">
        <v>0</v>
      </c>
      <c r="U361" s="1">
        <v>0</v>
      </c>
      <c r="W361" s="1" t="str">
        <f t="shared" si="5"/>
        <v>No</v>
      </c>
    </row>
    <row r="362" spans="1:23" s="1" customFormat="1" ht="11.25">
      <c r="A362" s="2" t="s">
        <v>715</v>
      </c>
      <c r="B362" s="21" t="s">
        <v>716</v>
      </c>
      <c r="C362" s="26" t="s">
        <v>83</v>
      </c>
      <c r="D362" s="163">
        <v>4001</v>
      </c>
      <c r="E362" s="166">
        <v>40001</v>
      </c>
      <c r="F362" s="92" t="s">
        <v>152</v>
      </c>
      <c r="G362" s="20" t="s">
        <v>149</v>
      </c>
      <c r="H362" s="18">
        <v>381112</v>
      </c>
      <c r="I362" s="18">
        <v>80</v>
      </c>
      <c r="J362" s="4" t="s">
        <v>12</v>
      </c>
      <c r="K362" s="26" t="s">
        <v>11</v>
      </c>
      <c r="L362" s="172">
        <v>60</v>
      </c>
      <c r="M362" s="6">
        <v>1</v>
      </c>
      <c r="N362" s="6"/>
      <c r="O362" s="6">
        <v>0</v>
      </c>
      <c r="P362" s="6"/>
      <c r="Q362" s="7">
        <v>1</v>
      </c>
      <c r="R362" s="6"/>
      <c r="S362" s="1">
        <v>0</v>
      </c>
      <c r="U362" s="1">
        <v>0</v>
      </c>
      <c r="W362" s="1" t="str">
        <f t="shared" si="5"/>
        <v>No</v>
      </c>
    </row>
    <row r="363" spans="1:23" s="1" customFormat="1" ht="11.25">
      <c r="A363" s="2" t="s">
        <v>685</v>
      </c>
      <c r="B363" s="21" t="s">
        <v>686</v>
      </c>
      <c r="C363" s="26" t="s">
        <v>73</v>
      </c>
      <c r="D363" s="163">
        <v>6017</v>
      </c>
      <c r="E363" s="166">
        <v>60017</v>
      </c>
      <c r="F363" s="92" t="s">
        <v>152</v>
      </c>
      <c r="G363" s="20" t="s">
        <v>149</v>
      </c>
      <c r="H363" s="18">
        <v>861505</v>
      </c>
      <c r="I363" s="18">
        <v>80</v>
      </c>
      <c r="J363" s="4" t="s">
        <v>12</v>
      </c>
      <c r="K363" s="26" t="s">
        <v>11</v>
      </c>
      <c r="L363" s="172">
        <v>49</v>
      </c>
      <c r="M363" s="6">
        <v>1</v>
      </c>
      <c r="N363" s="6"/>
      <c r="O363" s="6">
        <v>0</v>
      </c>
      <c r="P363" s="6"/>
      <c r="Q363" s="7">
        <v>1</v>
      </c>
      <c r="R363" s="6"/>
      <c r="S363" s="1">
        <v>0</v>
      </c>
      <c r="U363" s="1">
        <v>0</v>
      </c>
      <c r="W363" s="1" t="str">
        <f t="shared" si="5"/>
        <v>No</v>
      </c>
    </row>
    <row r="364" spans="1:23" s="1" customFormat="1" ht="11.25">
      <c r="A364" s="2" t="s">
        <v>523</v>
      </c>
      <c r="B364" s="21" t="s">
        <v>524</v>
      </c>
      <c r="C364" s="26" t="s">
        <v>67</v>
      </c>
      <c r="D364" s="163">
        <v>6111</v>
      </c>
      <c r="E364" s="166">
        <v>60111</v>
      </c>
      <c r="F364" s="92" t="s">
        <v>160</v>
      </c>
      <c r="G364" s="20" t="s">
        <v>149</v>
      </c>
      <c r="H364" s="18">
        <v>741318</v>
      </c>
      <c r="I364" s="18">
        <v>80</v>
      </c>
      <c r="J364" s="4" t="s">
        <v>21</v>
      </c>
      <c r="K364" s="26" t="s">
        <v>15</v>
      </c>
      <c r="L364" s="172">
        <v>5</v>
      </c>
      <c r="M364" s="6">
        <v>2</v>
      </c>
      <c r="N364" s="6"/>
      <c r="O364" s="6">
        <v>0</v>
      </c>
      <c r="P364" s="6"/>
      <c r="Q364" s="7">
        <v>2</v>
      </c>
      <c r="R364" s="6"/>
      <c r="S364" s="1">
        <v>0</v>
      </c>
      <c r="U364" s="1">
        <v>0</v>
      </c>
      <c r="W364" s="1" t="str">
        <f t="shared" si="5"/>
        <v>No</v>
      </c>
    </row>
    <row r="365" spans="1:23" s="1" customFormat="1" ht="11.25">
      <c r="A365" s="2" t="s">
        <v>685</v>
      </c>
      <c r="B365" s="21" t="s">
        <v>686</v>
      </c>
      <c r="C365" s="26" t="s">
        <v>73</v>
      </c>
      <c r="D365" s="163">
        <v>6017</v>
      </c>
      <c r="E365" s="166">
        <v>60017</v>
      </c>
      <c r="F365" s="92" t="s">
        <v>152</v>
      </c>
      <c r="G365" s="20" t="s">
        <v>149</v>
      </c>
      <c r="H365" s="18">
        <v>861505</v>
      </c>
      <c r="I365" s="18">
        <v>80</v>
      </c>
      <c r="J365" s="4" t="s">
        <v>12</v>
      </c>
      <c r="K365" s="26" t="s">
        <v>15</v>
      </c>
      <c r="L365" s="172">
        <v>4</v>
      </c>
      <c r="M365" s="6">
        <v>0</v>
      </c>
      <c r="N365" s="6"/>
      <c r="O365" s="6">
        <v>0</v>
      </c>
      <c r="P365" s="6"/>
      <c r="Q365" s="7">
        <v>0</v>
      </c>
      <c r="R365" s="6"/>
      <c r="S365" s="1">
        <v>0</v>
      </c>
      <c r="U365" s="1">
        <v>0</v>
      </c>
      <c r="W365" s="1" t="str">
        <f t="shared" si="5"/>
        <v>No</v>
      </c>
    </row>
    <row r="366" spans="1:23" s="1" customFormat="1" ht="11.25">
      <c r="A366" s="2" t="s">
        <v>471</v>
      </c>
      <c r="B366" s="21" t="s">
        <v>227</v>
      </c>
      <c r="C366" s="26" t="s">
        <v>57</v>
      </c>
      <c r="D366" s="163">
        <v>4173</v>
      </c>
      <c r="E366" s="166">
        <v>40173</v>
      </c>
      <c r="F366" s="92" t="s">
        <v>160</v>
      </c>
      <c r="G366" s="20" t="s">
        <v>149</v>
      </c>
      <c r="H366" s="18">
        <v>311810</v>
      </c>
      <c r="I366" s="18">
        <v>79</v>
      </c>
      <c r="J366" s="4" t="s">
        <v>21</v>
      </c>
      <c r="K366" s="26" t="s">
        <v>15</v>
      </c>
      <c r="L366" s="172">
        <v>26</v>
      </c>
      <c r="M366" s="6">
        <v>1</v>
      </c>
      <c r="N366" s="6"/>
      <c r="O366" s="6">
        <v>0</v>
      </c>
      <c r="P366" s="6"/>
      <c r="Q366" s="7">
        <v>1</v>
      </c>
      <c r="R366" s="6"/>
      <c r="S366" s="1">
        <v>0</v>
      </c>
      <c r="U366" s="1">
        <v>0</v>
      </c>
      <c r="W366" s="1" t="str">
        <f t="shared" si="5"/>
        <v>No</v>
      </c>
    </row>
    <row r="367" spans="1:23" s="1" customFormat="1" ht="11.25">
      <c r="A367" s="2" t="s">
        <v>1080</v>
      </c>
      <c r="B367" s="21" t="s">
        <v>1081</v>
      </c>
      <c r="C367" s="26" t="s">
        <v>45</v>
      </c>
      <c r="D367" s="163">
        <v>1005</v>
      </c>
      <c r="E367" s="166">
        <v>10005</v>
      </c>
      <c r="F367" s="92" t="s">
        <v>160</v>
      </c>
      <c r="G367" s="20" t="s">
        <v>149</v>
      </c>
      <c r="H367" s="18">
        <v>4181019</v>
      </c>
      <c r="I367" s="18">
        <v>79</v>
      </c>
      <c r="J367" s="4" t="s">
        <v>12</v>
      </c>
      <c r="K367" s="26" t="s">
        <v>15</v>
      </c>
      <c r="L367" s="172">
        <v>42</v>
      </c>
      <c r="M367" s="6">
        <v>1</v>
      </c>
      <c r="N367" s="6"/>
      <c r="O367" s="6">
        <v>0</v>
      </c>
      <c r="P367" s="6"/>
      <c r="Q367" s="7">
        <v>1</v>
      </c>
      <c r="R367" s="6"/>
      <c r="S367" s="1">
        <v>2</v>
      </c>
      <c r="U367" s="1">
        <v>0</v>
      </c>
      <c r="W367" s="1" t="str">
        <f t="shared" si="5"/>
        <v>No</v>
      </c>
    </row>
    <row r="368" spans="1:23" s="1" customFormat="1" ht="11.25">
      <c r="A368" s="2" t="s">
        <v>836</v>
      </c>
      <c r="B368" s="21" t="s">
        <v>837</v>
      </c>
      <c r="C368" s="26" t="s">
        <v>36</v>
      </c>
      <c r="D368" s="163">
        <v>9241</v>
      </c>
      <c r="E368" s="166">
        <v>90241</v>
      </c>
      <c r="F368" s="92" t="s">
        <v>152</v>
      </c>
      <c r="G368" s="20" t="s">
        <v>149</v>
      </c>
      <c r="H368" s="18">
        <v>55934</v>
      </c>
      <c r="I368" s="18">
        <v>78</v>
      </c>
      <c r="J368" s="4" t="s">
        <v>21</v>
      </c>
      <c r="K368" s="26" t="s">
        <v>15</v>
      </c>
      <c r="L368" s="172">
        <v>7</v>
      </c>
      <c r="M368" s="6">
        <v>0</v>
      </c>
      <c r="N368" s="6"/>
      <c r="O368" s="6">
        <v>0</v>
      </c>
      <c r="P368" s="6"/>
      <c r="Q368" s="7">
        <v>0</v>
      </c>
      <c r="R368" s="6"/>
      <c r="S368" s="1">
        <v>0</v>
      </c>
      <c r="U368" s="1">
        <v>0</v>
      </c>
      <c r="W368" s="1" t="str">
        <f t="shared" si="5"/>
        <v>No</v>
      </c>
    </row>
    <row r="369" spans="1:23" s="1" customFormat="1" ht="11.25">
      <c r="A369" s="2" t="s">
        <v>969</v>
      </c>
      <c r="B369" s="21" t="s">
        <v>970</v>
      </c>
      <c r="C369" s="26" t="s">
        <v>19</v>
      </c>
      <c r="D369" s="163">
        <v>9162</v>
      </c>
      <c r="E369" s="166">
        <v>90162</v>
      </c>
      <c r="F369" s="92" t="s">
        <v>160</v>
      </c>
      <c r="G369" s="20" t="s">
        <v>149</v>
      </c>
      <c r="H369" s="18">
        <v>277634</v>
      </c>
      <c r="I369" s="18">
        <v>78</v>
      </c>
      <c r="J369" s="4" t="s">
        <v>12</v>
      </c>
      <c r="K369" s="26" t="s">
        <v>15</v>
      </c>
      <c r="L369" s="172">
        <v>52</v>
      </c>
      <c r="M369" s="6">
        <v>0</v>
      </c>
      <c r="N369" s="6"/>
      <c r="O369" s="6">
        <v>0</v>
      </c>
      <c r="P369" s="6"/>
      <c r="Q369" s="7">
        <v>0</v>
      </c>
      <c r="R369" s="6"/>
      <c r="S369" s="1">
        <v>0</v>
      </c>
      <c r="U369" s="1">
        <v>0</v>
      </c>
      <c r="W369" s="1" t="str">
        <f t="shared" si="5"/>
        <v>No</v>
      </c>
    </row>
    <row r="370" spans="1:23" s="1" customFormat="1" ht="11.25">
      <c r="A370" s="2" t="s">
        <v>1202</v>
      </c>
      <c r="B370" s="21" t="s">
        <v>1203</v>
      </c>
      <c r="C370" s="26" t="s">
        <v>62</v>
      </c>
      <c r="D370" s="163">
        <v>2075</v>
      </c>
      <c r="E370" s="166">
        <v>20075</v>
      </c>
      <c r="F370" s="92" t="s">
        <v>160</v>
      </c>
      <c r="G370" s="20" t="s">
        <v>149</v>
      </c>
      <c r="H370" s="18">
        <v>5441567</v>
      </c>
      <c r="I370" s="18">
        <v>78</v>
      </c>
      <c r="J370" s="4" t="s">
        <v>24</v>
      </c>
      <c r="K370" s="26" t="s">
        <v>11</v>
      </c>
      <c r="L370" s="172">
        <v>78</v>
      </c>
      <c r="M370" s="6">
        <v>7</v>
      </c>
      <c r="N370" s="6"/>
      <c r="O370" s="6">
        <v>6</v>
      </c>
      <c r="P370" s="6"/>
      <c r="Q370" s="7">
        <v>13</v>
      </c>
      <c r="R370" s="6"/>
      <c r="S370" s="1">
        <v>14</v>
      </c>
      <c r="U370" s="1">
        <v>11</v>
      </c>
      <c r="W370" s="1" t="str">
        <f t="shared" si="5"/>
        <v>No</v>
      </c>
    </row>
    <row r="371" spans="1:23" s="1" customFormat="1" ht="11.25">
      <c r="A371" s="2" t="s">
        <v>836</v>
      </c>
      <c r="B371" s="21" t="s">
        <v>837</v>
      </c>
      <c r="C371" s="26" t="s">
        <v>36</v>
      </c>
      <c r="D371" s="163">
        <v>9241</v>
      </c>
      <c r="E371" s="166">
        <v>90241</v>
      </c>
      <c r="F371" s="92" t="s">
        <v>152</v>
      </c>
      <c r="G371" s="20" t="s">
        <v>149</v>
      </c>
      <c r="H371" s="18">
        <v>55934</v>
      </c>
      <c r="I371" s="18">
        <v>78</v>
      </c>
      <c r="J371" s="4" t="s">
        <v>12</v>
      </c>
      <c r="K371" s="26" t="s">
        <v>15</v>
      </c>
      <c r="L371" s="172">
        <v>13</v>
      </c>
      <c r="M371" s="6">
        <v>1</v>
      </c>
      <c r="N371" s="6"/>
      <c r="O371" s="6">
        <v>0</v>
      </c>
      <c r="P371" s="6"/>
      <c r="Q371" s="7">
        <v>1</v>
      </c>
      <c r="R371" s="6"/>
      <c r="S371" s="1">
        <v>0</v>
      </c>
      <c r="U371" s="1">
        <v>0</v>
      </c>
      <c r="W371" s="1" t="str">
        <f t="shared" si="5"/>
        <v>No</v>
      </c>
    </row>
    <row r="372" spans="1:23" s="1" customFormat="1" ht="11.25">
      <c r="A372" s="2" t="s">
        <v>60</v>
      </c>
      <c r="B372" s="21" t="s">
        <v>249</v>
      </c>
      <c r="C372" s="26" t="s">
        <v>59</v>
      </c>
      <c r="D372" s="163">
        <v>7001</v>
      </c>
      <c r="E372" s="166">
        <v>70001</v>
      </c>
      <c r="F372" s="92" t="s">
        <v>152</v>
      </c>
      <c r="G372" s="20" t="s">
        <v>149</v>
      </c>
      <c r="H372" s="18">
        <v>258719</v>
      </c>
      <c r="I372" s="18">
        <v>78</v>
      </c>
      <c r="J372" s="4" t="s">
        <v>12</v>
      </c>
      <c r="K372" s="26" t="s">
        <v>11</v>
      </c>
      <c r="L372" s="172">
        <v>56</v>
      </c>
      <c r="M372" s="6">
        <v>1</v>
      </c>
      <c r="N372" s="6"/>
      <c r="O372" s="6">
        <v>0</v>
      </c>
      <c r="P372" s="6"/>
      <c r="Q372" s="7">
        <v>1</v>
      </c>
      <c r="R372" s="6"/>
      <c r="S372" s="1">
        <v>0</v>
      </c>
      <c r="U372" s="1">
        <v>0</v>
      </c>
      <c r="W372" s="1" t="str">
        <f t="shared" si="5"/>
        <v>No</v>
      </c>
    </row>
    <row r="373" spans="1:23" s="1" customFormat="1" ht="11.25">
      <c r="A373" s="2" t="s">
        <v>708</v>
      </c>
      <c r="B373" s="21" t="s">
        <v>251</v>
      </c>
      <c r="C373" s="26" t="s">
        <v>81</v>
      </c>
      <c r="D373" s="163">
        <v>4110</v>
      </c>
      <c r="E373" s="166">
        <v>40110</v>
      </c>
      <c r="F373" s="92" t="s">
        <v>160</v>
      </c>
      <c r="G373" s="20" t="s">
        <v>149</v>
      </c>
      <c r="H373" s="18">
        <v>548404</v>
      </c>
      <c r="I373" s="18">
        <v>77</v>
      </c>
      <c r="J373" s="4" t="s">
        <v>12</v>
      </c>
      <c r="K373" s="26" t="s">
        <v>15</v>
      </c>
      <c r="L373" s="172">
        <v>49</v>
      </c>
      <c r="M373" s="6">
        <v>1</v>
      </c>
      <c r="N373" s="6"/>
      <c r="O373" s="6">
        <v>0</v>
      </c>
      <c r="P373" s="6"/>
      <c r="Q373" s="7">
        <v>1</v>
      </c>
      <c r="R373" s="6"/>
      <c r="S373" s="1">
        <v>0</v>
      </c>
      <c r="U373" s="1">
        <v>0</v>
      </c>
      <c r="W373" s="1" t="str">
        <f t="shared" si="5"/>
        <v>No</v>
      </c>
    </row>
    <row r="374" spans="1:23" s="1" customFormat="1" ht="11.25">
      <c r="A374" s="2" t="s">
        <v>708</v>
      </c>
      <c r="B374" s="21" t="s">
        <v>251</v>
      </c>
      <c r="C374" s="26" t="s">
        <v>81</v>
      </c>
      <c r="D374" s="163">
        <v>4110</v>
      </c>
      <c r="E374" s="166">
        <v>40110</v>
      </c>
      <c r="F374" s="92" t="s">
        <v>160</v>
      </c>
      <c r="G374" s="20" t="s">
        <v>149</v>
      </c>
      <c r="H374" s="18">
        <v>548404</v>
      </c>
      <c r="I374" s="18">
        <v>77</v>
      </c>
      <c r="J374" s="4" t="s">
        <v>21</v>
      </c>
      <c r="K374" s="26" t="s">
        <v>15</v>
      </c>
      <c r="L374" s="172">
        <v>8</v>
      </c>
      <c r="M374" s="6">
        <v>0</v>
      </c>
      <c r="N374" s="6"/>
      <c r="O374" s="6">
        <v>0</v>
      </c>
      <c r="P374" s="6"/>
      <c r="Q374" s="7">
        <v>0</v>
      </c>
      <c r="R374" s="6"/>
      <c r="S374" s="1">
        <v>0</v>
      </c>
      <c r="U374" s="1">
        <v>0</v>
      </c>
      <c r="W374" s="1" t="str">
        <f t="shared" si="5"/>
        <v>No</v>
      </c>
    </row>
    <row r="375" spans="1:23" s="1" customFormat="1" ht="11.25">
      <c r="A375" s="2" t="s">
        <v>137</v>
      </c>
      <c r="B375" s="21" t="s">
        <v>742</v>
      </c>
      <c r="C375" s="26" t="s">
        <v>92</v>
      </c>
      <c r="D375" s="163">
        <v>5001</v>
      </c>
      <c r="E375" s="166">
        <v>50001</v>
      </c>
      <c r="F375" s="92" t="s">
        <v>152</v>
      </c>
      <c r="G375" s="20" t="s">
        <v>149</v>
      </c>
      <c r="H375" s="18">
        <v>216154</v>
      </c>
      <c r="I375" s="18">
        <v>76</v>
      </c>
      <c r="J375" s="4" t="s">
        <v>12</v>
      </c>
      <c r="K375" s="26" t="s">
        <v>15</v>
      </c>
      <c r="L375" s="172">
        <v>12</v>
      </c>
      <c r="M375" s="6">
        <v>0</v>
      </c>
      <c r="N375" s="6"/>
      <c r="O375" s="6">
        <v>0</v>
      </c>
      <c r="P375" s="6"/>
      <c r="Q375" s="7">
        <v>0</v>
      </c>
      <c r="R375" s="6"/>
      <c r="S375" s="1">
        <v>0</v>
      </c>
      <c r="U375" s="1">
        <v>0</v>
      </c>
      <c r="W375" s="1" t="str">
        <f t="shared" si="5"/>
        <v>No</v>
      </c>
    </row>
    <row r="376" spans="1:23" s="1" customFormat="1" ht="11.25">
      <c r="A376" s="2" t="s">
        <v>137</v>
      </c>
      <c r="B376" s="21" t="s">
        <v>742</v>
      </c>
      <c r="C376" s="26" t="s">
        <v>92</v>
      </c>
      <c r="D376" s="163">
        <v>5001</v>
      </c>
      <c r="E376" s="166">
        <v>50001</v>
      </c>
      <c r="F376" s="92" t="s">
        <v>152</v>
      </c>
      <c r="G376" s="20" t="s">
        <v>149</v>
      </c>
      <c r="H376" s="18">
        <v>216154</v>
      </c>
      <c r="I376" s="18">
        <v>76</v>
      </c>
      <c r="J376" s="4" t="s">
        <v>12</v>
      </c>
      <c r="K376" s="26" t="s">
        <v>11</v>
      </c>
      <c r="L376" s="172">
        <v>21</v>
      </c>
      <c r="M376" s="6">
        <v>1</v>
      </c>
      <c r="N376" s="6"/>
      <c r="O376" s="6">
        <v>0</v>
      </c>
      <c r="P376" s="6"/>
      <c r="Q376" s="7">
        <v>1</v>
      </c>
      <c r="R376" s="6"/>
      <c r="S376" s="1">
        <v>0</v>
      </c>
      <c r="U376" s="1">
        <v>0</v>
      </c>
      <c r="W376" s="1" t="str">
        <f t="shared" si="5"/>
        <v>No</v>
      </c>
    </row>
    <row r="377" spans="1:23" s="1" customFormat="1" ht="11.25">
      <c r="A377" s="2" t="s">
        <v>727</v>
      </c>
      <c r="B377" s="21" t="s">
        <v>267</v>
      </c>
      <c r="C377" s="26" t="s">
        <v>87</v>
      </c>
      <c r="D377" s="163">
        <v>1066</v>
      </c>
      <c r="E377" s="166">
        <v>10066</v>
      </c>
      <c r="F377" s="92" t="s">
        <v>160</v>
      </c>
      <c r="G377" s="20" t="s">
        <v>149</v>
      </c>
      <c r="H377" s="18">
        <v>108740</v>
      </c>
      <c r="I377" s="18">
        <v>75</v>
      </c>
      <c r="J377" s="4" t="s">
        <v>12</v>
      </c>
      <c r="K377" s="26" t="s">
        <v>11</v>
      </c>
      <c r="L377" s="172">
        <v>40</v>
      </c>
      <c r="M377" s="6">
        <v>1</v>
      </c>
      <c r="N377" s="6"/>
      <c r="O377" s="6">
        <v>0</v>
      </c>
      <c r="P377" s="6"/>
      <c r="Q377" s="7">
        <v>1</v>
      </c>
      <c r="R377" s="6"/>
      <c r="S377" s="1">
        <v>0</v>
      </c>
      <c r="U377" s="1">
        <v>0</v>
      </c>
      <c r="W377" s="1" t="str">
        <f t="shared" si="5"/>
        <v>No</v>
      </c>
    </row>
    <row r="378" spans="1:23" s="1" customFormat="1" ht="11.25">
      <c r="A378" s="2" t="s">
        <v>641</v>
      </c>
      <c r="B378" s="21" t="s">
        <v>642</v>
      </c>
      <c r="C378" s="26" t="s">
        <v>84</v>
      </c>
      <c r="D378" s="163">
        <v>6059</v>
      </c>
      <c r="E378" s="166">
        <v>60059</v>
      </c>
      <c r="F378" s="92" t="s">
        <v>160</v>
      </c>
      <c r="G378" s="20" t="s">
        <v>149</v>
      </c>
      <c r="H378" s="18">
        <v>171345</v>
      </c>
      <c r="I378" s="18">
        <v>75</v>
      </c>
      <c r="J378" s="4" t="s">
        <v>12</v>
      </c>
      <c r="K378" s="26" t="s">
        <v>11</v>
      </c>
      <c r="L378" s="172">
        <v>27</v>
      </c>
      <c r="M378" s="6">
        <v>3</v>
      </c>
      <c r="N378" s="6"/>
      <c r="O378" s="6">
        <v>0</v>
      </c>
      <c r="P378" s="6"/>
      <c r="Q378" s="7">
        <v>3</v>
      </c>
      <c r="R378" s="6"/>
      <c r="S378" s="1">
        <v>0</v>
      </c>
      <c r="U378" s="1">
        <v>0</v>
      </c>
      <c r="W378" s="1" t="str">
        <f t="shared" si="5"/>
        <v>No</v>
      </c>
    </row>
    <row r="379" spans="1:23" s="1" customFormat="1" ht="11.25">
      <c r="A379" s="2" t="s">
        <v>1054</v>
      </c>
      <c r="B379" s="21" t="s">
        <v>460</v>
      </c>
      <c r="C379" s="26" t="s">
        <v>83</v>
      </c>
      <c r="D379" s="163">
        <v>4002</v>
      </c>
      <c r="E379" s="166">
        <v>40002</v>
      </c>
      <c r="F379" s="92" t="s">
        <v>152</v>
      </c>
      <c r="G379" s="20" t="s">
        <v>149</v>
      </c>
      <c r="H379" s="18">
        <v>558696</v>
      </c>
      <c r="I379" s="18">
        <v>75</v>
      </c>
      <c r="J379" s="4" t="s">
        <v>12</v>
      </c>
      <c r="K379" s="26" t="s">
        <v>11</v>
      </c>
      <c r="L379" s="172">
        <v>55</v>
      </c>
      <c r="M379" s="6">
        <v>1</v>
      </c>
      <c r="N379" s="6"/>
      <c r="O379" s="6">
        <v>0</v>
      </c>
      <c r="P379" s="6"/>
      <c r="Q379" s="7">
        <v>1</v>
      </c>
      <c r="R379" s="6"/>
      <c r="S379" s="1">
        <v>2</v>
      </c>
      <c r="U379" s="1">
        <v>1</v>
      </c>
      <c r="W379" s="1" t="str">
        <f t="shared" si="5"/>
        <v>No</v>
      </c>
    </row>
    <row r="380" spans="1:23" s="1" customFormat="1" ht="11.25">
      <c r="A380" s="2" t="s">
        <v>727</v>
      </c>
      <c r="B380" s="21" t="s">
        <v>267</v>
      </c>
      <c r="C380" s="26" t="s">
        <v>87</v>
      </c>
      <c r="D380" s="163">
        <v>1066</v>
      </c>
      <c r="E380" s="166">
        <v>10066</v>
      </c>
      <c r="F380" s="92" t="s">
        <v>160</v>
      </c>
      <c r="G380" s="20" t="s">
        <v>149</v>
      </c>
      <c r="H380" s="18">
        <v>108740</v>
      </c>
      <c r="I380" s="18">
        <v>75</v>
      </c>
      <c r="J380" s="4" t="s">
        <v>21</v>
      </c>
      <c r="K380" s="26" t="s">
        <v>11</v>
      </c>
      <c r="L380" s="172">
        <v>14</v>
      </c>
      <c r="M380" s="6">
        <v>1</v>
      </c>
      <c r="N380" s="6"/>
      <c r="O380" s="6">
        <v>0</v>
      </c>
      <c r="P380" s="6"/>
      <c r="Q380" s="7">
        <v>1</v>
      </c>
      <c r="R380" s="6"/>
      <c r="S380" s="1">
        <v>0</v>
      </c>
      <c r="U380" s="1">
        <v>0</v>
      </c>
      <c r="W380" s="1" t="str">
        <f t="shared" si="5"/>
        <v>No</v>
      </c>
    </row>
    <row r="381" spans="1:23" s="1" customFormat="1" ht="11.25">
      <c r="A381" s="2" t="s">
        <v>533</v>
      </c>
      <c r="B381" s="21" t="s">
        <v>534</v>
      </c>
      <c r="C381" s="26" t="s">
        <v>84</v>
      </c>
      <c r="D381" s="163">
        <v>6114</v>
      </c>
      <c r="E381" s="166">
        <v>60114</v>
      </c>
      <c r="F381" s="92" t="s">
        <v>152</v>
      </c>
      <c r="G381" s="20" t="s">
        <v>149</v>
      </c>
      <c r="H381" s="18">
        <v>5121892</v>
      </c>
      <c r="I381" s="18">
        <v>74</v>
      </c>
      <c r="J381" s="4" t="s">
        <v>12</v>
      </c>
      <c r="K381" s="26" t="s">
        <v>11</v>
      </c>
      <c r="L381" s="172">
        <v>2</v>
      </c>
      <c r="M381" s="6">
        <v>0</v>
      </c>
      <c r="N381" s="6"/>
      <c r="O381" s="6">
        <v>0</v>
      </c>
      <c r="P381" s="6"/>
      <c r="Q381" s="7">
        <v>0</v>
      </c>
      <c r="R381" s="6"/>
      <c r="S381" s="1">
        <v>0</v>
      </c>
      <c r="U381" s="1">
        <v>0</v>
      </c>
      <c r="W381" s="1" t="str">
        <f t="shared" si="5"/>
        <v>No</v>
      </c>
    </row>
    <row r="382" spans="1:23" s="1" customFormat="1" ht="11.25">
      <c r="A382" s="2" t="s">
        <v>1279</v>
      </c>
      <c r="B382" s="21" t="s">
        <v>1280</v>
      </c>
      <c r="C382" s="26" t="s">
        <v>45</v>
      </c>
      <c r="D382" s="163">
        <v>1006</v>
      </c>
      <c r="E382" s="166">
        <v>10006</v>
      </c>
      <c r="F382" s="92" t="s">
        <v>160</v>
      </c>
      <c r="G382" s="20" t="s">
        <v>149</v>
      </c>
      <c r="H382" s="18">
        <v>149443</v>
      </c>
      <c r="I382" s="18">
        <v>74</v>
      </c>
      <c r="J382" s="4" t="s">
        <v>12</v>
      </c>
      <c r="K382" s="26" t="s">
        <v>15</v>
      </c>
      <c r="L382" s="172">
        <v>52</v>
      </c>
      <c r="M382" s="6">
        <v>2</v>
      </c>
      <c r="N382" s="6"/>
      <c r="O382" s="6">
        <v>0</v>
      </c>
      <c r="P382" s="6"/>
      <c r="Q382" s="7">
        <v>2</v>
      </c>
      <c r="R382" s="6"/>
      <c r="S382" s="1">
        <v>2</v>
      </c>
      <c r="U382" s="1">
        <v>0</v>
      </c>
      <c r="W382" s="1" t="str">
        <f t="shared" si="5"/>
        <v>No</v>
      </c>
    </row>
    <row r="383" spans="1:23" s="1" customFormat="1" ht="11.25">
      <c r="A383" s="2" t="s">
        <v>673</v>
      </c>
      <c r="B383" s="21" t="s">
        <v>674</v>
      </c>
      <c r="C383" s="26" t="s">
        <v>44</v>
      </c>
      <c r="D383" s="163">
        <v>6022</v>
      </c>
      <c r="E383" s="166">
        <v>60022</v>
      </c>
      <c r="F383" s="92" t="s">
        <v>160</v>
      </c>
      <c r="G383" s="20" t="s">
        <v>149</v>
      </c>
      <c r="H383" s="18">
        <v>594309</v>
      </c>
      <c r="I383" s="18">
        <v>74</v>
      </c>
      <c r="J383" s="4" t="s">
        <v>12</v>
      </c>
      <c r="K383" s="26" t="s">
        <v>11</v>
      </c>
      <c r="L383" s="172">
        <v>56</v>
      </c>
      <c r="M383" s="6">
        <v>1</v>
      </c>
      <c r="N383" s="6"/>
      <c r="O383" s="6">
        <v>0</v>
      </c>
      <c r="P383" s="6"/>
      <c r="Q383" s="7">
        <v>1</v>
      </c>
      <c r="R383" s="6"/>
      <c r="S383" s="1">
        <v>0</v>
      </c>
      <c r="U383" s="1">
        <v>0</v>
      </c>
      <c r="W383" s="1" t="str">
        <f t="shared" si="5"/>
        <v>No</v>
      </c>
    </row>
    <row r="384" spans="1:23" s="1" customFormat="1" ht="11.25">
      <c r="A384" s="2" t="s">
        <v>533</v>
      </c>
      <c r="B384" s="21" t="s">
        <v>534</v>
      </c>
      <c r="C384" s="26" t="s">
        <v>84</v>
      </c>
      <c r="D384" s="163">
        <v>6114</v>
      </c>
      <c r="E384" s="166">
        <v>60114</v>
      </c>
      <c r="F384" s="92" t="s">
        <v>152</v>
      </c>
      <c r="G384" s="20" t="s">
        <v>149</v>
      </c>
      <c r="H384" s="18">
        <v>5121892</v>
      </c>
      <c r="I384" s="18">
        <v>74</v>
      </c>
      <c r="J384" s="4" t="s">
        <v>21</v>
      </c>
      <c r="K384" s="26" t="s">
        <v>11</v>
      </c>
      <c r="L384" s="172">
        <v>6</v>
      </c>
      <c r="M384" s="6">
        <v>0</v>
      </c>
      <c r="N384" s="6"/>
      <c r="O384" s="6">
        <v>0</v>
      </c>
      <c r="P384" s="6"/>
      <c r="Q384" s="7">
        <v>0</v>
      </c>
      <c r="R384" s="6"/>
      <c r="S384" s="1">
        <v>0</v>
      </c>
      <c r="U384" s="1">
        <v>0</v>
      </c>
      <c r="W384" s="1" t="str">
        <f t="shared" si="5"/>
        <v>No</v>
      </c>
    </row>
    <row r="385" spans="1:23" s="1" customFormat="1" ht="11.25">
      <c r="A385" s="2" t="s">
        <v>676</v>
      </c>
      <c r="B385" s="21" t="s">
        <v>677</v>
      </c>
      <c r="C385" s="26" t="s">
        <v>10</v>
      </c>
      <c r="D385" s="163">
        <v>6033</v>
      </c>
      <c r="E385" s="166">
        <v>60033</v>
      </c>
      <c r="F385" s="92" t="s">
        <v>160</v>
      </c>
      <c r="G385" s="20" t="s">
        <v>149</v>
      </c>
      <c r="H385" s="18">
        <v>431388</v>
      </c>
      <c r="I385" s="18">
        <v>73</v>
      </c>
      <c r="J385" s="4" t="s">
        <v>33</v>
      </c>
      <c r="K385" s="26" t="s">
        <v>11</v>
      </c>
      <c r="L385" s="172">
        <v>3</v>
      </c>
      <c r="M385" s="6">
        <v>0</v>
      </c>
      <c r="N385" s="6"/>
      <c r="O385" s="6">
        <v>0</v>
      </c>
      <c r="P385" s="6"/>
      <c r="Q385" s="7">
        <v>0</v>
      </c>
      <c r="R385" s="6"/>
      <c r="S385" s="1">
        <v>0</v>
      </c>
      <c r="U385" s="1">
        <v>0</v>
      </c>
      <c r="W385" s="1" t="str">
        <f t="shared" si="5"/>
        <v>No</v>
      </c>
    </row>
    <row r="386" spans="1:23" s="1" customFormat="1" ht="11.25">
      <c r="A386" s="2" t="s">
        <v>1832</v>
      </c>
      <c r="B386" s="21" t="s">
        <v>1049</v>
      </c>
      <c r="C386" s="26" t="s">
        <v>51</v>
      </c>
      <c r="D386" s="163">
        <v>5035</v>
      </c>
      <c r="E386" s="166">
        <v>50035</v>
      </c>
      <c r="F386" s="92" t="s">
        <v>160</v>
      </c>
      <c r="G386" s="20" t="s">
        <v>149</v>
      </c>
      <c r="H386" s="18">
        <v>209703</v>
      </c>
      <c r="I386" s="18">
        <v>73</v>
      </c>
      <c r="J386" s="4" t="s">
        <v>12</v>
      </c>
      <c r="K386" s="26" t="s">
        <v>11</v>
      </c>
      <c r="L386" s="172">
        <v>29</v>
      </c>
      <c r="M386" s="6">
        <v>1</v>
      </c>
      <c r="N386" s="6"/>
      <c r="O386" s="6">
        <v>0</v>
      </c>
      <c r="P386" s="6"/>
      <c r="Q386" s="7">
        <v>1</v>
      </c>
      <c r="R386" s="6"/>
      <c r="S386" s="1">
        <v>0</v>
      </c>
      <c r="U386" s="1">
        <v>0</v>
      </c>
      <c r="W386" s="1" t="str">
        <f t="shared" ref="W386:W449" si="6">IF(V386&amp;T386&amp;R386&amp;P386&amp;N386&lt;&gt;"","Yes","No")</f>
        <v>No</v>
      </c>
    </row>
    <row r="387" spans="1:23" s="1" customFormat="1" ht="11.25">
      <c r="A387" s="2" t="s">
        <v>1084</v>
      </c>
      <c r="B387" s="21" t="s">
        <v>539</v>
      </c>
      <c r="C387" s="26" t="s">
        <v>75</v>
      </c>
      <c r="D387" s="163">
        <v>3015</v>
      </c>
      <c r="E387" s="166">
        <v>30015</v>
      </c>
      <c r="F387" s="92" t="s">
        <v>160</v>
      </c>
      <c r="G387" s="20" t="s">
        <v>149</v>
      </c>
      <c r="H387" s="18">
        <v>381502</v>
      </c>
      <c r="I387" s="18">
        <v>73</v>
      </c>
      <c r="J387" s="4" t="s">
        <v>12</v>
      </c>
      <c r="K387" s="26" t="s">
        <v>11</v>
      </c>
      <c r="L387" s="172">
        <v>32</v>
      </c>
      <c r="M387" s="6">
        <v>1</v>
      </c>
      <c r="N387" s="6"/>
      <c r="O387" s="6">
        <v>0</v>
      </c>
      <c r="P387" s="6"/>
      <c r="Q387" s="7">
        <v>1</v>
      </c>
      <c r="R387" s="6"/>
      <c r="S387" s="1">
        <v>0</v>
      </c>
      <c r="U387" s="1">
        <v>0</v>
      </c>
      <c r="W387" s="1" t="str">
        <f t="shared" si="6"/>
        <v>No</v>
      </c>
    </row>
    <row r="388" spans="1:23" s="1" customFormat="1" ht="11.25">
      <c r="A388" s="2" t="s">
        <v>676</v>
      </c>
      <c r="B388" s="21" t="s">
        <v>677</v>
      </c>
      <c r="C388" s="26" t="s">
        <v>10</v>
      </c>
      <c r="D388" s="163">
        <v>6033</v>
      </c>
      <c r="E388" s="166">
        <v>60033</v>
      </c>
      <c r="F388" s="92" t="s">
        <v>160</v>
      </c>
      <c r="G388" s="20" t="s">
        <v>149</v>
      </c>
      <c r="H388" s="18">
        <v>431388</v>
      </c>
      <c r="I388" s="18">
        <v>73</v>
      </c>
      <c r="J388" s="4" t="s">
        <v>12</v>
      </c>
      <c r="K388" s="26" t="s">
        <v>11</v>
      </c>
      <c r="L388" s="172">
        <v>49</v>
      </c>
      <c r="M388" s="6">
        <v>1</v>
      </c>
      <c r="N388" s="6"/>
      <c r="O388" s="6">
        <v>0</v>
      </c>
      <c r="P388" s="6"/>
      <c r="Q388" s="7">
        <v>1</v>
      </c>
      <c r="R388" s="6"/>
      <c r="S388" s="1">
        <v>0</v>
      </c>
      <c r="U388" s="1">
        <v>0</v>
      </c>
      <c r="W388" s="1" t="str">
        <f t="shared" si="6"/>
        <v>No</v>
      </c>
    </row>
    <row r="389" spans="1:23" s="1" customFormat="1" ht="11.25">
      <c r="A389" s="2" t="s">
        <v>1129</v>
      </c>
      <c r="B389" s="21" t="s">
        <v>1130</v>
      </c>
      <c r="C389" s="26" t="s">
        <v>55</v>
      </c>
      <c r="D389" s="163">
        <v>4014</v>
      </c>
      <c r="E389" s="166">
        <v>40014</v>
      </c>
      <c r="F389" s="92" t="s">
        <v>160</v>
      </c>
      <c r="G389" s="20" t="s">
        <v>149</v>
      </c>
      <c r="H389" s="18">
        <v>208948</v>
      </c>
      <c r="I389" s="18">
        <v>71</v>
      </c>
      <c r="J389" s="4" t="s">
        <v>12</v>
      </c>
      <c r="K389" s="26" t="s">
        <v>11</v>
      </c>
      <c r="L389" s="172">
        <v>20</v>
      </c>
      <c r="M389" s="6">
        <v>8</v>
      </c>
      <c r="N389" s="6"/>
      <c r="O389" s="6">
        <v>0</v>
      </c>
      <c r="P389" s="6"/>
      <c r="Q389" s="7">
        <v>8</v>
      </c>
      <c r="R389" s="6"/>
      <c r="S389" s="1">
        <v>1</v>
      </c>
      <c r="U389" s="1">
        <v>0</v>
      </c>
      <c r="W389" s="1" t="str">
        <f t="shared" si="6"/>
        <v>No</v>
      </c>
    </row>
    <row r="390" spans="1:23" s="1" customFormat="1" ht="11.25">
      <c r="A390" s="2" t="s">
        <v>1335</v>
      </c>
      <c r="B390" s="21" t="s">
        <v>1336</v>
      </c>
      <c r="C390" s="26" t="s">
        <v>69</v>
      </c>
      <c r="D390" s="163">
        <v>2084</v>
      </c>
      <c r="E390" s="166">
        <v>20084</v>
      </c>
      <c r="F390" s="92" t="s">
        <v>152</v>
      </c>
      <c r="G390" s="20" t="s">
        <v>149</v>
      </c>
      <c r="H390" s="18">
        <v>18351295</v>
      </c>
      <c r="I390" s="18">
        <v>71</v>
      </c>
      <c r="J390" s="4" t="s">
        <v>12</v>
      </c>
      <c r="K390" s="26" t="s">
        <v>15</v>
      </c>
      <c r="L390" s="172">
        <v>52</v>
      </c>
      <c r="M390" s="6">
        <v>0</v>
      </c>
      <c r="N390" s="6"/>
      <c r="O390" s="6">
        <v>0</v>
      </c>
      <c r="P390" s="6"/>
      <c r="Q390" s="7">
        <v>0</v>
      </c>
      <c r="R390" s="6"/>
      <c r="S390" s="1">
        <v>0</v>
      </c>
      <c r="U390" s="1">
        <v>0</v>
      </c>
      <c r="W390" s="1" t="str">
        <f t="shared" si="6"/>
        <v>No</v>
      </c>
    </row>
    <row r="391" spans="1:23" s="1" customFormat="1" ht="11.25">
      <c r="A391" s="2" t="s">
        <v>1101</v>
      </c>
      <c r="B391" s="21" t="s">
        <v>1102</v>
      </c>
      <c r="C391" s="26" t="s">
        <v>45</v>
      </c>
      <c r="D391" s="163">
        <v>1013</v>
      </c>
      <c r="E391" s="166">
        <v>10013</v>
      </c>
      <c r="F391" s="92" t="s">
        <v>160</v>
      </c>
      <c r="G391" s="20" t="s">
        <v>149</v>
      </c>
      <c r="H391" s="18">
        <v>4181019</v>
      </c>
      <c r="I391" s="18">
        <v>71</v>
      </c>
      <c r="J391" s="4" t="s">
        <v>21</v>
      </c>
      <c r="K391" s="26" t="s">
        <v>15</v>
      </c>
      <c r="L391" s="172">
        <v>6</v>
      </c>
      <c r="M391" s="6">
        <v>1</v>
      </c>
      <c r="N391" s="6"/>
      <c r="O391" s="6">
        <v>0</v>
      </c>
      <c r="P391" s="6"/>
      <c r="Q391" s="7">
        <v>1</v>
      </c>
      <c r="R391" s="6"/>
      <c r="S391" s="1">
        <v>2</v>
      </c>
      <c r="U391" s="1">
        <v>0</v>
      </c>
      <c r="W391" s="1" t="str">
        <f t="shared" si="6"/>
        <v>No</v>
      </c>
    </row>
    <row r="392" spans="1:23" s="1" customFormat="1" ht="11.25">
      <c r="A392" s="2" t="s">
        <v>65</v>
      </c>
      <c r="B392" s="21" t="s">
        <v>449</v>
      </c>
      <c r="C392" s="26" t="s">
        <v>62</v>
      </c>
      <c r="D392" s="163">
        <v>2190</v>
      </c>
      <c r="E392" s="166">
        <v>20190</v>
      </c>
      <c r="F392" s="92" t="s">
        <v>148</v>
      </c>
      <c r="G392" s="20" t="s">
        <v>149</v>
      </c>
      <c r="H392" s="18">
        <v>18351295</v>
      </c>
      <c r="I392" s="18">
        <v>71</v>
      </c>
      <c r="J392" s="4" t="s">
        <v>22</v>
      </c>
      <c r="K392" s="26" t="s">
        <v>11</v>
      </c>
      <c r="L392" s="172">
        <v>14</v>
      </c>
      <c r="M392" s="6">
        <v>6</v>
      </c>
      <c r="N392" s="6"/>
      <c r="O392" s="6">
        <v>0</v>
      </c>
      <c r="P392" s="6"/>
      <c r="Q392" s="7">
        <v>6</v>
      </c>
      <c r="R392" s="6"/>
      <c r="S392" s="1">
        <v>0</v>
      </c>
      <c r="U392" s="1">
        <v>0</v>
      </c>
      <c r="W392" s="1" t="str">
        <f t="shared" si="6"/>
        <v>No</v>
      </c>
    </row>
    <row r="393" spans="1:23" s="1" customFormat="1" ht="11.25">
      <c r="A393" s="2" t="s">
        <v>1101</v>
      </c>
      <c r="B393" s="21" t="s">
        <v>1102</v>
      </c>
      <c r="C393" s="26" t="s">
        <v>45</v>
      </c>
      <c r="D393" s="163">
        <v>1013</v>
      </c>
      <c r="E393" s="166">
        <v>10013</v>
      </c>
      <c r="F393" s="92" t="s">
        <v>160</v>
      </c>
      <c r="G393" s="20" t="s">
        <v>149</v>
      </c>
      <c r="H393" s="18">
        <v>4181019</v>
      </c>
      <c r="I393" s="18">
        <v>71</v>
      </c>
      <c r="J393" s="4" t="s">
        <v>12</v>
      </c>
      <c r="K393" s="26" t="s">
        <v>15</v>
      </c>
      <c r="L393" s="172">
        <v>41</v>
      </c>
      <c r="M393" s="6">
        <v>3</v>
      </c>
      <c r="N393" s="6"/>
      <c r="O393" s="6">
        <v>0</v>
      </c>
      <c r="P393" s="6"/>
      <c r="Q393" s="7">
        <v>3</v>
      </c>
      <c r="R393" s="6"/>
      <c r="S393" s="1">
        <v>5</v>
      </c>
      <c r="U393" s="1">
        <v>0</v>
      </c>
      <c r="W393" s="1" t="str">
        <f t="shared" si="6"/>
        <v>No</v>
      </c>
    </row>
    <row r="394" spans="1:23" s="1" customFormat="1" ht="11.25">
      <c r="A394" s="2" t="s">
        <v>65</v>
      </c>
      <c r="B394" s="21" t="s">
        <v>449</v>
      </c>
      <c r="C394" s="26" t="s">
        <v>62</v>
      </c>
      <c r="D394" s="163">
        <v>2190</v>
      </c>
      <c r="E394" s="166">
        <v>20190</v>
      </c>
      <c r="F394" s="92" t="s">
        <v>148</v>
      </c>
      <c r="G394" s="20" t="s">
        <v>149</v>
      </c>
      <c r="H394" s="18">
        <v>18351295</v>
      </c>
      <c r="I394" s="18">
        <v>71</v>
      </c>
      <c r="J394" s="4" t="s">
        <v>12</v>
      </c>
      <c r="K394" s="26" t="s">
        <v>11</v>
      </c>
      <c r="L394" s="172">
        <v>57</v>
      </c>
      <c r="M394" s="6">
        <v>2</v>
      </c>
      <c r="N394" s="6"/>
      <c r="O394" s="6">
        <v>0</v>
      </c>
      <c r="P394" s="6"/>
      <c r="Q394" s="7">
        <v>2</v>
      </c>
      <c r="R394" s="6"/>
      <c r="S394" s="1">
        <v>0</v>
      </c>
      <c r="U394" s="1">
        <v>0</v>
      </c>
      <c r="W394" s="1" t="str">
        <f t="shared" si="6"/>
        <v>No</v>
      </c>
    </row>
    <row r="395" spans="1:23" s="1" customFormat="1" ht="11.25">
      <c r="A395" s="2" t="s">
        <v>644</v>
      </c>
      <c r="B395" s="21" t="s">
        <v>645</v>
      </c>
      <c r="C395" s="26" t="s">
        <v>29</v>
      </c>
      <c r="D395" s="163">
        <v>1128</v>
      </c>
      <c r="E395" s="166">
        <v>10128</v>
      </c>
      <c r="F395" s="92" t="s">
        <v>326</v>
      </c>
      <c r="G395" s="20" t="s">
        <v>149</v>
      </c>
      <c r="H395" s="18">
        <v>194535</v>
      </c>
      <c r="I395" s="18">
        <v>70</v>
      </c>
      <c r="J395" s="4" t="s">
        <v>12</v>
      </c>
      <c r="K395" s="26" t="s">
        <v>15</v>
      </c>
      <c r="L395" s="172">
        <v>36</v>
      </c>
      <c r="M395" s="6">
        <v>0</v>
      </c>
      <c r="N395" s="6"/>
      <c r="O395" s="6">
        <v>0</v>
      </c>
      <c r="P395" s="6"/>
      <c r="Q395" s="7">
        <v>0</v>
      </c>
      <c r="R395" s="6"/>
      <c r="S395" s="1">
        <v>0</v>
      </c>
      <c r="U395" s="1">
        <v>0</v>
      </c>
      <c r="W395" s="1" t="str">
        <f t="shared" si="6"/>
        <v>No</v>
      </c>
    </row>
    <row r="396" spans="1:23" s="1" customFormat="1" ht="11.25">
      <c r="A396" s="2" t="s">
        <v>1167</v>
      </c>
      <c r="B396" s="21" t="s">
        <v>1168</v>
      </c>
      <c r="C396" s="26" t="s">
        <v>40</v>
      </c>
      <c r="D396" s="163">
        <v>5104</v>
      </c>
      <c r="E396" s="166">
        <v>50104</v>
      </c>
      <c r="F396" s="92" t="s">
        <v>160</v>
      </c>
      <c r="G396" s="20" t="s">
        <v>149</v>
      </c>
      <c r="H396" s="18">
        <v>8608208</v>
      </c>
      <c r="I396" s="18">
        <v>70</v>
      </c>
      <c r="J396" s="4" t="s">
        <v>20</v>
      </c>
      <c r="K396" s="26" t="s">
        <v>11</v>
      </c>
      <c r="L396" s="172">
        <v>70</v>
      </c>
      <c r="M396" s="6">
        <v>14</v>
      </c>
      <c r="N396" s="6"/>
      <c r="O396" s="6">
        <v>5</v>
      </c>
      <c r="P396" s="6"/>
      <c r="Q396" s="7">
        <v>19</v>
      </c>
      <c r="R396" s="6"/>
      <c r="S396" s="1">
        <v>7</v>
      </c>
      <c r="U396" s="1">
        <v>1</v>
      </c>
      <c r="W396" s="1" t="str">
        <f t="shared" si="6"/>
        <v>No</v>
      </c>
    </row>
    <row r="397" spans="1:23" s="1" customFormat="1" ht="11.25">
      <c r="A397" s="2" t="s">
        <v>1639</v>
      </c>
      <c r="B397" s="21" t="s">
        <v>229</v>
      </c>
      <c r="C397" s="26" t="s">
        <v>75</v>
      </c>
      <c r="D397" s="163">
        <v>3111</v>
      </c>
      <c r="E397" s="166">
        <v>30111</v>
      </c>
      <c r="F397" s="92" t="s">
        <v>160</v>
      </c>
      <c r="G397" s="20" t="s">
        <v>149</v>
      </c>
      <c r="H397" s="18">
        <v>1733853</v>
      </c>
      <c r="I397" s="18">
        <v>70</v>
      </c>
      <c r="J397" s="4" t="s">
        <v>12</v>
      </c>
      <c r="K397" s="26" t="s">
        <v>15</v>
      </c>
      <c r="L397" s="172">
        <v>8</v>
      </c>
      <c r="M397" s="6">
        <v>1</v>
      </c>
      <c r="N397" s="6"/>
      <c r="O397" s="6">
        <v>0</v>
      </c>
      <c r="P397" s="6"/>
      <c r="Q397" s="7">
        <v>1</v>
      </c>
      <c r="R397" s="6"/>
      <c r="S397" s="1">
        <v>1</v>
      </c>
      <c r="U397" s="1">
        <v>0</v>
      </c>
      <c r="W397" s="1" t="str">
        <f t="shared" si="6"/>
        <v>No</v>
      </c>
    </row>
    <row r="398" spans="1:23" s="1" customFormat="1" ht="11.25">
      <c r="A398" s="2" t="s">
        <v>1275</v>
      </c>
      <c r="B398" s="21" t="s">
        <v>1276</v>
      </c>
      <c r="C398" s="26" t="s">
        <v>19</v>
      </c>
      <c r="D398" s="163">
        <v>9035</v>
      </c>
      <c r="E398" s="166">
        <v>90035</v>
      </c>
      <c r="F398" s="92" t="s">
        <v>160</v>
      </c>
      <c r="G398" s="20" t="s">
        <v>149</v>
      </c>
      <c r="H398" s="18">
        <v>367260</v>
      </c>
      <c r="I398" s="18">
        <v>70</v>
      </c>
      <c r="J398" s="4" t="s">
        <v>12</v>
      </c>
      <c r="K398" s="26" t="s">
        <v>11</v>
      </c>
      <c r="L398" s="172">
        <v>47</v>
      </c>
      <c r="M398" s="6">
        <v>0</v>
      </c>
      <c r="N398" s="6"/>
      <c r="O398" s="6">
        <v>0</v>
      </c>
      <c r="P398" s="6"/>
      <c r="Q398" s="7">
        <v>0</v>
      </c>
      <c r="R398" s="6"/>
      <c r="S398" s="1">
        <v>0</v>
      </c>
      <c r="U398" s="1">
        <v>0</v>
      </c>
      <c r="W398" s="1" t="str">
        <f t="shared" si="6"/>
        <v>No</v>
      </c>
    </row>
    <row r="399" spans="1:23" s="1" customFormat="1" ht="11.25">
      <c r="A399" s="2" t="s">
        <v>1833</v>
      </c>
      <c r="B399" s="21" t="s">
        <v>1059</v>
      </c>
      <c r="C399" s="26" t="s">
        <v>32</v>
      </c>
      <c r="D399" s="163">
        <v>4031</v>
      </c>
      <c r="E399" s="166">
        <v>40031</v>
      </c>
      <c r="F399" s="92" t="s">
        <v>160</v>
      </c>
      <c r="G399" s="20" t="s">
        <v>149</v>
      </c>
      <c r="H399" s="18">
        <v>262596</v>
      </c>
      <c r="I399" s="18">
        <v>68</v>
      </c>
      <c r="J399" s="4" t="s">
        <v>12</v>
      </c>
      <c r="K399" s="26" t="s">
        <v>11</v>
      </c>
      <c r="L399" s="172">
        <v>32</v>
      </c>
      <c r="M399" s="6">
        <v>2</v>
      </c>
      <c r="N399" s="6"/>
      <c r="O399" s="6">
        <v>0</v>
      </c>
      <c r="P399" s="6"/>
      <c r="Q399" s="7">
        <v>2</v>
      </c>
      <c r="R399" s="6"/>
      <c r="S399" s="1">
        <v>0</v>
      </c>
      <c r="U399" s="1">
        <v>0</v>
      </c>
      <c r="W399" s="1" t="str">
        <f t="shared" si="6"/>
        <v>No</v>
      </c>
    </row>
    <row r="400" spans="1:23" s="1" customFormat="1" ht="11.25">
      <c r="A400" s="2" t="s">
        <v>557</v>
      </c>
      <c r="B400" s="21" t="s">
        <v>558</v>
      </c>
      <c r="C400" s="26" t="s">
        <v>62</v>
      </c>
      <c r="D400" s="163">
        <v>2192</v>
      </c>
      <c r="E400" s="166">
        <v>20192</v>
      </c>
      <c r="F400" s="92" t="s">
        <v>152</v>
      </c>
      <c r="G400" s="20" t="s">
        <v>149</v>
      </c>
      <c r="H400" s="18">
        <v>18351295</v>
      </c>
      <c r="I400" s="18">
        <v>68</v>
      </c>
      <c r="J400" s="4" t="s">
        <v>12</v>
      </c>
      <c r="K400" s="26" t="s">
        <v>11</v>
      </c>
      <c r="L400" s="172">
        <v>3</v>
      </c>
      <c r="M400" s="6">
        <v>0</v>
      </c>
      <c r="N400" s="6"/>
      <c r="O400" s="6">
        <v>0</v>
      </c>
      <c r="P400" s="6"/>
      <c r="Q400" s="7">
        <v>0</v>
      </c>
      <c r="R400" s="6"/>
      <c r="S400" s="1">
        <v>0</v>
      </c>
      <c r="U400" s="1">
        <v>0</v>
      </c>
      <c r="W400" s="1" t="str">
        <f t="shared" si="6"/>
        <v>No</v>
      </c>
    </row>
    <row r="401" spans="1:23" s="1" customFormat="1" ht="11.25">
      <c r="A401" s="2" t="s">
        <v>1052</v>
      </c>
      <c r="B401" s="21" t="s">
        <v>364</v>
      </c>
      <c r="C401" s="26" t="s">
        <v>92</v>
      </c>
      <c r="D401" s="163">
        <v>5003</v>
      </c>
      <c r="E401" s="166">
        <v>50003</v>
      </c>
      <c r="F401" s="92" t="s">
        <v>152</v>
      </c>
      <c r="G401" s="20" t="s">
        <v>149</v>
      </c>
      <c r="H401" s="18">
        <v>124064</v>
      </c>
      <c r="I401" s="18">
        <v>68</v>
      </c>
      <c r="J401" s="4" t="s">
        <v>12</v>
      </c>
      <c r="K401" s="26" t="s">
        <v>11</v>
      </c>
      <c r="L401" s="172">
        <v>48</v>
      </c>
      <c r="M401" s="6">
        <v>1</v>
      </c>
      <c r="N401" s="6"/>
      <c r="O401" s="6">
        <v>0</v>
      </c>
      <c r="P401" s="6"/>
      <c r="Q401" s="7">
        <v>1</v>
      </c>
      <c r="R401" s="6"/>
      <c r="S401" s="1">
        <v>0</v>
      </c>
      <c r="U401" s="1">
        <v>0</v>
      </c>
      <c r="W401" s="1" t="str">
        <f t="shared" si="6"/>
        <v>No</v>
      </c>
    </row>
    <row r="402" spans="1:23" s="1" customFormat="1" ht="11.25">
      <c r="A402" s="2" t="s">
        <v>1633</v>
      </c>
      <c r="B402" s="21" t="s">
        <v>1665</v>
      </c>
      <c r="C402" s="26" t="s">
        <v>62</v>
      </c>
      <c r="D402" s="163">
        <v>2209</v>
      </c>
      <c r="E402" s="166">
        <v>20209</v>
      </c>
      <c r="F402" s="92" t="s">
        <v>152</v>
      </c>
      <c r="G402" s="20" t="s">
        <v>149</v>
      </c>
      <c r="H402" s="18">
        <v>18351295</v>
      </c>
      <c r="I402" s="18">
        <v>68</v>
      </c>
      <c r="J402" s="4" t="s">
        <v>12</v>
      </c>
      <c r="K402" s="26" t="s">
        <v>11</v>
      </c>
      <c r="L402" s="172">
        <v>10</v>
      </c>
      <c r="M402" s="6">
        <v>0</v>
      </c>
      <c r="N402" s="6"/>
      <c r="O402" s="6">
        <v>0</v>
      </c>
      <c r="P402" s="6"/>
      <c r="Q402" s="7">
        <v>0</v>
      </c>
      <c r="R402" s="6"/>
      <c r="S402" s="1">
        <v>0</v>
      </c>
      <c r="U402" s="1">
        <v>0</v>
      </c>
      <c r="W402" s="1" t="str">
        <f t="shared" si="6"/>
        <v>No</v>
      </c>
    </row>
    <row r="403" spans="1:23" s="1" customFormat="1" ht="11.25">
      <c r="A403" s="2" t="s">
        <v>1052</v>
      </c>
      <c r="B403" s="21" t="s">
        <v>364</v>
      </c>
      <c r="C403" s="26" t="s">
        <v>92</v>
      </c>
      <c r="D403" s="163">
        <v>5003</v>
      </c>
      <c r="E403" s="166">
        <v>50003</v>
      </c>
      <c r="F403" s="92" t="s">
        <v>152</v>
      </c>
      <c r="G403" s="20" t="s">
        <v>149</v>
      </c>
      <c r="H403" s="18">
        <v>124064</v>
      </c>
      <c r="I403" s="18">
        <v>68</v>
      </c>
      <c r="J403" s="4" t="s">
        <v>33</v>
      </c>
      <c r="K403" s="26" t="s">
        <v>11</v>
      </c>
      <c r="L403" s="172">
        <v>3</v>
      </c>
      <c r="M403" s="6">
        <v>0</v>
      </c>
      <c r="N403" s="6"/>
      <c r="O403" s="6">
        <v>0</v>
      </c>
      <c r="P403" s="6"/>
      <c r="Q403" s="7">
        <v>0</v>
      </c>
      <c r="R403" s="6"/>
      <c r="S403" s="1">
        <v>0</v>
      </c>
      <c r="U403" s="1">
        <v>0</v>
      </c>
      <c r="W403" s="1" t="str">
        <f t="shared" si="6"/>
        <v>No</v>
      </c>
    </row>
    <row r="404" spans="1:23" s="1" customFormat="1" ht="11.25">
      <c r="A404" s="2" t="s">
        <v>564</v>
      </c>
      <c r="B404" s="21" t="s">
        <v>565</v>
      </c>
      <c r="C404" s="26" t="s">
        <v>62</v>
      </c>
      <c r="D404" s="163">
        <v>2196</v>
      </c>
      <c r="E404" s="166">
        <v>20196</v>
      </c>
      <c r="F404" s="92" t="s">
        <v>152</v>
      </c>
      <c r="G404" s="20" t="s">
        <v>149</v>
      </c>
      <c r="H404" s="18">
        <v>18351295</v>
      </c>
      <c r="I404" s="18">
        <v>66</v>
      </c>
      <c r="J404" s="4" t="s">
        <v>12</v>
      </c>
      <c r="K404" s="26" t="s">
        <v>11</v>
      </c>
      <c r="L404" s="172">
        <v>13</v>
      </c>
      <c r="M404" s="6">
        <v>0</v>
      </c>
      <c r="N404" s="6"/>
      <c r="O404" s="6">
        <v>0</v>
      </c>
      <c r="P404" s="6"/>
      <c r="Q404" s="7">
        <v>0</v>
      </c>
      <c r="R404" s="6"/>
      <c r="S404" s="1">
        <v>0</v>
      </c>
      <c r="U404" s="1">
        <v>0</v>
      </c>
      <c r="W404" s="1" t="str">
        <f t="shared" si="6"/>
        <v>No</v>
      </c>
    </row>
    <row r="405" spans="1:23" s="1" customFormat="1" ht="11.25">
      <c r="A405" s="2" t="s">
        <v>1337</v>
      </c>
      <c r="B405" s="21" t="s">
        <v>1338</v>
      </c>
      <c r="C405" s="26" t="s">
        <v>32</v>
      </c>
      <c r="D405" s="163">
        <v>4077</v>
      </c>
      <c r="E405" s="166">
        <v>40077</v>
      </c>
      <c r="F405" s="92" t="s">
        <v>160</v>
      </c>
      <c r="G405" s="20" t="s">
        <v>149</v>
      </c>
      <c r="H405" s="18">
        <v>5502379</v>
      </c>
      <c r="I405" s="18">
        <v>66</v>
      </c>
      <c r="J405" s="4" t="s">
        <v>12</v>
      </c>
      <c r="K405" s="26" t="s">
        <v>15</v>
      </c>
      <c r="L405" s="172">
        <v>24</v>
      </c>
      <c r="M405" s="6">
        <v>0</v>
      </c>
      <c r="N405" s="6"/>
      <c r="O405" s="6">
        <v>0</v>
      </c>
      <c r="P405" s="6"/>
      <c r="Q405" s="7">
        <v>0</v>
      </c>
      <c r="R405" s="6"/>
      <c r="S405" s="1">
        <v>0</v>
      </c>
      <c r="U405" s="1">
        <v>0</v>
      </c>
      <c r="W405" s="1" t="str">
        <f t="shared" si="6"/>
        <v>No</v>
      </c>
    </row>
    <row r="406" spans="1:23" s="1" customFormat="1" ht="11.25">
      <c r="A406" s="2" t="s">
        <v>1297</v>
      </c>
      <c r="B406" s="21" t="s">
        <v>293</v>
      </c>
      <c r="C406" s="26" t="s">
        <v>71</v>
      </c>
      <c r="D406" s="163">
        <v>5011</v>
      </c>
      <c r="E406" s="166">
        <v>50011</v>
      </c>
      <c r="F406" s="92" t="s">
        <v>160</v>
      </c>
      <c r="G406" s="20" t="s">
        <v>149</v>
      </c>
      <c r="H406" s="18">
        <v>279245</v>
      </c>
      <c r="I406" s="18">
        <v>66</v>
      </c>
      <c r="J406" s="4" t="s">
        <v>12</v>
      </c>
      <c r="K406" s="26" t="s">
        <v>11</v>
      </c>
      <c r="L406" s="172">
        <v>36</v>
      </c>
      <c r="M406" s="6">
        <v>4</v>
      </c>
      <c r="N406" s="6"/>
      <c r="O406" s="6">
        <v>0</v>
      </c>
      <c r="P406" s="6"/>
      <c r="Q406" s="7">
        <v>4</v>
      </c>
      <c r="R406" s="6"/>
      <c r="S406" s="1">
        <v>0</v>
      </c>
      <c r="U406" s="1">
        <v>0</v>
      </c>
      <c r="W406" s="1" t="str">
        <f t="shared" si="6"/>
        <v>No</v>
      </c>
    </row>
    <row r="407" spans="1:23" s="1" customFormat="1" ht="11.25">
      <c r="A407" s="2" t="s">
        <v>1377</v>
      </c>
      <c r="B407" s="21" t="s">
        <v>877</v>
      </c>
      <c r="C407" s="26" t="s">
        <v>42</v>
      </c>
      <c r="D407" s="163">
        <v>7015</v>
      </c>
      <c r="E407" s="166">
        <v>70015</v>
      </c>
      <c r="F407" s="92" t="s">
        <v>152</v>
      </c>
      <c r="G407" s="20" t="s">
        <v>149</v>
      </c>
      <c r="H407" s="18">
        <v>472870</v>
      </c>
      <c r="I407" s="18">
        <v>66</v>
      </c>
      <c r="J407" s="4" t="s">
        <v>12</v>
      </c>
      <c r="K407" s="26" t="s">
        <v>11</v>
      </c>
      <c r="L407" s="172">
        <v>42</v>
      </c>
      <c r="M407" s="6">
        <v>1</v>
      </c>
      <c r="N407" s="6"/>
      <c r="O407" s="6">
        <v>0</v>
      </c>
      <c r="P407" s="6"/>
      <c r="Q407" s="7">
        <v>1</v>
      </c>
      <c r="R407" s="6"/>
      <c r="S407" s="1">
        <v>0</v>
      </c>
      <c r="U407" s="1">
        <v>0</v>
      </c>
      <c r="W407" s="1" t="str">
        <f t="shared" si="6"/>
        <v>No</v>
      </c>
    </row>
    <row r="408" spans="1:23" s="1" customFormat="1" ht="11.25">
      <c r="A408" s="2" t="s">
        <v>1381</v>
      </c>
      <c r="B408" s="21" t="s">
        <v>1382</v>
      </c>
      <c r="C408" s="26" t="s">
        <v>57</v>
      </c>
      <c r="D408" s="163">
        <v>4012</v>
      </c>
      <c r="E408" s="166">
        <v>40012</v>
      </c>
      <c r="F408" s="92" t="s">
        <v>160</v>
      </c>
      <c r="G408" s="20" t="s">
        <v>149</v>
      </c>
      <c r="H408" s="18">
        <v>391024</v>
      </c>
      <c r="I408" s="18">
        <v>66</v>
      </c>
      <c r="J408" s="4" t="s">
        <v>12</v>
      </c>
      <c r="K408" s="26" t="s">
        <v>11</v>
      </c>
      <c r="L408" s="172">
        <v>36</v>
      </c>
      <c r="M408" s="6">
        <v>1</v>
      </c>
      <c r="N408" s="6"/>
      <c r="O408" s="6">
        <v>0</v>
      </c>
      <c r="P408" s="6"/>
      <c r="Q408" s="7">
        <v>1</v>
      </c>
      <c r="R408" s="6"/>
      <c r="S408" s="1">
        <v>1</v>
      </c>
      <c r="U408" s="1">
        <v>0</v>
      </c>
      <c r="W408" s="1" t="str">
        <f t="shared" si="6"/>
        <v>No</v>
      </c>
    </row>
    <row r="409" spans="1:23" s="1" customFormat="1" ht="11.25">
      <c r="A409" s="2" t="s">
        <v>1337</v>
      </c>
      <c r="B409" s="21" t="s">
        <v>1338</v>
      </c>
      <c r="C409" s="26" t="s">
        <v>32</v>
      </c>
      <c r="D409" s="163">
        <v>4077</v>
      </c>
      <c r="E409" s="166">
        <v>40077</v>
      </c>
      <c r="F409" s="92" t="s">
        <v>160</v>
      </c>
      <c r="G409" s="20" t="s">
        <v>149</v>
      </c>
      <c r="H409" s="18">
        <v>5502379</v>
      </c>
      <c r="I409" s="18">
        <v>66</v>
      </c>
      <c r="J409" s="4" t="s">
        <v>20</v>
      </c>
      <c r="K409" s="26" t="s">
        <v>15</v>
      </c>
      <c r="L409" s="172">
        <v>42</v>
      </c>
      <c r="M409" s="6">
        <v>18</v>
      </c>
      <c r="N409" s="6"/>
      <c r="O409" s="6">
        <v>0</v>
      </c>
      <c r="P409" s="6"/>
      <c r="Q409" s="7">
        <v>18</v>
      </c>
      <c r="R409" s="6"/>
      <c r="S409" s="1">
        <v>36</v>
      </c>
      <c r="U409" s="1">
        <v>6</v>
      </c>
      <c r="W409" s="1" t="str">
        <f t="shared" si="6"/>
        <v>No</v>
      </c>
    </row>
    <row r="410" spans="1:23" s="1" customFormat="1" ht="11.25">
      <c r="A410" s="2" t="s">
        <v>1652</v>
      </c>
      <c r="B410" s="21" t="s">
        <v>1678</v>
      </c>
      <c r="C410" s="26" t="s">
        <v>52</v>
      </c>
      <c r="D410" s="163">
        <v>5221</v>
      </c>
      <c r="E410" s="166">
        <v>50518</v>
      </c>
      <c r="F410" s="92" t="s">
        <v>160</v>
      </c>
      <c r="G410" s="20" t="s">
        <v>149</v>
      </c>
      <c r="H410" s="18">
        <v>2650890</v>
      </c>
      <c r="I410" s="18">
        <v>65</v>
      </c>
      <c r="J410" s="4" t="s">
        <v>12</v>
      </c>
      <c r="K410" s="26" t="s">
        <v>15</v>
      </c>
      <c r="L410" s="172">
        <v>55</v>
      </c>
      <c r="M410" s="6">
        <v>4</v>
      </c>
      <c r="N410" s="6"/>
      <c r="O410" s="6">
        <v>0</v>
      </c>
      <c r="P410" s="6"/>
      <c r="Q410" s="7">
        <v>4</v>
      </c>
      <c r="R410" s="6"/>
      <c r="S410" s="1">
        <v>7</v>
      </c>
      <c r="U410" s="1">
        <v>0</v>
      </c>
      <c r="W410" s="1" t="str">
        <f t="shared" si="6"/>
        <v>No</v>
      </c>
    </row>
    <row r="411" spans="1:23" s="1" customFormat="1" ht="11.25">
      <c r="A411" s="2" t="s">
        <v>1273</v>
      </c>
      <c r="B411" s="21" t="s">
        <v>885</v>
      </c>
      <c r="C411" s="26" t="s">
        <v>19</v>
      </c>
      <c r="D411" s="163">
        <v>9089</v>
      </c>
      <c r="E411" s="166">
        <v>90089</v>
      </c>
      <c r="F411" s="92" t="s">
        <v>152</v>
      </c>
      <c r="G411" s="20" t="s">
        <v>149</v>
      </c>
      <c r="H411" s="18">
        <v>308231</v>
      </c>
      <c r="I411" s="18">
        <v>65</v>
      </c>
      <c r="J411" s="4" t="s">
        <v>12</v>
      </c>
      <c r="K411" s="26" t="s">
        <v>15</v>
      </c>
      <c r="L411" s="172">
        <v>40</v>
      </c>
      <c r="M411" s="6">
        <v>2</v>
      </c>
      <c r="N411" s="6"/>
      <c r="O411" s="6">
        <v>0</v>
      </c>
      <c r="P411" s="6"/>
      <c r="Q411" s="7">
        <v>2</v>
      </c>
      <c r="R411" s="6"/>
      <c r="S411" s="1">
        <v>1</v>
      </c>
      <c r="U411" s="1">
        <v>0</v>
      </c>
      <c r="W411" s="1" t="str">
        <f t="shared" si="6"/>
        <v>No</v>
      </c>
    </row>
    <row r="412" spans="1:23" s="1" customFormat="1" ht="11.25">
      <c r="A412" s="2" t="s">
        <v>1446</v>
      </c>
      <c r="B412" s="21" t="s">
        <v>1447</v>
      </c>
      <c r="C412" s="26" t="s">
        <v>35</v>
      </c>
      <c r="D412" s="163">
        <v>4138</v>
      </c>
      <c r="E412" s="166">
        <v>40138</v>
      </c>
      <c r="F412" s="92" t="s">
        <v>152</v>
      </c>
      <c r="G412" s="20" t="s">
        <v>149</v>
      </c>
      <c r="H412" s="18">
        <v>4515419</v>
      </c>
      <c r="I412" s="18">
        <v>65</v>
      </c>
      <c r="J412" s="4" t="s">
        <v>21</v>
      </c>
      <c r="K412" s="26" t="s">
        <v>15</v>
      </c>
      <c r="L412" s="172">
        <v>31</v>
      </c>
      <c r="M412" s="6">
        <v>3</v>
      </c>
      <c r="N412" s="6"/>
      <c r="O412" s="6">
        <v>0</v>
      </c>
      <c r="P412" s="6"/>
      <c r="Q412" s="7">
        <v>3</v>
      </c>
      <c r="R412" s="6"/>
      <c r="S412" s="1">
        <v>3</v>
      </c>
      <c r="U412" s="1">
        <v>3</v>
      </c>
      <c r="W412" s="1" t="str">
        <f t="shared" si="6"/>
        <v>No</v>
      </c>
    </row>
    <row r="413" spans="1:23" s="1" customFormat="1" ht="11.25">
      <c r="A413" s="2" t="s">
        <v>1446</v>
      </c>
      <c r="B413" s="21" t="s">
        <v>1447</v>
      </c>
      <c r="C413" s="26" t="s">
        <v>35</v>
      </c>
      <c r="D413" s="163">
        <v>4138</v>
      </c>
      <c r="E413" s="166">
        <v>40138</v>
      </c>
      <c r="F413" s="92" t="s">
        <v>152</v>
      </c>
      <c r="G413" s="20" t="s">
        <v>149</v>
      </c>
      <c r="H413" s="18">
        <v>4515419</v>
      </c>
      <c r="I413" s="18">
        <v>65</v>
      </c>
      <c r="J413" s="4" t="s">
        <v>12</v>
      </c>
      <c r="K413" s="26" t="s">
        <v>15</v>
      </c>
      <c r="L413" s="172">
        <v>26</v>
      </c>
      <c r="M413" s="6">
        <v>3</v>
      </c>
      <c r="N413" s="6"/>
      <c r="O413" s="6">
        <v>0</v>
      </c>
      <c r="P413" s="6"/>
      <c r="Q413" s="7">
        <v>3</v>
      </c>
      <c r="R413" s="6"/>
      <c r="S413" s="1">
        <v>3</v>
      </c>
      <c r="U413" s="1">
        <v>3</v>
      </c>
      <c r="W413" s="1" t="str">
        <f t="shared" si="6"/>
        <v>No</v>
      </c>
    </row>
    <row r="414" spans="1:23" s="1" customFormat="1" ht="11.25">
      <c r="A414" s="2" t="s">
        <v>1323</v>
      </c>
      <c r="B414" s="21" t="s">
        <v>1324</v>
      </c>
      <c r="C414" s="26" t="s">
        <v>69</v>
      </c>
      <c r="D414" s="163">
        <v>2145</v>
      </c>
      <c r="E414" s="166">
        <v>20145</v>
      </c>
      <c r="F414" s="92" t="s">
        <v>197</v>
      </c>
      <c r="G414" s="20" t="s">
        <v>149</v>
      </c>
      <c r="H414" s="18">
        <v>53661</v>
      </c>
      <c r="I414" s="18">
        <v>64</v>
      </c>
      <c r="J414" s="4" t="s">
        <v>12</v>
      </c>
      <c r="K414" s="26" t="s">
        <v>11</v>
      </c>
      <c r="L414" s="172">
        <v>42</v>
      </c>
      <c r="M414" s="6">
        <v>1</v>
      </c>
      <c r="N414" s="6"/>
      <c r="O414" s="6">
        <v>0</v>
      </c>
      <c r="P414" s="6"/>
      <c r="Q414" s="7">
        <v>1</v>
      </c>
      <c r="R414" s="6"/>
      <c r="S414" s="1">
        <v>0</v>
      </c>
      <c r="U414" s="1">
        <v>0</v>
      </c>
      <c r="W414" s="1" t="str">
        <f t="shared" si="6"/>
        <v>No</v>
      </c>
    </row>
    <row r="415" spans="1:23" s="1" customFormat="1" ht="11.25">
      <c r="A415" s="2" t="s">
        <v>1002</v>
      </c>
      <c r="B415" s="21" t="s">
        <v>311</v>
      </c>
      <c r="C415" s="26" t="s">
        <v>29</v>
      </c>
      <c r="D415" s="163">
        <v>1050</v>
      </c>
      <c r="E415" s="166">
        <v>10050</v>
      </c>
      <c r="F415" s="92" t="s">
        <v>160</v>
      </c>
      <c r="G415" s="20" t="s">
        <v>149</v>
      </c>
      <c r="H415" s="18">
        <v>923311</v>
      </c>
      <c r="I415" s="18">
        <v>64</v>
      </c>
      <c r="J415" s="4" t="s">
        <v>12</v>
      </c>
      <c r="K415" s="26" t="s">
        <v>11</v>
      </c>
      <c r="L415" s="172">
        <v>43</v>
      </c>
      <c r="M415" s="6">
        <v>1</v>
      </c>
      <c r="N415" s="6"/>
      <c r="O415" s="6">
        <v>0</v>
      </c>
      <c r="P415" s="6"/>
      <c r="Q415" s="7">
        <v>1</v>
      </c>
      <c r="R415" s="6"/>
      <c r="S415" s="1">
        <v>1</v>
      </c>
      <c r="U415" s="1">
        <v>0</v>
      </c>
      <c r="W415" s="1" t="str">
        <f t="shared" si="6"/>
        <v>No</v>
      </c>
    </row>
    <row r="416" spans="1:23" s="1" customFormat="1" ht="11.25">
      <c r="A416" s="2" t="s">
        <v>975</v>
      </c>
      <c r="B416" s="21" t="s">
        <v>223</v>
      </c>
      <c r="C416" s="26" t="s">
        <v>32</v>
      </c>
      <c r="D416" s="163">
        <v>4038</v>
      </c>
      <c r="E416" s="166">
        <v>40038</v>
      </c>
      <c r="F416" s="92" t="s">
        <v>152</v>
      </c>
      <c r="G416" s="20" t="s">
        <v>149</v>
      </c>
      <c r="H416" s="18">
        <v>340067</v>
      </c>
      <c r="I416" s="18">
        <v>64</v>
      </c>
      <c r="J416" s="4" t="s">
        <v>12</v>
      </c>
      <c r="K416" s="26" t="s">
        <v>15</v>
      </c>
      <c r="L416" s="172">
        <v>38</v>
      </c>
      <c r="M416" s="6">
        <v>1</v>
      </c>
      <c r="N416" s="6"/>
      <c r="O416" s="6">
        <v>0</v>
      </c>
      <c r="P416" s="6"/>
      <c r="Q416" s="7">
        <v>1</v>
      </c>
      <c r="R416" s="6"/>
      <c r="S416" s="1">
        <v>0</v>
      </c>
      <c r="U416" s="1">
        <v>0</v>
      </c>
      <c r="W416" s="1" t="str">
        <f t="shared" si="6"/>
        <v>No</v>
      </c>
    </row>
    <row r="417" spans="1:23" s="1" customFormat="1" ht="11.25">
      <c r="A417" s="2" t="s">
        <v>962</v>
      </c>
      <c r="B417" s="21" t="s">
        <v>963</v>
      </c>
      <c r="C417" s="26" t="s">
        <v>52</v>
      </c>
      <c r="D417" s="163">
        <v>5025</v>
      </c>
      <c r="E417" s="166">
        <v>50025</v>
      </c>
      <c r="F417" s="92" t="s">
        <v>160</v>
      </c>
      <c r="G417" s="20" t="s">
        <v>149</v>
      </c>
      <c r="H417" s="18">
        <v>120378</v>
      </c>
      <c r="I417" s="18">
        <v>64</v>
      </c>
      <c r="J417" s="4" t="s">
        <v>12</v>
      </c>
      <c r="K417" s="26" t="s">
        <v>11</v>
      </c>
      <c r="L417" s="172">
        <v>57</v>
      </c>
      <c r="M417" s="6">
        <v>2</v>
      </c>
      <c r="N417" s="6"/>
      <c r="O417" s="6">
        <v>0</v>
      </c>
      <c r="P417" s="6"/>
      <c r="Q417" s="7">
        <v>2</v>
      </c>
      <c r="R417" s="6"/>
      <c r="S417" s="1">
        <v>4</v>
      </c>
      <c r="U417" s="1">
        <v>0</v>
      </c>
      <c r="W417" s="1" t="str">
        <f t="shared" si="6"/>
        <v>No</v>
      </c>
    </row>
    <row r="418" spans="1:23" s="1" customFormat="1" ht="11.25">
      <c r="A418" s="2" t="s">
        <v>1132</v>
      </c>
      <c r="B418" s="21" t="s">
        <v>815</v>
      </c>
      <c r="C418" s="26" t="s">
        <v>19</v>
      </c>
      <c r="D418" s="163">
        <v>9007</v>
      </c>
      <c r="E418" s="166">
        <v>90007</v>
      </c>
      <c r="F418" s="92" t="s">
        <v>152</v>
      </c>
      <c r="G418" s="20" t="s">
        <v>149</v>
      </c>
      <c r="H418" s="18">
        <v>358172</v>
      </c>
      <c r="I418" s="18">
        <v>63</v>
      </c>
      <c r="J418" s="4" t="s">
        <v>12</v>
      </c>
      <c r="K418" s="26" t="s">
        <v>15</v>
      </c>
      <c r="L418" s="172">
        <v>46</v>
      </c>
      <c r="M418" s="6">
        <v>1</v>
      </c>
      <c r="N418" s="6"/>
      <c r="O418" s="6">
        <v>0</v>
      </c>
      <c r="P418" s="6"/>
      <c r="Q418" s="7">
        <v>1</v>
      </c>
      <c r="R418" s="6"/>
      <c r="S418" s="1">
        <v>0</v>
      </c>
      <c r="U418" s="1">
        <v>0</v>
      </c>
      <c r="W418" s="1" t="str">
        <f t="shared" si="6"/>
        <v>No</v>
      </c>
    </row>
    <row r="419" spans="1:23" s="1" customFormat="1" ht="11.25">
      <c r="A419" s="2" t="s">
        <v>635</v>
      </c>
      <c r="B419" s="21" t="s">
        <v>636</v>
      </c>
      <c r="C419" s="26" t="s">
        <v>2</v>
      </c>
      <c r="D419" s="163">
        <v>11</v>
      </c>
      <c r="E419" s="166">
        <v>11</v>
      </c>
      <c r="F419" s="92" t="s">
        <v>160</v>
      </c>
      <c r="G419" s="20" t="s">
        <v>149</v>
      </c>
      <c r="H419" s="18">
        <v>349684</v>
      </c>
      <c r="I419" s="18">
        <v>63</v>
      </c>
      <c r="J419" s="4" t="s">
        <v>12</v>
      </c>
      <c r="K419" s="26" t="s">
        <v>11</v>
      </c>
      <c r="L419" s="172">
        <v>40</v>
      </c>
      <c r="M419" s="6">
        <v>1</v>
      </c>
      <c r="N419" s="6"/>
      <c r="O419" s="6">
        <v>0</v>
      </c>
      <c r="P419" s="6"/>
      <c r="Q419" s="7">
        <v>1</v>
      </c>
      <c r="R419" s="6"/>
      <c r="S419" s="1">
        <v>1</v>
      </c>
      <c r="U419" s="1">
        <v>0</v>
      </c>
      <c r="W419" s="1" t="str">
        <f t="shared" si="6"/>
        <v>No</v>
      </c>
    </row>
    <row r="420" spans="1:23" s="1" customFormat="1" ht="11.25">
      <c r="A420" s="2" t="s">
        <v>389</v>
      </c>
      <c r="B420" s="21" t="s">
        <v>390</v>
      </c>
      <c r="C420" s="26" t="s">
        <v>19</v>
      </c>
      <c r="D420" s="163">
        <v>9211</v>
      </c>
      <c r="E420" s="166">
        <v>90211</v>
      </c>
      <c r="F420" s="92" t="s">
        <v>197</v>
      </c>
      <c r="G420" s="20" t="s">
        <v>149</v>
      </c>
      <c r="H420" s="18">
        <v>12150996</v>
      </c>
      <c r="I420" s="18">
        <v>63</v>
      </c>
      <c r="J420" s="4" t="s">
        <v>12</v>
      </c>
      <c r="K420" s="26" t="s">
        <v>15</v>
      </c>
      <c r="L420" s="172">
        <v>63</v>
      </c>
      <c r="M420" s="6">
        <v>4</v>
      </c>
      <c r="N420" s="6"/>
      <c r="O420" s="6">
        <v>0</v>
      </c>
      <c r="P420" s="6"/>
      <c r="Q420" s="7">
        <v>4</v>
      </c>
      <c r="R420" s="6"/>
      <c r="S420" s="1">
        <v>2</v>
      </c>
      <c r="U420" s="1">
        <v>3</v>
      </c>
      <c r="W420" s="1" t="str">
        <f t="shared" si="6"/>
        <v>No</v>
      </c>
    </row>
    <row r="421" spans="1:23" s="1" customFormat="1" ht="11.25">
      <c r="A421" s="2" t="s">
        <v>941</v>
      </c>
      <c r="B421" s="21" t="s">
        <v>942</v>
      </c>
      <c r="C421" s="26" t="s">
        <v>75</v>
      </c>
      <c r="D421" s="163">
        <v>3025</v>
      </c>
      <c r="E421" s="166">
        <v>30025</v>
      </c>
      <c r="F421" s="92" t="s">
        <v>160</v>
      </c>
      <c r="G421" s="20" t="s">
        <v>149</v>
      </c>
      <c r="H421" s="18">
        <v>381502</v>
      </c>
      <c r="I421" s="18">
        <v>62</v>
      </c>
      <c r="J421" s="4" t="s">
        <v>12</v>
      </c>
      <c r="K421" s="26" t="s">
        <v>11</v>
      </c>
      <c r="L421" s="172">
        <v>26</v>
      </c>
      <c r="M421" s="6">
        <v>1</v>
      </c>
      <c r="N421" s="6"/>
      <c r="O421" s="6">
        <v>0</v>
      </c>
      <c r="P421" s="6"/>
      <c r="Q421" s="7">
        <v>1</v>
      </c>
      <c r="R421" s="6"/>
      <c r="S421" s="1">
        <v>0</v>
      </c>
      <c r="U421" s="1">
        <v>0</v>
      </c>
      <c r="W421" s="1" t="str">
        <f t="shared" si="6"/>
        <v>No</v>
      </c>
    </row>
    <row r="422" spans="1:23" s="1" customFormat="1" ht="11.25">
      <c r="A422" s="2" t="s">
        <v>941</v>
      </c>
      <c r="B422" s="21" t="s">
        <v>942</v>
      </c>
      <c r="C422" s="26" t="s">
        <v>75</v>
      </c>
      <c r="D422" s="163">
        <v>3025</v>
      </c>
      <c r="E422" s="166">
        <v>30025</v>
      </c>
      <c r="F422" s="92" t="s">
        <v>160</v>
      </c>
      <c r="G422" s="20" t="s">
        <v>149</v>
      </c>
      <c r="H422" s="18">
        <v>381502</v>
      </c>
      <c r="I422" s="18">
        <v>62</v>
      </c>
      <c r="J422" s="4" t="s">
        <v>12</v>
      </c>
      <c r="K422" s="26" t="s">
        <v>15</v>
      </c>
      <c r="L422" s="172">
        <v>6</v>
      </c>
      <c r="M422" s="6">
        <v>0</v>
      </c>
      <c r="N422" s="6"/>
      <c r="O422" s="6">
        <v>0</v>
      </c>
      <c r="P422" s="6"/>
      <c r="Q422" s="7">
        <v>0</v>
      </c>
      <c r="R422" s="6"/>
      <c r="S422" s="1">
        <v>0</v>
      </c>
      <c r="U422" s="1">
        <v>0</v>
      </c>
      <c r="W422" s="1" t="str">
        <f t="shared" si="6"/>
        <v>No</v>
      </c>
    </row>
    <row r="423" spans="1:23" s="1" customFormat="1" ht="11.25">
      <c r="A423" s="2" t="s">
        <v>1228</v>
      </c>
      <c r="B423" s="21" t="s">
        <v>1229</v>
      </c>
      <c r="C423" s="26" t="s">
        <v>39</v>
      </c>
      <c r="D423" s="163">
        <v>5057</v>
      </c>
      <c r="E423" s="166">
        <v>50057</v>
      </c>
      <c r="F423" s="92" t="s">
        <v>160</v>
      </c>
      <c r="G423" s="20" t="s">
        <v>149</v>
      </c>
      <c r="H423" s="18">
        <v>280051</v>
      </c>
      <c r="I423" s="18">
        <v>62</v>
      </c>
      <c r="J423" s="4" t="s">
        <v>22</v>
      </c>
      <c r="K423" s="26" t="s">
        <v>15</v>
      </c>
      <c r="L423" s="172">
        <v>3</v>
      </c>
      <c r="M423" s="6">
        <v>4</v>
      </c>
      <c r="N423" s="6"/>
      <c r="O423" s="6">
        <v>0</v>
      </c>
      <c r="P423" s="6"/>
      <c r="Q423" s="7">
        <v>4</v>
      </c>
      <c r="R423" s="6"/>
      <c r="S423" s="1">
        <v>0</v>
      </c>
      <c r="U423" s="1">
        <v>0</v>
      </c>
      <c r="W423" s="1" t="str">
        <f t="shared" si="6"/>
        <v>No</v>
      </c>
    </row>
    <row r="424" spans="1:23" s="1" customFormat="1" ht="11.25">
      <c r="A424" s="2" t="s">
        <v>1228</v>
      </c>
      <c r="B424" s="21" t="s">
        <v>1229</v>
      </c>
      <c r="C424" s="26" t="s">
        <v>39</v>
      </c>
      <c r="D424" s="163">
        <v>5057</v>
      </c>
      <c r="E424" s="166">
        <v>50057</v>
      </c>
      <c r="F424" s="92" t="s">
        <v>160</v>
      </c>
      <c r="G424" s="20" t="s">
        <v>149</v>
      </c>
      <c r="H424" s="18">
        <v>280051</v>
      </c>
      <c r="I424" s="18">
        <v>62</v>
      </c>
      <c r="J424" s="4" t="s">
        <v>12</v>
      </c>
      <c r="K424" s="26" t="s">
        <v>11</v>
      </c>
      <c r="L424" s="172">
        <v>46</v>
      </c>
      <c r="M424" s="6">
        <v>3</v>
      </c>
      <c r="N424" s="6"/>
      <c r="O424" s="6">
        <v>0</v>
      </c>
      <c r="P424" s="6"/>
      <c r="Q424" s="7">
        <v>3</v>
      </c>
      <c r="R424" s="6"/>
      <c r="S424" s="1">
        <v>1</v>
      </c>
      <c r="U424" s="1">
        <v>0</v>
      </c>
      <c r="W424" s="1" t="str">
        <f t="shared" si="6"/>
        <v>No</v>
      </c>
    </row>
    <row r="425" spans="1:23" s="1" customFormat="1" ht="11.25">
      <c r="A425" s="2" t="s">
        <v>1384</v>
      </c>
      <c r="B425" s="21" t="s">
        <v>355</v>
      </c>
      <c r="C425" s="26" t="s">
        <v>88</v>
      </c>
      <c r="D425" s="163">
        <v>6</v>
      </c>
      <c r="E425" s="166">
        <v>6</v>
      </c>
      <c r="F425" s="92" t="s">
        <v>152</v>
      </c>
      <c r="G425" s="20" t="s">
        <v>149</v>
      </c>
      <c r="H425" s="18">
        <v>129534</v>
      </c>
      <c r="I425" s="18">
        <v>61</v>
      </c>
      <c r="J425" s="4" t="s">
        <v>21</v>
      </c>
      <c r="K425" s="26" t="s">
        <v>15</v>
      </c>
      <c r="L425" s="172">
        <v>2</v>
      </c>
      <c r="M425" s="6">
        <v>0</v>
      </c>
      <c r="N425" s="6"/>
      <c r="O425" s="6">
        <v>0</v>
      </c>
      <c r="P425" s="6"/>
      <c r="Q425" s="7">
        <v>0</v>
      </c>
      <c r="R425" s="6"/>
      <c r="S425" s="1">
        <v>0</v>
      </c>
      <c r="U425" s="1">
        <v>0</v>
      </c>
      <c r="W425" s="1" t="str">
        <f t="shared" si="6"/>
        <v>No</v>
      </c>
    </row>
    <row r="426" spans="1:23" s="1" customFormat="1" ht="11.25">
      <c r="A426" s="2" t="s">
        <v>1005</v>
      </c>
      <c r="B426" s="21" t="s">
        <v>257</v>
      </c>
      <c r="C426" s="26" t="s">
        <v>40</v>
      </c>
      <c r="D426" s="163">
        <v>5051</v>
      </c>
      <c r="E426" s="166">
        <v>50051</v>
      </c>
      <c r="F426" s="92" t="s">
        <v>160</v>
      </c>
      <c r="G426" s="20" t="s">
        <v>149</v>
      </c>
      <c r="H426" s="18">
        <v>147725</v>
      </c>
      <c r="I426" s="18">
        <v>61</v>
      </c>
      <c r="J426" s="4" t="s">
        <v>12</v>
      </c>
      <c r="K426" s="26" t="s">
        <v>11</v>
      </c>
      <c r="L426" s="172">
        <v>56</v>
      </c>
      <c r="M426" s="6">
        <v>1</v>
      </c>
      <c r="N426" s="6"/>
      <c r="O426" s="6">
        <v>0</v>
      </c>
      <c r="P426" s="6"/>
      <c r="Q426" s="7">
        <v>1</v>
      </c>
      <c r="R426" s="6"/>
      <c r="S426" s="1">
        <v>0</v>
      </c>
      <c r="U426" s="1">
        <v>0</v>
      </c>
      <c r="W426" s="1" t="str">
        <f t="shared" si="6"/>
        <v>No</v>
      </c>
    </row>
    <row r="427" spans="1:23" s="1" customFormat="1" ht="11.25">
      <c r="A427" s="2" t="s">
        <v>1384</v>
      </c>
      <c r="B427" s="21" t="s">
        <v>355</v>
      </c>
      <c r="C427" s="26" t="s">
        <v>88</v>
      </c>
      <c r="D427" s="163">
        <v>6</v>
      </c>
      <c r="E427" s="166">
        <v>6</v>
      </c>
      <c r="F427" s="92" t="s">
        <v>152</v>
      </c>
      <c r="G427" s="20" t="s">
        <v>149</v>
      </c>
      <c r="H427" s="18">
        <v>129534</v>
      </c>
      <c r="I427" s="18">
        <v>61</v>
      </c>
      <c r="J427" s="4" t="s">
        <v>12</v>
      </c>
      <c r="K427" s="26" t="s">
        <v>11</v>
      </c>
      <c r="L427" s="172">
        <v>18</v>
      </c>
      <c r="M427" s="6">
        <v>1</v>
      </c>
      <c r="N427" s="6"/>
      <c r="O427" s="6">
        <v>0</v>
      </c>
      <c r="P427" s="6"/>
      <c r="Q427" s="7">
        <v>1</v>
      </c>
      <c r="R427" s="6"/>
      <c r="S427" s="1">
        <v>0</v>
      </c>
      <c r="U427" s="1">
        <v>0</v>
      </c>
      <c r="W427" s="1" t="str">
        <f t="shared" si="6"/>
        <v>No</v>
      </c>
    </row>
    <row r="428" spans="1:23" s="1" customFormat="1" ht="11.25">
      <c r="A428" s="2" t="s">
        <v>1070</v>
      </c>
      <c r="B428" s="21" t="s">
        <v>1071</v>
      </c>
      <c r="C428" s="26" t="s">
        <v>19</v>
      </c>
      <c r="D428" s="163">
        <v>9144</v>
      </c>
      <c r="E428" s="166">
        <v>90144</v>
      </c>
      <c r="F428" s="92" t="s">
        <v>160</v>
      </c>
      <c r="G428" s="20" t="s">
        <v>149</v>
      </c>
      <c r="H428" s="18">
        <v>615968</v>
      </c>
      <c r="I428" s="18">
        <v>59</v>
      </c>
      <c r="J428" s="4" t="s">
        <v>12</v>
      </c>
      <c r="K428" s="26" t="s">
        <v>15</v>
      </c>
      <c r="L428" s="172">
        <v>47</v>
      </c>
      <c r="M428" s="6">
        <v>5</v>
      </c>
      <c r="N428" s="6"/>
      <c r="O428" s="6">
        <v>0</v>
      </c>
      <c r="P428" s="6"/>
      <c r="Q428" s="7">
        <v>5</v>
      </c>
      <c r="R428" s="6"/>
      <c r="S428" s="1">
        <v>6</v>
      </c>
      <c r="U428" s="1">
        <v>13</v>
      </c>
      <c r="W428" s="1" t="str">
        <f t="shared" si="6"/>
        <v>No</v>
      </c>
    </row>
    <row r="429" spans="1:23" s="1" customFormat="1" ht="11.25">
      <c r="A429" s="2" t="s">
        <v>386</v>
      </c>
      <c r="B429" s="21" t="s">
        <v>387</v>
      </c>
      <c r="C429" s="26" t="s">
        <v>83</v>
      </c>
      <c r="D429" s="163">
        <v>4159</v>
      </c>
      <c r="E429" s="166">
        <v>40159</v>
      </c>
      <c r="F429" s="92" t="s">
        <v>160</v>
      </c>
      <c r="G429" s="20" t="s">
        <v>149</v>
      </c>
      <c r="H429" s="18">
        <v>969587</v>
      </c>
      <c r="I429" s="18">
        <v>59</v>
      </c>
      <c r="J429" s="4" t="s">
        <v>21</v>
      </c>
      <c r="K429" s="26" t="s">
        <v>15</v>
      </c>
      <c r="L429" s="172">
        <v>19</v>
      </c>
      <c r="M429" s="6">
        <v>0</v>
      </c>
      <c r="N429" s="6"/>
      <c r="O429" s="6">
        <v>0</v>
      </c>
      <c r="P429" s="6"/>
      <c r="Q429" s="7">
        <v>0</v>
      </c>
      <c r="R429" s="6"/>
      <c r="S429" s="1">
        <v>0</v>
      </c>
      <c r="U429" s="1">
        <v>0</v>
      </c>
      <c r="W429" s="1" t="str">
        <f t="shared" si="6"/>
        <v>No</v>
      </c>
    </row>
    <row r="430" spans="1:23" s="1" customFormat="1" ht="11.25">
      <c r="A430" s="2" t="s">
        <v>386</v>
      </c>
      <c r="B430" s="21" t="s">
        <v>387</v>
      </c>
      <c r="C430" s="26" t="s">
        <v>83</v>
      </c>
      <c r="D430" s="163">
        <v>4159</v>
      </c>
      <c r="E430" s="166">
        <v>40159</v>
      </c>
      <c r="F430" s="92" t="s">
        <v>160</v>
      </c>
      <c r="G430" s="20" t="s">
        <v>149</v>
      </c>
      <c r="H430" s="18">
        <v>969587</v>
      </c>
      <c r="I430" s="18">
        <v>59</v>
      </c>
      <c r="J430" s="4" t="s">
        <v>20</v>
      </c>
      <c r="K430" s="26" t="s">
        <v>15</v>
      </c>
      <c r="L430" s="172">
        <v>7</v>
      </c>
      <c r="M430" s="6">
        <v>6</v>
      </c>
      <c r="N430" s="6"/>
      <c r="O430" s="6">
        <v>0</v>
      </c>
      <c r="P430" s="6"/>
      <c r="Q430" s="7">
        <v>6</v>
      </c>
      <c r="R430" s="6"/>
      <c r="S430" s="1">
        <v>0</v>
      </c>
      <c r="U430" s="1">
        <v>0</v>
      </c>
      <c r="W430" s="1" t="str">
        <f t="shared" si="6"/>
        <v>No</v>
      </c>
    </row>
    <row r="431" spans="1:23" s="1" customFormat="1" ht="11.25">
      <c r="A431" s="2" t="s">
        <v>1211</v>
      </c>
      <c r="B431" s="21" t="s">
        <v>881</v>
      </c>
      <c r="C431" s="26" t="s">
        <v>77</v>
      </c>
      <c r="D431" s="163">
        <v>4094</v>
      </c>
      <c r="E431" s="166">
        <v>40094</v>
      </c>
      <c r="F431" s="92" t="s">
        <v>269</v>
      </c>
      <c r="G431" s="20" t="s">
        <v>149</v>
      </c>
      <c r="H431" s="18">
        <v>2148346</v>
      </c>
      <c r="I431" s="18">
        <v>58</v>
      </c>
      <c r="J431" s="4" t="s">
        <v>12</v>
      </c>
      <c r="K431" s="26" t="s">
        <v>15</v>
      </c>
      <c r="L431" s="172">
        <v>26</v>
      </c>
      <c r="M431" s="6">
        <v>2</v>
      </c>
      <c r="N431" s="6"/>
      <c r="O431" s="6">
        <v>0</v>
      </c>
      <c r="P431" s="6"/>
      <c r="Q431" s="7">
        <v>2</v>
      </c>
      <c r="R431" s="6"/>
      <c r="S431" s="1">
        <v>0</v>
      </c>
      <c r="U431" s="1">
        <v>0</v>
      </c>
      <c r="W431" s="1" t="str">
        <f t="shared" si="6"/>
        <v>No</v>
      </c>
    </row>
    <row r="432" spans="1:23" s="1" customFormat="1" ht="11.25">
      <c r="A432" s="2" t="s">
        <v>1211</v>
      </c>
      <c r="B432" s="21" t="s">
        <v>881</v>
      </c>
      <c r="C432" s="26" t="s">
        <v>77</v>
      </c>
      <c r="D432" s="163">
        <v>4094</v>
      </c>
      <c r="E432" s="166">
        <v>40094</v>
      </c>
      <c r="F432" s="92" t="s">
        <v>269</v>
      </c>
      <c r="G432" s="20" t="s">
        <v>149</v>
      </c>
      <c r="H432" s="18">
        <v>2148346</v>
      </c>
      <c r="I432" s="18">
        <v>58</v>
      </c>
      <c r="J432" s="4" t="s">
        <v>24</v>
      </c>
      <c r="K432" s="26" t="s">
        <v>15</v>
      </c>
      <c r="L432" s="172">
        <v>32</v>
      </c>
      <c r="M432" s="6">
        <v>16</v>
      </c>
      <c r="N432" s="6"/>
      <c r="O432" s="6">
        <v>0</v>
      </c>
      <c r="P432" s="6"/>
      <c r="Q432" s="7">
        <v>16</v>
      </c>
      <c r="R432" s="6"/>
      <c r="S432" s="1">
        <v>33</v>
      </c>
      <c r="U432" s="1">
        <v>51</v>
      </c>
      <c r="W432" s="1" t="str">
        <f t="shared" si="6"/>
        <v>No</v>
      </c>
    </row>
    <row r="433" spans="1:23" s="1" customFormat="1" ht="11.25">
      <c r="A433" s="2" t="s">
        <v>1265</v>
      </c>
      <c r="B433" s="21" t="s">
        <v>1266</v>
      </c>
      <c r="C433" s="26" t="s">
        <v>44</v>
      </c>
      <c r="D433" s="163">
        <v>6024</v>
      </c>
      <c r="E433" s="166">
        <v>60024</v>
      </c>
      <c r="F433" s="92" t="s">
        <v>152</v>
      </c>
      <c r="G433" s="20" t="s">
        <v>149</v>
      </c>
      <c r="H433" s="18">
        <v>298317</v>
      </c>
      <c r="I433" s="18">
        <v>58</v>
      </c>
      <c r="J433" s="4" t="s">
        <v>12</v>
      </c>
      <c r="K433" s="26" t="s">
        <v>11</v>
      </c>
      <c r="L433" s="172">
        <v>40</v>
      </c>
      <c r="M433" s="6">
        <v>1</v>
      </c>
      <c r="N433" s="6"/>
      <c r="O433" s="6">
        <v>0</v>
      </c>
      <c r="P433" s="6"/>
      <c r="Q433" s="7">
        <v>1</v>
      </c>
      <c r="R433" s="6"/>
      <c r="S433" s="1">
        <v>0</v>
      </c>
      <c r="U433" s="1">
        <v>0</v>
      </c>
      <c r="W433" s="1" t="str">
        <f t="shared" si="6"/>
        <v>No</v>
      </c>
    </row>
    <row r="434" spans="1:23" s="1" customFormat="1" ht="11.25">
      <c r="A434" s="2" t="s">
        <v>1291</v>
      </c>
      <c r="B434" s="21" t="s">
        <v>732</v>
      </c>
      <c r="C434" s="26" t="s">
        <v>39</v>
      </c>
      <c r="D434" s="163">
        <v>5059</v>
      </c>
      <c r="E434" s="166">
        <v>50059</v>
      </c>
      <c r="F434" s="92" t="s">
        <v>160</v>
      </c>
      <c r="G434" s="20" t="s">
        <v>149</v>
      </c>
      <c r="H434" s="18">
        <v>161316</v>
      </c>
      <c r="I434" s="18">
        <v>58</v>
      </c>
      <c r="J434" s="4" t="s">
        <v>12</v>
      </c>
      <c r="K434" s="26" t="s">
        <v>11</v>
      </c>
      <c r="L434" s="172">
        <v>46</v>
      </c>
      <c r="M434" s="6">
        <v>0</v>
      </c>
      <c r="N434" s="6"/>
      <c r="O434" s="6">
        <v>0</v>
      </c>
      <c r="P434" s="6"/>
      <c r="Q434" s="7">
        <v>0</v>
      </c>
      <c r="R434" s="6"/>
      <c r="S434" s="1">
        <v>0</v>
      </c>
      <c r="U434" s="1">
        <v>0</v>
      </c>
      <c r="W434" s="1" t="str">
        <f t="shared" si="6"/>
        <v>No</v>
      </c>
    </row>
    <row r="435" spans="1:23" s="1" customFormat="1" ht="11.25">
      <c r="A435" s="2" t="s">
        <v>498</v>
      </c>
      <c r="B435" s="21" t="s">
        <v>327</v>
      </c>
      <c r="C435" s="26" t="s">
        <v>35</v>
      </c>
      <c r="D435" s="163">
        <v>4180</v>
      </c>
      <c r="E435" s="166">
        <v>40180</v>
      </c>
      <c r="F435" s="92" t="s">
        <v>98</v>
      </c>
      <c r="G435" s="20" t="s">
        <v>149</v>
      </c>
      <c r="H435" s="18">
        <v>128754</v>
      </c>
      <c r="I435" s="18">
        <v>58</v>
      </c>
      <c r="J435" s="4" t="s">
        <v>12</v>
      </c>
      <c r="K435" s="26" t="s">
        <v>11</v>
      </c>
      <c r="L435" s="172">
        <v>51</v>
      </c>
      <c r="M435" s="6">
        <v>0</v>
      </c>
      <c r="N435" s="6"/>
      <c r="O435" s="6">
        <v>0</v>
      </c>
      <c r="P435" s="6"/>
      <c r="Q435" s="7">
        <v>0</v>
      </c>
      <c r="R435" s="6"/>
      <c r="S435" s="1">
        <v>0</v>
      </c>
      <c r="U435" s="1">
        <v>0</v>
      </c>
      <c r="W435" s="1" t="str">
        <f t="shared" si="6"/>
        <v>No</v>
      </c>
    </row>
    <row r="436" spans="1:23" s="1" customFormat="1" ht="11.25">
      <c r="A436" s="2" t="s">
        <v>954</v>
      </c>
      <c r="B436" s="21" t="s">
        <v>955</v>
      </c>
      <c r="C436" s="26" t="s">
        <v>62</v>
      </c>
      <c r="D436" s="163">
        <v>2161</v>
      </c>
      <c r="E436" s="166">
        <v>20161</v>
      </c>
      <c r="F436" s="92" t="s">
        <v>148</v>
      </c>
      <c r="G436" s="20" t="s">
        <v>149</v>
      </c>
      <c r="H436" s="18">
        <v>18351295</v>
      </c>
      <c r="I436" s="18">
        <v>57</v>
      </c>
      <c r="J436" s="4" t="s">
        <v>21</v>
      </c>
      <c r="K436" s="26" t="s">
        <v>11</v>
      </c>
      <c r="L436" s="172">
        <v>57</v>
      </c>
      <c r="M436" s="6">
        <v>0</v>
      </c>
      <c r="N436" s="6"/>
      <c r="O436" s="6">
        <v>0</v>
      </c>
      <c r="P436" s="6"/>
      <c r="Q436" s="7">
        <v>0</v>
      </c>
      <c r="R436" s="6"/>
      <c r="S436" s="1">
        <v>0</v>
      </c>
      <c r="U436" s="1">
        <v>0</v>
      </c>
      <c r="W436" s="1" t="str">
        <f t="shared" si="6"/>
        <v>No</v>
      </c>
    </row>
    <row r="437" spans="1:23" s="1" customFormat="1" ht="11.25">
      <c r="A437" s="2" t="s">
        <v>976</v>
      </c>
      <c r="B437" s="21" t="s">
        <v>977</v>
      </c>
      <c r="C437" s="26" t="s">
        <v>88</v>
      </c>
      <c r="D437" s="163">
        <v>5</v>
      </c>
      <c r="E437" s="166">
        <v>5</v>
      </c>
      <c r="F437" s="92" t="s">
        <v>152</v>
      </c>
      <c r="G437" s="20" t="s">
        <v>149</v>
      </c>
      <c r="H437" s="18">
        <v>3059393</v>
      </c>
      <c r="I437" s="18">
        <v>57</v>
      </c>
      <c r="J437" s="4" t="s">
        <v>12</v>
      </c>
      <c r="K437" s="26" t="s">
        <v>11</v>
      </c>
      <c r="L437" s="172">
        <v>33</v>
      </c>
      <c r="M437" s="6">
        <v>3</v>
      </c>
      <c r="N437" s="6"/>
      <c r="O437" s="6">
        <v>0</v>
      </c>
      <c r="P437" s="6"/>
      <c r="Q437" s="7">
        <v>3</v>
      </c>
      <c r="R437" s="6"/>
      <c r="S437" s="1">
        <v>0</v>
      </c>
      <c r="U437" s="1">
        <v>0</v>
      </c>
      <c r="W437" s="1" t="str">
        <f t="shared" si="6"/>
        <v>No</v>
      </c>
    </row>
    <row r="438" spans="1:23" s="1" customFormat="1" ht="11.25">
      <c r="A438" s="2" t="s">
        <v>1099</v>
      </c>
      <c r="B438" s="21" t="s">
        <v>1100</v>
      </c>
      <c r="C438" s="26" t="s">
        <v>19</v>
      </c>
      <c r="D438" s="163">
        <v>9173</v>
      </c>
      <c r="E438" s="166">
        <v>90173</v>
      </c>
      <c r="F438" s="92" t="s">
        <v>160</v>
      </c>
      <c r="G438" s="20" t="s">
        <v>149</v>
      </c>
      <c r="H438" s="18">
        <v>136969</v>
      </c>
      <c r="I438" s="18">
        <v>56</v>
      </c>
      <c r="J438" s="4" t="s">
        <v>12</v>
      </c>
      <c r="K438" s="26" t="s">
        <v>15</v>
      </c>
      <c r="L438" s="172">
        <v>41</v>
      </c>
      <c r="M438" s="6">
        <v>3</v>
      </c>
      <c r="N438" s="6"/>
      <c r="O438" s="6">
        <v>0</v>
      </c>
      <c r="P438" s="6"/>
      <c r="Q438" s="7">
        <v>3</v>
      </c>
      <c r="R438" s="6"/>
      <c r="S438" s="1">
        <v>0</v>
      </c>
      <c r="U438" s="1">
        <v>0</v>
      </c>
      <c r="W438" s="1" t="str">
        <f t="shared" si="6"/>
        <v>No</v>
      </c>
    </row>
    <row r="439" spans="1:23" s="1" customFormat="1" ht="11.25">
      <c r="A439" s="2" t="s">
        <v>653</v>
      </c>
      <c r="B439" s="21" t="s">
        <v>654</v>
      </c>
      <c r="C439" s="26" t="s">
        <v>37</v>
      </c>
      <c r="D439" s="163">
        <v>7049</v>
      </c>
      <c r="E439" s="166">
        <v>70049</v>
      </c>
      <c r="F439" s="92" t="s">
        <v>197</v>
      </c>
      <c r="G439" s="20" t="s">
        <v>149</v>
      </c>
      <c r="H439" s="18">
        <v>280051</v>
      </c>
      <c r="I439" s="18">
        <v>56</v>
      </c>
      <c r="J439" s="4" t="s">
        <v>12</v>
      </c>
      <c r="K439" s="26" t="s">
        <v>15</v>
      </c>
      <c r="L439" s="172">
        <v>1</v>
      </c>
      <c r="M439" s="6">
        <v>0</v>
      </c>
      <c r="N439" s="6"/>
      <c r="O439" s="6">
        <v>0</v>
      </c>
      <c r="P439" s="6"/>
      <c r="Q439" s="7">
        <v>0</v>
      </c>
      <c r="R439" s="6"/>
      <c r="S439" s="1">
        <v>0</v>
      </c>
      <c r="U439" s="1">
        <v>0</v>
      </c>
      <c r="W439" s="1" t="str">
        <f t="shared" si="6"/>
        <v>No</v>
      </c>
    </row>
    <row r="440" spans="1:23" s="1" customFormat="1" ht="11.25">
      <c r="A440" s="2" t="s">
        <v>649</v>
      </c>
      <c r="B440" s="21" t="s">
        <v>650</v>
      </c>
      <c r="C440" s="26" t="s">
        <v>69</v>
      </c>
      <c r="D440" s="163">
        <v>2003</v>
      </c>
      <c r="E440" s="166">
        <v>20003</v>
      </c>
      <c r="F440" s="92" t="s">
        <v>152</v>
      </c>
      <c r="G440" s="20" t="s">
        <v>149</v>
      </c>
      <c r="H440" s="18">
        <v>158084</v>
      </c>
      <c r="I440" s="18">
        <v>55</v>
      </c>
      <c r="J440" s="4" t="s">
        <v>12</v>
      </c>
      <c r="K440" s="26" t="s">
        <v>11</v>
      </c>
      <c r="L440" s="172">
        <v>38</v>
      </c>
      <c r="M440" s="6">
        <v>1</v>
      </c>
      <c r="N440" s="6"/>
      <c r="O440" s="6">
        <v>0</v>
      </c>
      <c r="P440" s="6"/>
      <c r="Q440" s="7">
        <v>1</v>
      </c>
      <c r="R440" s="6"/>
      <c r="S440" s="1">
        <v>1</v>
      </c>
      <c r="U440" s="1">
        <v>0</v>
      </c>
      <c r="W440" s="1" t="str">
        <f t="shared" si="6"/>
        <v>No</v>
      </c>
    </row>
    <row r="441" spans="1:23" s="1" customFormat="1" ht="11.25">
      <c r="A441" s="2" t="s">
        <v>628</v>
      </c>
      <c r="B441" s="21" t="s">
        <v>629</v>
      </c>
      <c r="C441" s="26" t="s">
        <v>16</v>
      </c>
      <c r="D441" s="163">
        <v>9233</v>
      </c>
      <c r="E441" s="166">
        <v>90233</v>
      </c>
      <c r="F441" s="92" t="s">
        <v>160</v>
      </c>
      <c r="G441" s="20" t="s">
        <v>149</v>
      </c>
      <c r="H441" s="18">
        <v>135267</v>
      </c>
      <c r="I441" s="18">
        <v>55</v>
      </c>
      <c r="J441" s="4" t="s">
        <v>12</v>
      </c>
      <c r="K441" s="26" t="s">
        <v>15</v>
      </c>
      <c r="L441" s="172">
        <v>19</v>
      </c>
      <c r="M441" s="6">
        <v>1</v>
      </c>
      <c r="N441" s="6"/>
      <c r="O441" s="6">
        <v>0</v>
      </c>
      <c r="P441" s="6"/>
      <c r="Q441" s="7">
        <v>1</v>
      </c>
      <c r="R441" s="6"/>
      <c r="S441" s="1">
        <v>0</v>
      </c>
      <c r="U441" s="1">
        <v>0</v>
      </c>
      <c r="W441" s="1" t="str">
        <f t="shared" si="6"/>
        <v>No</v>
      </c>
    </row>
    <row r="442" spans="1:23" s="1" customFormat="1" ht="11.25">
      <c r="A442" s="2" t="s">
        <v>341</v>
      </c>
      <c r="B442" s="21" t="s">
        <v>342</v>
      </c>
      <c r="C442" s="26" t="s">
        <v>19</v>
      </c>
      <c r="D442" s="163">
        <v>9205</v>
      </c>
      <c r="E442" s="166">
        <v>90205</v>
      </c>
      <c r="F442" s="92" t="s">
        <v>152</v>
      </c>
      <c r="G442" s="20" t="s">
        <v>149</v>
      </c>
      <c r="H442" s="18">
        <v>1723634</v>
      </c>
      <c r="I442" s="18">
        <v>54</v>
      </c>
      <c r="J442" s="4" t="s">
        <v>21</v>
      </c>
      <c r="K442" s="26" t="s">
        <v>15</v>
      </c>
      <c r="L442" s="172">
        <v>26</v>
      </c>
      <c r="M442" s="6">
        <v>1</v>
      </c>
      <c r="N442" s="6"/>
      <c r="O442" s="6">
        <v>0</v>
      </c>
      <c r="P442" s="6"/>
      <c r="Q442" s="7">
        <v>1</v>
      </c>
      <c r="R442" s="6"/>
      <c r="S442" s="1">
        <v>0</v>
      </c>
      <c r="U442" s="1">
        <v>0</v>
      </c>
      <c r="W442" s="1" t="str">
        <f t="shared" si="6"/>
        <v>No</v>
      </c>
    </row>
    <row r="443" spans="1:23" s="1" customFormat="1" ht="11.25">
      <c r="A443" s="2" t="s">
        <v>513</v>
      </c>
      <c r="B443" s="21" t="s">
        <v>275</v>
      </c>
      <c r="C443" s="26" t="s">
        <v>81</v>
      </c>
      <c r="D443" s="163">
        <v>4141</v>
      </c>
      <c r="E443" s="166">
        <v>40141</v>
      </c>
      <c r="F443" s="92" t="s">
        <v>160</v>
      </c>
      <c r="G443" s="20" t="s">
        <v>149</v>
      </c>
      <c r="H443" s="18">
        <v>549777</v>
      </c>
      <c r="I443" s="18">
        <v>54</v>
      </c>
      <c r="J443" s="4" t="s">
        <v>12</v>
      </c>
      <c r="K443" s="26" t="s">
        <v>15</v>
      </c>
      <c r="L443" s="172">
        <v>38</v>
      </c>
      <c r="M443" s="6">
        <v>1</v>
      </c>
      <c r="N443" s="6"/>
      <c r="O443" s="6">
        <v>0</v>
      </c>
      <c r="P443" s="6"/>
      <c r="Q443" s="7">
        <v>1</v>
      </c>
      <c r="R443" s="6"/>
      <c r="S443" s="1">
        <v>0</v>
      </c>
      <c r="U443" s="1">
        <v>0</v>
      </c>
      <c r="W443" s="1" t="str">
        <f t="shared" si="6"/>
        <v>No</v>
      </c>
    </row>
    <row r="444" spans="1:23" s="1" customFormat="1" ht="11.25">
      <c r="A444" s="2" t="s">
        <v>341</v>
      </c>
      <c r="B444" s="21" t="s">
        <v>342</v>
      </c>
      <c r="C444" s="26" t="s">
        <v>19</v>
      </c>
      <c r="D444" s="163">
        <v>9205</v>
      </c>
      <c r="E444" s="166">
        <v>90205</v>
      </c>
      <c r="F444" s="92" t="s">
        <v>152</v>
      </c>
      <c r="G444" s="20" t="s">
        <v>149</v>
      </c>
      <c r="H444" s="18">
        <v>1723634</v>
      </c>
      <c r="I444" s="18">
        <v>54</v>
      </c>
      <c r="J444" s="4" t="s">
        <v>12</v>
      </c>
      <c r="K444" s="26" t="s">
        <v>15</v>
      </c>
      <c r="L444" s="172">
        <v>19</v>
      </c>
      <c r="M444" s="6">
        <v>1</v>
      </c>
      <c r="N444" s="6"/>
      <c r="O444" s="6">
        <v>0</v>
      </c>
      <c r="P444" s="6"/>
      <c r="Q444" s="7">
        <v>1</v>
      </c>
      <c r="R444" s="6"/>
      <c r="S444" s="1">
        <v>0</v>
      </c>
      <c r="U444" s="1">
        <v>0</v>
      </c>
      <c r="W444" s="1" t="str">
        <f t="shared" si="6"/>
        <v>No</v>
      </c>
    </row>
    <row r="445" spans="1:23" s="1" customFormat="1" ht="11.25">
      <c r="A445" s="2" t="s">
        <v>64</v>
      </c>
      <c r="B445" s="21" t="s">
        <v>242</v>
      </c>
      <c r="C445" s="26" t="s">
        <v>62</v>
      </c>
      <c r="D445" s="163">
        <v>2163</v>
      </c>
      <c r="E445" s="166">
        <v>20163</v>
      </c>
      <c r="F445" s="92" t="s">
        <v>148</v>
      </c>
      <c r="G445" s="20" t="s">
        <v>149</v>
      </c>
      <c r="H445" s="18">
        <v>18351295</v>
      </c>
      <c r="I445" s="18">
        <v>54</v>
      </c>
      <c r="J445" s="4" t="s">
        <v>21</v>
      </c>
      <c r="K445" s="26" t="s">
        <v>11</v>
      </c>
      <c r="L445" s="172">
        <v>54</v>
      </c>
      <c r="M445" s="6">
        <v>1</v>
      </c>
      <c r="N445" s="6"/>
      <c r="O445" s="6">
        <v>0</v>
      </c>
      <c r="P445" s="6"/>
      <c r="Q445" s="7">
        <v>1</v>
      </c>
      <c r="R445" s="6"/>
      <c r="S445" s="1">
        <v>0</v>
      </c>
      <c r="U445" s="1">
        <v>0</v>
      </c>
      <c r="W445" s="1" t="str">
        <f t="shared" si="6"/>
        <v>No</v>
      </c>
    </row>
    <row r="446" spans="1:23" s="1" customFormat="1" ht="11.25">
      <c r="A446" s="2" t="s">
        <v>549</v>
      </c>
      <c r="B446" s="21" t="s">
        <v>307</v>
      </c>
      <c r="C446" s="26" t="s">
        <v>43</v>
      </c>
      <c r="D446" s="163">
        <v>4191</v>
      </c>
      <c r="E446" s="166">
        <v>40191</v>
      </c>
      <c r="F446" s="92" t="s">
        <v>160</v>
      </c>
      <c r="G446" s="20" t="s">
        <v>149</v>
      </c>
      <c r="H446" s="18">
        <v>73467</v>
      </c>
      <c r="I446" s="18">
        <v>54</v>
      </c>
      <c r="J446" s="4" t="s">
        <v>12</v>
      </c>
      <c r="K446" s="26" t="s">
        <v>11</v>
      </c>
      <c r="L446" s="172">
        <v>5</v>
      </c>
      <c r="M446" s="6">
        <v>0</v>
      </c>
      <c r="N446" s="6"/>
      <c r="O446" s="6">
        <v>0</v>
      </c>
      <c r="P446" s="6"/>
      <c r="Q446" s="7">
        <v>0</v>
      </c>
      <c r="R446" s="6"/>
      <c r="S446" s="1">
        <v>0</v>
      </c>
      <c r="U446" s="1">
        <v>0</v>
      </c>
      <c r="W446" s="1" t="str">
        <f t="shared" si="6"/>
        <v>No</v>
      </c>
    </row>
    <row r="447" spans="1:23" s="1" customFormat="1" ht="11.25">
      <c r="A447" s="2" t="s">
        <v>1294</v>
      </c>
      <c r="B447" s="21" t="s">
        <v>1295</v>
      </c>
      <c r="C447" s="26" t="s">
        <v>52</v>
      </c>
      <c r="D447" s="163">
        <v>5028</v>
      </c>
      <c r="E447" s="166">
        <v>50028</v>
      </c>
      <c r="F447" s="92" t="s">
        <v>160</v>
      </c>
      <c r="G447" s="20" t="s">
        <v>149</v>
      </c>
      <c r="H447" s="18">
        <v>110621</v>
      </c>
      <c r="I447" s="18">
        <v>53</v>
      </c>
      <c r="J447" s="4" t="s">
        <v>12</v>
      </c>
      <c r="K447" s="26" t="s">
        <v>11</v>
      </c>
      <c r="L447" s="172">
        <v>27</v>
      </c>
      <c r="M447" s="6">
        <v>2</v>
      </c>
      <c r="N447" s="6"/>
      <c r="O447" s="6">
        <v>0</v>
      </c>
      <c r="P447" s="6"/>
      <c r="Q447" s="7">
        <v>2</v>
      </c>
      <c r="R447" s="6"/>
      <c r="S447" s="1">
        <v>0</v>
      </c>
      <c r="U447" s="1">
        <v>0</v>
      </c>
      <c r="W447" s="1" t="str">
        <f t="shared" si="6"/>
        <v>No</v>
      </c>
    </row>
    <row r="448" spans="1:23" s="1" customFormat="1" ht="11.25">
      <c r="A448" s="2" t="s">
        <v>1640</v>
      </c>
      <c r="B448" s="21" t="s">
        <v>229</v>
      </c>
      <c r="C448" s="26" t="s">
        <v>31</v>
      </c>
      <c r="D448" s="163">
        <v>3112</v>
      </c>
      <c r="E448" s="166">
        <v>30112</v>
      </c>
      <c r="F448" s="92" t="s">
        <v>269</v>
      </c>
      <c r="G448" s="20" t="s">
        <v>149</v>
      </c>
      <c r="H448" s="18">
        <v>4586770</v>
      </c>
      <c r="I448" s="18">
        <v>53</v>
      </c>
      <c r="J448" s="4" t="s">
        <v>33</v>
      </c>
      <c r="K448" s="26" t="s">
        <v>15</v>
      </c>
      <c r="L448" s="172">
        <v>6</v>
      </c>
      <c r="M448" s="6">
        <v>0</v>
      </c>
      <c r="N448" s="6"/>
      <c r="O448" s="6">
        <v>0</v>
      </c>
      <c r="P448" s="6"/>
      <c r="Q448" s="7">
        <v>0</v>
      </c>
      <c r="R448" s="6"/>
      <c r="S448" s="1">
        <v>0</v>
      </c>
      <c r="U448" s="1">
        <v>0</v>
      </c>
      <c r="W448" s="1" t="str">
        <f t="shared" si="6"/>
        <v>No</v>
      </c>
    </row>
    <row r="449" spans="1:23" s="1" customFormat="1" ht="11.25">
      <c r="A449" s="2" t="s">
        <v>659</v>
      </c>
      <c r="B449" s="21" t="s">
        <v>660</v>
      </c>
      <c r="C449" s="26" t="s">
        <v>75</v>
      </c>
      <c r="D449" s="163">
        <v>3012</v>
      </c>
      <c r="E449" s="166">
        <v>30012</v>
      </c>
      <c r="F449" s="92" t="s">
        <v>160</v>
      </c>
      <c r="G449" s="20" t="s">
        <v>149</v>
      </c>
      <c r="H449" s="18">
        <v>69014</v>
      </c>
      <c r="I449" s="18">
        <v>53</v>
      </c>
      <c r="J449" s="4" t="s">
        <v>12</v>
      </c>
      <c r="K449" s="26" t="s">
        <v>11</v>
      </c>
      <c r="L449" s="172">
        <v>32</v>
      </c>
      <c r="M449" s="6">
        <v>1</v>
      </c>
      <c r="N449" s="6"/>
      <c r="O449" s="6">
        <v>0</v>
      </c>
      <c r="P449" s="6"/>
      <c r="Q449" s="7">
        <v>1</v>
      </c>
      <c r="R449" s="6"/>
      <c r="S449" s="1">
        <v>0</v>
      </c>
      <c r="U449" s="1">
        <v>0</v>
      </c>
      <c r="W449" s="1" t="str">
        <f t="shared" si="6"/>
        <v>No</v>
      </c>
    </row>
    <row r="450" spans="1:23" s="1" customFormat="1" ht="11.25">
      <c r="A450" s="2" t="s">
        <v>1011</v>
      </c>
      <c r="B450" s="21" t="s">
        <v>374</v>
      </c>
      <c r="C450" s="26" t="s">
        <v>86</v>
      </c>
      <c r="D450" s="163">
        <v>3007</v>
      </c>
      <c r="E450" s="166">
        <v>30007</v>
      </c>
      <c r="F450" s="92" t="s">
        <v>348</v>
      </c>
      <c r="G450" s="20" t="s">
        <v>149</v>
      </c>
      <c r="H450" s="18">
        <v>210111</v>
      </c>
      <c r="I450" s="18">
        <v>53</v>
      </c>
      <c r="J450" s="4" t="s">
        <v>21</v>
      </c>
      <c r="K450" s="26" t="s">
        <v>11</v>
      </c>
      <c r="L450" s="172">
        <v>1</v>
      </c>
      <c r="M450" s="6">
        <v>0</v>
      </c>
      <c r="N450" s="6"/>
      <c r="O450" s="6">
        <v>0</v>
      </c>
      <c r="P450" s="6"/>
      <c r="Q450" s="7">
        <v>0</v>
      </c>
      <c r="R450" s="6"/>
      <c r="S450" s="1">
        <v>0</v>
      </c>
      <c r="U450" s="1">
        <v>0</v>
      </c>
      <c r="W450" s="1" t="str">
        <f t="shared" ref="W450:W513" si="7">IF(V450&amp;T450&amp;R450&amp;P450&amp;N450&lt;&gt;"","Yes","No")</f>
        <v>No</v>
      </c>
    </row>
    <row r="451" spans="1:23" s="1" customFormat="1" ht="11.25">
      <c r="A451" s="2" t="s">
        <v>377</v>
      </c>
      <c r="B451" s="21" t="s">
        <v>378</v>
      </c>
      <c r="C451" s="26" t="s">
        <v>84</v>
      </c>
      <c r="D451" s="163">
        <v>6102</v>
      </c>
      <c r="E451" s="166">
        <v>60102</v>
      </c>
      <c r="F451" s="92" t="s">
        <v>160</v>
      </c>
      <c r="G451" s="20" t="s">
        <v>149</v>
      </c>
      <c r="H451" s="18">
        <v>92984</v>
      </c>
      <c r="I451" s="18">
        <v>53</v>
      </c>
      <c r="J451" s="4" t="s">
        <v>12</v>
      </c>
      <c r="K451" s="26" t="s">
        <v>11</v>
      </c>
      <c r="L451" s="172">
        <v>15</v>
      </c>
      <c r="M451" s="6">
        <v>1</v>
      </c>
      <c r="N451" s="6"/>
      <c r="O451" s="6">
        <v>0</v>
      </c>
      <c r="P451" s="6"/>
      <c r="Q451" s="7">
        <v>1</v>
      </c>
      <c r="R451" s="6"/>
      <c r="S451" s="1">
        <v>0</v>
      </c>
      <c r="U451" s="1">
        <v>0</v>
      </c>
      <c r="W451" s="1" t="str">
        <f t="shared" si="7"/>
        <v>No</v>
      </c>
    </row>
    <row r="452" spans="1:23" s="1" customFormat="1" ht="11.25">
      <c r="A452" s="2" t="s">
        <v>1011</v>
      </c>
      <c r="B452" s="21" t="s">
        <v>374</v>
      </c>
      <c r="C452" s="26" t="s">
        <v>86</v>
      </c>
      <c r="D452" s="163">
        <v>3007</v>
      </c>
      <c r="E452" s="166">
        <v>30007</v>
      </c>
      <c r="F452" s="92" t="s">
        <v>348</v>
      </c>
      <c r="G452" s="20" t="s">
        <v>149</v>
      </c>
      <c r="H452" s="18">
        <v>210111</v>
      </c>
      <c r="I452" s="18">
        <v>53</v>
      </c>
      <c r="J452" s="4" t="s">
        <v>12</v>
      </c>
      <c r="K452" s="26" t="s">
        <v>11</v>
      </c>
      <c r="L452" s="172">
        <v>35</v>
      </c>
      <c r="M452" s="6">
        <v>1</v>
      </c>
      <c r="N452" s="6"/>
      <c r="O452" s="6">
        <v>0</v>
      </c>
      <c r="P452" s="6"/>
      <c r="Q452" s="7">
        <v>1</v>
      </c>
      <c r="R452" s="6"/>
      <c r="S452" s="1">
        <v>1</v>
      </c>
      <c r="U452" s="1">
        <v>0</v>
      </c>
      <c r="W452" s="1" t="str">
        <f t="shared" si="7"/>
        <v>No</v>
      </c>
    </row>
    <row r="453" spans="1:23" s="1" customFormat="1" ht="11.25">
      <c r="A453" s="2" t="s">
        <v>1294</v>
      </c>
      <c r="B453" s="21" t="s">
        <v>1295</v>
      </c>
      <c r="C453" s="26" t="s">
        <v>52</v>
      </c>
      <c r="D453" s="163">
        <v>5028</v>
      </c>
      <c r="E453" s="166">
        <v>50028</v>
      </c>
      <c r="F453" s="92" t="s">
        <v>160</v>
      </c>
      <c r="G453" s="20" t="s">
        <v>149</v>
      </c>
      <c r="H453" s="18">
        <v>110621</v>
      </c>
      <c r="I453" s="18">
        <v>53</v>
      </c>
      <c r="J453" s="4" t="s">
        <v>21</v>
      </c>
      <c r="K453" s="26" t="s">
        <v>11</v>
      </c>
      <c r="L453" s="172">
        <v>4</v>
      </c>
      <c r="M453" s="6">
        <v>1</v>
      </c>
      <c r="N453" s="6"/>
      <c r="O453" s="6">
        <v>0</v>
      </c>
      <c r="P453" s="6"/>
      <c r="Q453" s="7">
        <v>1</v>
      </c>
      <c r="R453" s="6"/>
      <c r="S453" s="1">
        <v>0</v>
      </c>
      <c r="U453" s="1">
        <v>0</v>
      </c>
      <c r="W453" s="1" t="str">
        <f t="shared" si="7"/>
        <v>No</v>
      </c>
    </row>
    <row r="454" spans="1:23" s="1" customFormat="1" ht="11.25">
      <c r="A454" s="2" t="s">
        <v>1640</v>
      </c>
      <c r="B454" s="21" t="s">
        <v>229</v>
      </c>
      <c r="C454" s="26" t="s">
        <v>31</v>
      </c>
      <c r="D454" s="163">
        <v>3112</v>
      </c>
      <c r="E454" s="166">
        <v>30112</v>
      </c>
      <c r="F454" s="92" t="s">
        <v>269</v>
      </c>
      <c r="G454" s="20" t="s">
        <v>149</v>
      </c>
      <c r="H454" s="18">
        <v>4586770</v>
      </c>
      <c r="I454" s="18">
        <v>53</v>
      </c>
      <c r="J454" s="4" t="s">
        <v>12</v>
      </c>
      <c r="K454" s="26" t="s">
        <v>15</v>
      </c>
      <c r="L454" s="172">
        <v>47</v>
      </c>
      <c r="M454" s="6">
        <v>0</v>
      </c>
      <c r="N454" s="6"/>
      <c r="O454" s="6">
        <v>0</v>
      </c>
      <c r="P454" s="6"/>
      <c r="Q454" s="7">
        <v>0</v>
      </c>
      <c r="R454" s="6"/>
      <c r="S454" s="1">
        <v>0</v>
      </c>
      <c r="U454" s="1">
        <v>0</v>
      </c>
      <c r="W454" s="1" t="str">
        <f t="shared" si="7"/>
        <v>No</v>
      </c>
    </row>
    <row r="455" spans="1:23" s="1" customFormat="1" ht="11.25">
      <c r="A455" s="2" t="s">
        <v>659</v>
      </c>
      <c r="B455" s="21" t="s">
        <v>660</v>
      </c>
      <c r="C455" s="26" t="s">
        <v>75</v>
      </c>
      <c r="D455" s="163">
        <v>3012</v>
      </c>
      <c r="E455" s="166">
        <v>30012</v>
      </c>
      <c r="F455" s="92" t="s">
        <v>160</v>
      </c>
      <c r="G455" s="20" t="s">
        <v>149</v>
      </c>
      <c r="H455" s="18">
        <v>69014</v>
      </c>
      <c r="I455" s="18">
        <v>53</v>
      </c>
      <c r="J455" s="4" t="s">
        <v>76</v>
      </c>
      <c r="K455" s="26" t="s">
        <v>11</v>
      </c>
      <c r="L455" s="172">
        <v>2</v>
      </c>
      <c r="M455" s="6">
        <v>2</v>
      </c>
      <c r="N455" s="6"/>
      <c r="O455" s="6">
        <v>0</v>
      </c>
      <c r="P455" s="6"/>
      <c r="Q455" s="7">
        <v>2</v>
      </c>
      <c r="R455" s="6"/>
      <c r="S455" s="1">
        <v>2</v>
      </c>
      <c r="U455" s="1">
        <v>0</v>
      </c>
      <c r="W455" s="1" t="str">
        <f t="shared" si="7"/>
        <v>No</v>
      </c>
    </row>
    <row r="456" spans="1:23" s="1" customFormat="1" ht="11.25">
      <c r="A456" s="2" t="s">
        <v>588</v>
      </c>
      <c r="B456" s="21" t="s">
        <v>283</v>
      </c>
      <c r="C456" s="26" t="s">
        <v>51</v>
      </c>
      <c r="D456" s="163">
        <v>5029</v>
      </c>
      <c r="E456" s="166">
        <v>50029</v>
      </c>
      <c r="F456" s="92" t="s">
        <v>160</v>
      </c>
      <c r="G456" s="20" t="s">
        <v>149</v>
      </c>
      <c r="H456" s="18">
        <v>70585</v>
      </c>
      <c r="I456" s="18">
        <v>52</v>
      </c>
      <c r="J456" s="4" t="s">
        <v>12</v>
      </c>
      <c r="K456" s="26" t="s">
        <v>11</v>
      </c>
      <c r="L456" s="172">
        <v>38</v>
      </c>
      <c r="M456" s="6">
        <v>1</v>
      </c>
      <c r="N456" s="6"/>
      <c r="O456" s="6">
        <v>0</v>
      </c>
      <c r="P456" s="6"/>
      <c r="Q456" s="7">
        <v>1</v>
      </c>
      <c r="R456" s="6"/>
      <c r="S456" s="1">
        <v>0</v>
      </c>
      <c r="U456" s="1">
        <v>0</v>
      </c>
      <c r="W456" s="1" t="str">
        <f t="shared" si="7"/>
        <v>No</v>
      </c>
    </row>
    <row r="457" spans="1:23" s="1" customFormat="1" ht="11.25">
      <c r="A457" s="2" t="s">
        <v>1834</v>
      </c>
      <c r="B457" s="21" t="s">
        <v>1328</v>
      </c>
      <c r="C457" s="26" t="s">
        <v>75</v>
      </c>
      <c r="D457" s="163">
        <v>2169</v>
      </c>
      <c r="E457" s="166">
        <v>20169</v>
      </c>
      <c r="F457" s="92" t="s">
        <v>148</v>
      </c>
      <c r="G457" s="20" t="s">
        <v>149</v>
      </c>
      <c r="H457" s="18">
        <v>18351295</v>
      </c>
      <c r="I457" s="18">
        <v>52</v>
      </c>
      <c r="J457" s="4" t="s">
        <v>21</v>
      </c>
      <c r="K457" s="26" t="s">
        <v>11</v>
      </c>
      <c r="L457" s="172">
        <v>52</v>
      </c>
      <c r="M457" s="6">
        <v>5</v>
      </c>
      <c r="N457" s="6"/>
      <c r="O457" s="6">
        <v>0</v>
      </c>
      <c r="P457" s="6"/>
      <c r="Q457" s="7">
        <v>5</v>
      </c>
      <c r="R457" s="6"/>
      <c r="S457" s="1">
        <v>0</v>
      </c>
      <c r="U457" s="1">
        <v>0</v>
      </c>
      <c r="W457" s="1" t="str">
        <f t="shared" si="7"/>
        <v>No</v>
      </c>
    </row>
    <row r="458" spans="1:23" s="1" customFormat="1" ht="11.25">
      <c r="A458" s="2" t="s">
        <v>1062</v>
      </c>
      <c r="B458" s="21" t="s">
        <v>1063</v>
      </c>
      <c r="C458" s="26" t="s">
        <v>84</v>
      </c>
      <c r="D458" s="163">
        <v>6009</v>
      </c>
      <c r="E458" s="166">
        <v>60009</v>
      </c>
      <c r="F458" s="92" t="s">
        <v>152</v>
      </c>
      <c r="G458" s="20" t="s">
        <v>149</v>
      </c>
      <c r="H458" s="18">
        <v>235730</v>
      </c>
      <c r="I458" s="18">
        <v>52</v>
      </c>
      <c r="J458" s="4" t="s">
        <v>12</v>
      </c>
      <c r="K458" s="26" t="s">
        <v>11</v>
      </c>
      <c r="L458" s="172">
        <v>35</v>
      </c>
      <c r="M458" s="6">
        <v>2</v>
      </c>
      <c r="N458" s="6"/>
      <c r="O458" s="6">
        <v>0</v>
      </c>
      <c r="P458" s="6"/>
      <c r="Q458" s="7">
        <v>2</v>
      </c>
      <c r="R458" s="6"/>
      <c r="S458" s="1">
        <v>0</v>
      </c>
      <c r="U458" s="1">
        <v>0</v>
      </c>
      <c r="W458" s="1" t="str">
        <f t="shared" si="7"/>
        <v>No</v>
      </c>
    </row>
    <row r="459" spans="1:23" s="1" customFormat="1" ht="11.25">
      <c r="A459" s="2" t="s">
        <v>1230</v>
      </c>
      <c r="B459" s="21" t="s">
        <v>1231</v>
      </c>
      <c r="C459" s="26" t="s">
        <v>39</v>
      </c>
      <c r="D459" s="163">
        <v>5058</v>
      </c>
      <c r="E459" s="166">
        <v>50058</v>
      </c>
      <c r="F459" s="92" t="s">
        <v>160</v>
      </c>
      <c r="G459" s="20" t="s">
        <v>149</v>
      </c>
      <c r="H459" s="18">
        <v>296863</v>
      </c>
      <c r="I459" s="18">
        <v>51</v>
      </c>
      <c r="J459" s="4" t="s">
        <v>12</v>
      </c>
      <c r="K459" s="26" t="s">
        <v>11</v>
      </c>
      <c r="L459" s="172">
        <v>24</v>
      </c>
      <c r="M459" s="6">
        <v>2</v>
      </c>
      <c r="N459" s="6"/>
      <c r="O459" s="6">
        <v>0</v>
      </c>
      <c r="P459" s="6"/>
      <c r="Q459" s="7">
        <v>2</v>
      </c>
      <c r="R459" s="6"/>
      <c r="S459" s="1">
        <v>0</v>
      </c>
      <c r="U459" s="1">
        <v>0</v>
      </c>
      <c r="W459" s="1" t="str">
        <f t="shared" si="7"/>
        <v>No</v>
      </c>
    </row>
    <row r="460" spans="1:23" s="1" customFormat="1" ht="11.25">
      <c r="A460" s="2" t="s">
        <v>1835</v>
      </c>
      <c r="B460" s="21" t="s">
        <v>496</v>
      </c>
      <c r="C460" s="26" t="s">
        <v>28</v>
      </c>
      <c r="D460" s="163">
        <v>8011</v>
      </c>
      <c r="E460" s="166">
        <v>80011</v>
      </c>
      <c r="F460" s="92" t="s">
        <v>152</v>
      </c>
      <c r="G460" s="20" t="s">
        <v>149</v>
      </c>
      <c r="H460" s="18">
        <v>264465</v>
      </c>
      <c r="I460" s="18">
        <v>50</v>
      </c>
      <c r="J460" s="4" t="s">
        <v>25</v>
      </c>
      <c r="K460" s="26" t="s">
        <v>11</v>
      </c>
      <c r="L460" s="172">
        <v>6</v>
      </c>
      <c r="M460" s="6">
        <v>2</v>
      </c>
      <c r="N460" s="6"/>
      <c r="O460" s="6">
        <v>0</v>
      </c>
      <c r="P460" s="6"/>
      <c r="Q460" s="7">
        <v>2</v>
      </c>
      <c r="R460" s="6"/>
      <c r="S460" s="1">
        <v>0</v>
      </c>
      <c r="U460" s="1">
        <v>0</v>
      </c>
      <c r="W460" s="1" t="str">
        <f t="shared" si="7"/>
        <v>No</v>
      </c>
    </row>
    <row r="461" spans="1:23" s="1" customFormat="1" ht="11.25">
      <c r="A461" s="2" t="s">
        <v>1258</v>
      </c>
      <c r="B461" s="21" t="s">
        <v>1259</v>
      </c>
      <c r="C461" s="26" t="s">
        <v>81</v>
      </c>
      <c r="D461" s="163">
        <v>4100</v>
      </c>
      <c r="E461" s="166">
        <v>40100</v>
      </c>
      <c r="F461" s="92" t="s">
        <v>160</v>
      </c>
      <c r="G461" s="20" t="s">
        <v>149</v>
      </c>
      <c r="H461" s="18">
        <v>73107</v>
      </c>
      <c r="I461" s="18">
        <v>50</v>
      </c>
      <c r="J461" s="4" t="s">
        <v>21</v>
      </c>
      <c r="K461" s="26" t="s">
        <v>11</v>
      </c>
      <c r="L461" s="172">
        <v>7</v>
      </c>
      <c r="M461" s="6">
        <v>1</v>
      </c>
      <c r="N461" s="6"/>
      <c r="O461" s="6">
        <v>0</v>
      </c>
      <c r="P461" s="6"/>
      <c r="Q461" s="7">
        <v>1</v>
      </c>
      <c r="R461" s="6"/>
      <c r="S461" s="1">
        <v>0</v>
      </c>
      <c r="U461" s="1">
        <v>0</v>
      </c>
      <c r="W461" s="1" t="str">
        <f t="shared" si="7"/>
        <v>No</v>
      </c>
    </row>
    <row r="462" spans="1:23" s="1" customFormat="1" ht="11.25">
      <c r="A462" s="2" t="s">
        <v>971</v>
      </c>
      <c r="B462" s="21" t="s">
        <v>972</v>
      </c>
      <c r="C462" s="26" t="s">
        <v>92</v>
      </c>
      <c r="D462" s="163">
        <v>5099</v>
      </c>
      <c r="E462" s="166">
        <v>50099</v>
      </c>
      <c r="F462" s="92" t="s">
        <v>152</v>
      </c>
      <c r="G462" s="20" t="s">
        <v>149</v>
      </c>
      <c r="H462" s="18">
        <v>102852</v>
      </c>
      <c r="I462" s="18">
        <v>50</v>
      </c>
      <c r="J462" s="4" t="s">
        <v>12</v>
      </c>
      <c r="K462" s="26" t="s">
        <v>11</v>
      </c>
      <c r="L462" s="172">
        <v>16</v>
      </c>
      <c r="M462" s="6">
        <v>1</v>
      </c>
      <c r="N462" s="6"/>
      <c r="O462" s="6">
        <v>0</v>
      </c>
      <c r="P462" s="6"/>
      <c r="Q462" s="7">
        <v>1</v>
      </c>
      <c r="R462" s="6"/>
      <c r="S462" s="1">
        <v>0</v>
      </c>
      <c r="U462" s="1">
        <v>0</v>
      </c>
      <c r="W462" s="1" t="str">
        <f t="shared" si="7"/>
        <v>No</v>
      </c>
    </row>
    <row r="463" spans="1:23" s="1" customFormat="1" ht="11.25">
      <c r="A463" s="2" t="s">
        <v>1082</v>
      </c>
      <c r="B463" s="21" t="s">
        <v>1083</v>
      </c>
      <c r="C463" s="26" t="s">
        <v>84</v>
      </c>
      <c r="D463" s="163">
        <v>6090</v>
      </c>
      <c r="E463" s="166">
        <v>60090</v>
      </c>
      <c r="F463" s="92" t="s">
        <v>188</v>
      </c>
      <c r="G463" s="20" t="s">
        <v>149</v>
      </c>
      <c r="H463" s="18">
        <v>728825</v>
      </c>
      <c r="I463" s="18">
        <v>50</v>
      </c>
      <c r="J463" s="4" t="s">
        <v>21</v>
      </c>
      <c r="K463" s="26" t="s">
        <v>11</v>
      </c>
      <c r="L463" s="172">
        <v>26</v>
      </c>
      <c r="M463" s="6">
        <v>3</v>
      </c>
      <c r="N463" s="6"/>
      <c r="O463" s="6">
        <v>1</v>
      </c>
      <c r="P463" s="6"/>
      <c r="Q463" s="7">
        <v>4</v>
      </c>
      <c r="R463" s="6"/>
      <c r="S463" s="1">
        <v>0</v>
      </c>
      <c r="U463" s="1">
        <v>0</v>
      </c>
      <c r="W463" s="1" t="str">
        <f t="shared" si="7"/>
        <v>No</v>
      </c>
    </row>
    <row r="464" spans="1:23" s="1" customFormat="1" ht="11.25">
      <c r="A464" s="2" t="s">
        <v>1371</v>
      </c>
      <c r="B464" s="21" t="s">
        <v>1372</v>
      </c>
      <c r="C464" s="26" t="s">
        <v>71</v>
      </c>
      <c r="D464" s="163">
        <v>5024</v>
      </c>
      <c r="E464" s="166">
        <v>50024</v>
      </c>
      <c r="F464" s="92" t="s">
        <v>160</v>
      </c>
      <c r="G464" s="20" t="s">
        <v>149</v>
      </c>
      <c r="H464" s="18">
        <v>387550</v>
      </c>
      <c r="I464" s="18">
        <v>50</v>
      </c>
      <c r="J464" s="4" t="s">
        <v>12</v>
      </c>
      <c r="K464" s="26" t="s">
        <v>11</v>
      </c>
      <c r="L464" s="172">
        <v>34</v>
      </c>
      <c r="M464" s="6">
        <v>1</v>
      </c>
      <c r="N464" s="6"/>
      <c r="O464" s="6">
        <v>0</v>
      </c>
      <c r="P464" s="6"/>
      <c r="Q464" s="7">
        <v>1</v>
      </c>
      <c r="R464" s="6"/>
      <c r="S464" s="1">
        <v>0</v>
      </c>
      <c r="U464" s="1">
        <v>0</v>
      </c>
      <c r="W464" s="1" t="str">
        <f t="shared" si="7"/>
        <v>No</v>
      </c>
    </row>
    <row r="465" spans="1:23" s="1" customFormat="1" ht="11.25">
      <c r="A465" s="2" t="s">
        <v>1258</v>
      </c>
      <c r="B465" s="21" t="s">
        <v>1259</v>
      </c>
      <c r="C465" s="26" t="s">
        <v>81</v>
      </c>
      <c r="D465" s="163">
        <v>4100</v>
      </c>
      <c r="E465" s="166">
        <v>40100</v>
      </c>
      <c r="F465" s="92" t="s">
        <v>160</v>
      </c>
      <c r="G465" s="20" t="s">
        <v>149</v>
      </c>
      <c r="H465" s="18">
        <v>73107</v>
      </c>
      <c r="I465" s="18">
        <v>50</v>
      </c>
      <c r="J465" s="4" t="s">
        <v>12</v>
      </c>
      <c r="K465" s="26" t="s">
        <v>11</v>
      </c>
      <c r="L465" s="172">
        <v>11</v>
      </c>
      <c r="M465" s="6">
        <v>1</v>
      </c>
      <c r="N465" s="6"/>
      <c r="O465" s="6">
        <v>0</v>
      </c>
      <c r="P465" s="6"/>
      <c r="Q465" s="7">
        <v>1</v>
      </c>
      <c r="R465" s="6"/>
      <c r="S465" s="1">
        <v>0</v>
      </c>
      <c r="U465" s="1">
        <v>0</v>
      </c>
      <c r="W465" s="1" t="str">
        <f t="shared" si="7"/>
        <v>No</v>
      </c>
    </row>
    <row r="466" spans="1:23" s="1" customFormat="1" ht="11.25">
      <c r="A466" s="2" t="s">
        <v>1368</v>
      </c>
      <c r="B466" s="21" t="s">
        <v>1369</v>
      </c>
      <c r="C466" s="26" t="s">
        <v>19</v>
      </c>
      <c r="D466" s="163">
        <v>9159</v>
      </c>
      <c r="E466" s="166">
        <v>90159</v>
      </c>
      <c r="F466" s="92" t="s">
        <v>160</v>
      </c>
      <c r="G466" s="20" t="s">
        <v>149</v>
      </c>
      <c r="H466" s="18">
        <v>3281212</v>
      </c>
      <c r="I466" s="18">
        <v>50</v>
      </c>
      <c r="J466" s="4" t="s">
        <v>21</v>
      </c>
      <c r="K466" s="26" t="s">
        <v>15</v>
      </c>
      <c r="L466" s="172">
        <v>8</v>
      </c>
      <c r="M466" s="6">
        <v>2</v>
      </c>
      <c r="N466" s="6"/>
      <c r="O466" s="6">
        <v>0</v>
      </c>
      <c r="P466" s="6"/>
      <c r="Q466" s="7">
        <v>2</v>
      </c>
      <c r="R466" s="6"/>
      <c r="S466" s="1">
        <v>0</v>
      </c>
      <c r="U466" s="1">
        <v>0</v>
      </c>
      <c r="W466" s="1" t="str">
        <f t="shared" si="7"/>
        <v>No</v>
      </c>
    </row>
    <row r="467" spans="1:23" s="1" customFormat="1" ht="11.25">
      <c r="A467" s="2" t="s">
        <v>1082</v>
      </c>
      <c r="B467" s="21" t="s">
        <v>1083</v>
      </c>
      <c r="C467" s="26" t="s">
        <v>84</v>
      </c>
      <c r="D467" s="163">
        <v>6090</v>
      </c>
      <c r="E467" s="166">
        <v>60090</v>
      </c>
      <c r="F467" s="92" t="s">
        <v>188</v>
      </c>
      <c r="G467" s="20" t="s">
        <v>149</v>
      </c>
      <c r="H467" s="18">
        <v>728825</v>
      </c>
      <c r="I467" s="18">
        <v>50</v>
      </c>
      <c r="J467" s="4" t="s">
        <v>12</v>
      </c>
      <c r="K467" s="26" t="s">
        <v>11</v>
      </c>
      <c r="L467" s="172">
        <v>19</v>
      </c>
      <c r="M467" s="6">
        <v>3</v>
      </c>
      <c r="N467" s="6"/>
      <c r="O467" s="6">
        <v>1</v>
      </c>
      <c r="P467" s="6"/>
      <c r="Q467" s="7">
        <v>4</v>
      </c>
      <c r="R467" s="6"/>
      <c r="S467" s="1">
        <v>0</v>
      </c>
      <c r="U467" s="1">
        <v>0</v>
      </c>
      <c r="W467" s="1" t="str">
        <f t="shared" si="7"/>
        <v>No</v>
      </c>
    </row>
    <row r="468" spans="1:23" s="1" customFormat="1" ht="11.25">
      <c r="A468" s="2" t="s">
        <v>1835</v>
      </c>
      <c r="B468" s="21" t="s">
        <v>496</v>
      </c>
      <c r="C468" s="26" t="s">
        <v>28</v>
      </c>
      <c r="D468" s="163">
        <v>8011</v>
      </c>
      <c r="E468" s="166">
        <v>80011</v>
      </c>
      <c r="F468" s="92" t="s">
        <v>152</v>
      </c>
      <c r="G468" s="20" t="s">
        <v>149</v>
      </c>
      <c r="H468" s="18">
        <v>264465</v>
      </c>
      <c r="I468" s="18">
        <v>50</v>
      </c>
      <c r="J468" s="4" t="s">
        <v>12</v>
      </c>
      <c r="K468" s="26" t="s">
        <v>11</v>
      </c>
      <c r="L468" s="172">
        <v>32</v>
      </c>
      <c r="M468" s="6">
        <v>3</v>
      </c>
      <c r="N468" s="6"/>
      <c r="O468" s="6">
        <v>0</v>
      </c>
      <c r="P468" s="6"/>
      <c r="Q468" s="7">
        <v>3</v>
      </c>
      <c r="R468" s="6"/>
      <c r="S468" s="1">
        <v>0</v>
      </c>
      <c r="U468" s="1">
        <v>0</v>
      </c>
      <c r="W468" s="1" t="str">
        <f t="shared" si="7"/>
        <v>No</v>
      </c>
    </row>
    <row r="469" spans="1:23" s="1" customFormat="1" ht="11.25">
      <c r="A469" s="2" t="s">
        <v>1368</v>
      </c>
      <c r="B469" s="21" t="s">
        <v>1369</v>
      </c>
      <c r="C469" s="26" t="s">
        <v>19</v>
      </c>
      <c r="D469" s="163">
        <v>9159</v>
      </c>
      <c r="E469" s="166">
        <v>90159</v>
      </c>
      <c r="F469" s="92" t="s">
        <v>160</v>
      </c>
      <c r="G469" s="20" t="s">
        <v>149</v>
      </c>
      <c r="H469" s="18">
        <v>3281212</v>
      </c>
      <c r="I469" s="18">
        <v>50</v>
      </c>
      <c r="J469" s="4" t="s">
        <v>12</v>
      </c>
      <c r="K469" s="26" t="s">
        <v>15</v>
      </c>
      <c r="L469" s="172">
        <v>32</v>
      </c>
      <c r="M469" s="6">
        <v>3</v>
      </c>
      <c r="N469" s="6"/>
      <c r="O469" s="6">
        <v>0</v>
      </c>
      <c r="P469" s="6"/>
      <c r="Q469" s="7">
        <v>3</v>
      </c>
      <c r="R469" s="6"/>
      <c r="S469" s="1">
        <v>2</v>
      </c>
      <c r="U469" s="1">
        <v>2</v>
      </c>
      <c r="W469" s="1" t="str">
        <f t="shared" si="7"/>
        <v>No</v>
      </c>
    </row>
    <row r="470" spans="1:23" s="1" customFormat="1" ht="11.25">
      <c r="A470" s="2" t="s">
        <v>1835</v>
      </c>
      <c r="B470" s="21" t="s">
        <v>496</v>
      </c>
      <c r="C470" s="26" t="s">
        <v>28</v>
      </c>
      <c r="D470" s="163">
        <v>8011</v>
      </c>
      <c r="E470" s="166">
        <v>80011</v>
      </c>
      <c r="F470" s="92" t="s">
        <v>152</v>
      </c>
      <c r="G470" s="20" t="s">
        <v>149</v>
      </c>
      <c r="H470" s="18">
        <v>264465</v>
      </c>
      <c r="I470" s="18">
        <v>50</v>
      </c>
      <c r="J470" s="4" t="s">
        <v>12</v>
      </c>
      <c r="K470" s="26" t="s">
        <v>15</v>
      </c>
      <c r="L470" s="172">
        <v>2</v>
      </c>
      <c r="M470" s="6">
        <v>0</v>
      </c>
      <c r="N470" s="6"/>
      <c r="O470" s="6">
        <v>0</v>
      </c>
      <c r="P470" s="6"/>
      <c r="Q470" s="7">
        <v>0</v>
      </c>
      <c r="R470" s="6"/>
      <c r="S470" s="1">
        <v>0</v>
      </c>
      <c r="U470" s="1">
        <v>0</v>
      </c>
      <c r="W470" s="1" t="str">
        <f t="shared" si="7"/>
        <v>No</v>
      </c>
    </row>
    <row r="471" spans="1:23" s="1" customFormat="1" ht="11.25">
      <c r="A471" s="2" t="s">
        <v>1837</v>
      </c>
      <c r="B471" s="21" t="s">
        <v>465</v>
      </c>
      <c r="C471" s="26" t="s">
        <v>57</v>
      </c>
      <c r="D471" s="163">
        <v>4172</v>
      </c>
      <c r="E471" s="166">
        <v>40172</v>
      </c>
      <c r="F471" s="92" t="s">
        <v>160</v>
      </c>
      <c r="G471" s="20" t="s">
        <v>149</v>
      </c>
      <c r="H471" s="18">
        <v>212195</v>
      </c>
      <c r="I471" s="18">
        <v>49</v>
      </c>
      <c r="J471" s="4" t="s">
        <v>12</v>
      </c>
      <c r="K471" s="26" t="s">
        <v>11</v>
      </c>
      <c r="L471" s="172">
        <v>6</v>
      </c>
      <c r="M471" s="6">
        <v>1</v>
      </c>
      <c r="N471" s="6"/>
      <c r="O471" s="6">
        <v>0</v>
      </c>
      <c r="P471" s="6"/>
      <c r="Q471" s="7">
        <v>1</v>
      </c>
      <c r="R471" s="6"/>
      <c r="S471" s="1">
        <v>0</v>
      </c>
      <c r="U471" s="1">
        <v>0</v>
      </c>
      <c r="W471" s="1" t="str">
        <f t="shared" si="7"/>
        <v>No</v>
      </c>
    </row>
    <row r="472" spans="1:23" s="1" customFormat="1" ht="11.25">
      <c r="A472" s="2" t="s">
        <v>1836</v>
      </c>
      <c r="B472" s="21" t="s">
        <v>875</v>
      </c>
      <c r="C472" s="26" t="s">
        <v>69</v>
      </c>
      <c r="D472" s="163">
        <v>2010</v>
      </c>
      <c r="E472" s="166">
        <v>20010</v>
      </c>
      <c r="F472" s="92" t="s">
        <v>152</v>
      </c>
      <c r="G472" s="20" t="s">
        <v>149</v>
      </c>
      <c r="H472" s="18">
        <v>423566</v>
      </c>
      <c r="I472" s="18">
        <v>49</v>
      </c>
      <c r="J472" s="4" t="s">
        <v>12</v>
      </c>
      <c r="K472" s="26" t="s">
        <v>11</v>
      </c>
      <c r="L472" s="172">
        <v>34</v>
      </c>
      <c r="M472" s="6">
        <v>1</v>
      </c>
      <c r="N472" s="6"/>
      <c r="O472" s="6">
        <v>0</v>
      </c>
      <c r="P472" s="6"/>
      <c r="Q472" s="7">
        <v>1</v>
      </c>
      <c r="R472" s="6"/>
      <c r="S472" s="1">
        <v>0</v>
      </c>
      <c r="U472" s="1">
        <v>0</v>
      </c>
      <c r="W472" s="1" t="str">
        <f t="shared" si="7"/>
        <v>No</v>
      </c>
    </row>
    <row r="473" spans="1:23" s="1" customFormat="1" ht="11.25">
      <c r="A473" s="2" t="s">
        <v>945</v>
      </c>
      <c r="B473" s="21" t="s">
        <v>946</v>
      </c>
      <c r="C473" s="26" t="s">
        <v>19</v>
      </c>
      <c r="D473" s="163">
        <v>9039</v>
      </c>
      <c r="E473" s="166">
        <v>90039</v>
      </c>
      <c r="F473" s="92" t="s">
        <v>152</v>
      </c>
      <c r="G473" s="20" t="s">
        <v>149</v>
      </c>
      <c r="H473" s="18">
        <v>12150996</v>
      </c>
      <c r="I473" s="18">
        <v>49</v>
      </c>
      <c r="J473" s="4" t="s">
        <v>12</v>
      </c>
      <c r="K473" s="26" t="s">
        <v>11</v>
      </c>
      <c r="L473" s="172">
        <v>47</v>
      </c>
      <c r="M473" s="6">
        <v>0</v>
      </c>
      <c r="N473" s="6"/>
      <c r="O473" s="6">
        <v>0</v>
      </c>
      <c r="P473" s="6"/>
      <c r="Q473" s="7">
        <v>0</v>
      </c>
      <c r="R473" s="6"/>
      <c r="S473" s="1">
        <v>0</v>
      </c>
      <c r="U473" s="1">
        <v>0</v>
      </c>
      <c r="W473" s="1" t="str">
        <f t="shared" si="7"/>
        <v>No</v>
      </c>
    </row>
    <row r="474" spans="1:23" s="1" customFormat="1" ht="11.25">
      <c r="A474" s="2" t="s">
        <v>1206</v>
      </c>
      <c r="B474" s="21" t="s">
        <v>1207</v>
      </c>
      <c r="C474" s="26" t="s">
        <v>71</v>
      </c>
      <c r="D474" s="163">
        <v>5021</v>
      </c>
      <c r="E474" s="166">
        <v>50021</v>
      </c>
      <c r="F474" s="92" t="s">
        <v>160</v>
      </c>
      <c r="G474" s="20" t="s">
        <v>149</v>
      </c>
      <c r="H474" s="18">
        <v>569499</v>
      </c>
      <c r="I474" s="18">
        <v>49</v>
      </c>
      <c r="J474" s="4" t="s">
        <v>12</v>
      </c>
      <c r="K474" s="26" t="s">
        <v>11</v>
      </c>
      <c r="L474" s="172">
        <v>23</v>
      </c>
      <c r="M474" s="6">
        <v>2</v>
      </c>
      <c r="N474" s="6"/>
      <c r="O474" s="6">
        <v>0</v>
      </c>
      <c r="P474" s="6"/>
      <c r="Q474" s="7">
        <v>2</v>
      </c>
      <c r="R474" s="6"/>
      <c r="S474" s="1">
        <v>2</v>
      </c>
      <c r="U474" s="1">
        <v>0</v>
      </c>
      <c r="W474" s="1" t="str">
        <f t="shared" si="7"/>
        <v>No</v>
      </c>
    </row>
    <row r="475" spans="1:23" s="1" customFormat="1" ht="11.25">
      <c r="A475" s="2" t="s">
        <v>793</v>
      </c>
      <c r="B475" s="21" t="s">
        <v>794</v>
      </c>
      <c r="C475" s="26" t="s">
        <v>19</v>
      </c>
      <c r="D475" s="163">
        <v>9042</v>
      </c>
      <c r="E475" s="166">
        <v>90042</v>
      </c>
      <c r="F475" s="92" t="s">
        <v>152</v>
      </c>
      <c r="G475" s="20" t="s">
        <v>149</v>
      </c>
      <c r="H475" s="18">
        <v>12150996</v>
      </c>
      <c r="I475" s="18">
        <v>49</v>
      </c>
      <c r="J475" s="4" t="s">
        <v>12</v>
      </c>
      <c r="K475" s="26" t="s">
        <v>11</v>
      </c>
      <c r="L475" s="172">
        <v>43</v>
      </c>
      <c r="M475" s="6">
        <v>1</v>
      </c>
      <c r="N475" s="6"/>
      <c r="O475" s="6">
        <v>0</v>
      </c>
      <c r="P475" s="6"/>
      <c r="Q475" s="7">
        <v>1</v>
      </c>
      <c r="R475" s="6"/>
      <c r="S475" s="1">
        <v>0</v>
      </c>
      <c r="U475" s="1">
        <v>0</v>
      </c>
      <c r="W475" s="1" t="str">
        <f t="shared" si="7"/>
        <v>No</v>
      </c>
    </row>
    <row r="476" spans="1:23" s="1" customFormat="1" ht="11.25">
      <c r="A476" s="2" t="s">
        <v>1274</v>
      </c>
      <c r="B476" s="21" t="s">
        <v>1022</v>
      </c>
      <c r="C476" s="26" t="s">
        <v>40</v>
      </c>
      <c r="D476" s="163">
        <v>5052</v>
      </c>
      <c r="E476" s="166">
        <v>50052</v>
      </c>
      <c r="F476" s="92" t="s">
        <v>160</v>
      </c>
      <c r="G476" s="20" t="s">
        <v>149</v>
      </c>
      <c r="H476" s="18">
        <v>278165</v>
      </c>
      <c r="I476" s="18">
        <v>48</v>
      </c>
      <c r="J476" s="4" t="s">
        <v>12</v>
      </c>
      <c r="K476" s="26" t="s">
        <v>11</v>
      </c>
      <c r="L476" s="172">
        <v>35</v>
      </c>
      <c r="M476" s="6">
        <v>2</v>
      </c>
      <c r="N476" s="6"/>
      <c r="O476" s="6">
        <v>0</v>
      </c>
      <c r="P476" s="6"/>
      <c r="Q476" s="7">
        <v>2</v>
      </c>
      <c r="R476" s="6"/>
      <c r="S476" s="1">
        <v>2</v>
      </c>
      <c r="U476" s="1">
        <v>0</v>
      </c>
      <c r="W476" s="1" t="str">
        <f t="shared" si="7"/>
        <v>No</v>
      </c>
    </row>
    <row r="477" spans="1:23" s="1" customFormat="1" ht="11.25">
      <c r="A477" s="2" t="s">
        <v>1385</v>
      </c>
      <c r="B477" s="21" t="s">
        <v>1386</v>
      </c>
      <c r="C477" s="26" t="s">
        <v>19</v>
      </c>
      <c r="D477" s="163">
        <v>9090</v>
      </c>
      <c r="E477" s="166">
        <v>90090</v>
      </c>
      <c r="F477" s="92" t="s">
        <v>160</v>
      </c>
      <c r="G477" s="20" t="s">
        <v>149</v>
      </c>
      <c r="H477" s="18">
        <v>1723634</v>
      </c>
      <c r="I477" s="18">
        <v>48</v>
      </c>
      <c r="J477" s="4" t="s">
        <v>12</v>
      </c>
      <c r="K477" s="26" t="s">
        <v>15</v>
      </c>
      <c r="L477" s="172">
        <v>39</v>
      </c>
      <c r="M477" s="6">
        <v>0</v>
      </c>
      <c r="N477" s="6"/>
      <c r="O477" s="6">
        <v>0</v>
      </c>
      <c r="P477" s="6"/>
      <c r="Q477" s="7">
        <v>0</v>
      </c>
      <c r="R477" s="6"/>
      <c r="S477" s="1">
        <v>0</v>
      </c>
      <c r="U477" s="1">
        <v>0</v>
      </c>
      <c r="W477" s="1" t="str">
        <f t="shared" si="7"/>
        <v>No</v>
      </c>
    </row>
    <row r="478" spans="1:23" s="1" customFormat="1" ht="11.25">
      <c r="A478" s="2" t="s">
        <v>343</v>
      </c>
      <c r="B478" s="21" t="s">
        <v>344</v>
      </c>
      <c r="C478" s="26" t="s">
        <v>19</v>
      </c>
      <c r="D478" s="163">
        <v>9206</v>
      </c>
      <c r="E478" s="166">
        <v>90206</v>
      </c>
      <c r="F478" s="92" t="s">
        <v>160</v>
      </c>
      <c r="G478" s="20" t="s">
        <v>149</v>
      </c>
      <c r="H478" s="18">
        <v>59219</v>
      </c>
      <c r="I478" s="18">
        <v>47</v>
      </c>
      <c r="J478" s="4" t="s">
        <v>12</v>
      </c>
      <c r="K478" s="26" t="s">
        <v>11</v>
      </c>
      <c r="L478" s="172">
        <v>25</v>
      </c>
      <c r="M478" s="6">
        <v>0</v>
      </c>
      <c r="N478" s="6"/>
      <c r="O478" s="6">
        <v>0</v>
      </c>
      <c r="P478" s="6"/>
      <c r="Q478" s="7">
        <v>0</v>
      </c>
      <c r="R478" s="6"/>
      <c r="S478" s="1">
        <v>0</v>
      </c>
      <c r="U478" s="1">
        <v>0</v>
      </c>
      <c r="W478" s="1" t="str">
        <f t="shared" si="7"/>
        <v>No</v>
      </c>
    </row>
    <row r="479" spans="1:23" s="1" customFormat="1" ht="11.25">
      <c r="A479" s="2" t="s">
        <v>362</v>
      </c>
      <c r="B479" s="21" t="s">
        <v>363</v>
      </c>
      <c r="C479" s="26" t="s">
        <v>19</v>
      </c>
      <c r="D479" s="163">
        <v>9208</v>
      </c>
      <c r="E479" s="166">
        <v>90208</v>
      </c>
      <c r="F479" s="92" t="s">
        <v>188</v>
      </c>
      <c r="G479" s="20" t="s">
        <v>149</v>
      </c>
      <c r="H479" s="18">
        <v>98176</v>
      </c>
      <c r="I479" s="18">
        <v>47</v>
      </c>
      <c r="J479" s="4" t="s">
        <v>12</v>
      </c>
      <c r="K479" s="26" t="s">
        <v>15</v>
      </c>
      <c r="L479" s="172">
        <v>26</v>
      </c>
      <c r="M479" s="6">
        <v>0</v>
      </c>
      <c r="N479" s="6"/>
      <c r="O479" s="6">
        <v>0</v>
      </c>
      <c r="P479" s="6"/>
      <c r="Q479" s="7">
        <v>0</v>
      </c>
      <c r="R479" s="6"/>
      <c r="S479" s="1">
        <v>0</v>
      </c>
      <c r="U479" s="1">
        <v>0</v>
      </c>
      <c r="W479" s="1" t="str">
        <f t="shared" si="7"/>
        <v>No</v>
      </c>
    </row>
    <row r="480" spans="1:23" s="1" customFormat="1" ht="11.25">
      <c r="A480" s="2" t="s">
        <v>1050</v>
      </c>
      <c r="B480" s="21" t="s">
        <v>251</v>
      </c>
      <c r="C480" s="26" t="s">
        <v>95</v>
      </c>
      <c r="D480" s="163">
        <v>3001</v>
      </c>
      <c r="E480" s="166">
        <v>30001</v>
      </c>
      <c r="F480" s="92" t="s">
        <v>160</v>
      </c>
      <c r="G480" s="20" t="s">
        <v>149</v>
      </c>
      <c r="H480" s="18">
        <v>153199</v>
      </c>
      <c r="I480" s="18">
        <v>47</v>
      </c>
      <c r="J480" s="4" t="s">
        <v>12</v>
      </c>
      <c r="K480" s="26" t="s">
        <v>11</v>
      </c>
      <c r="L480" s="172">
        <v>36</v>
      </c>
      <c r="M480" s="6">
        <v>3</v>
      </c>
      <c r="N480" s="6"/>
      <c r="O480" s="6">
        <v>0</v>
      </c>
      <c r="P480" s="6"/>
      <c r="Q480" s="7">
        <v>3</v>
      </c>
      <c r="R480" s="6"/>
      <c r="S480" s="1">
        <v>1</v>
      </c>
      <c r="U480" s="1">
        <v>0</v>
      </c>
      <c r="W480" s="1" t="str">
        <f t="shared" si="7"/>
        <v>No</v>
      </c>
    </row>
    <row r="481" spans="1:23" s="1" customFormat="1" ht="11.25">
      <c r="A481" s="2" t="s">
        <v>184</v>
      </c>
      <c r="B481" s="21" t="s">
        <v>185</v>
      </c>
      <c r="C481" s="26" t="s">
        <v>32</v>
      </c>
      <c r="D481" s="163">
        <v>4140</v>
      </c>
      <c r="E481" s="166">
        <v>40140</v>
      </c>
      <c r="F481" s="92" t="s">
        <v>152</v>
      </c>
      <c r="G481" s="20" t="s">
        <v>149</v>
      </c>
      <c r="H481" s="18">
        <v>310298</v>
      </c>
      <c r="I481" s="18">
        <v>46</v>
      </c>
      <c r="J481" s="4" t="s">
        <v>12</v>
      </c>
      <c r="K481" s="26" t="s">
        <v>15</v>
      </c>
      <c r="L481" s="172">
        <v>18</v>
      </c>
      <c r="M481" s="6">
        <v>2</v>
      </c>
      <c r="N481" s="6"/>
      <c r="O481" s="6">
        <v>0</v>
      </c>
      <c r="P481" s="6"/>
      <c r="Q481" s="7">
        <v>2</v>
      </c>
      <c r="R481" s="6"/>
      <c r="S481" s="1">
        <v>1</v>
      </c>
      <c r="U481" s="1">
        <v>0</v>
      </c>
      <c r="W481" s="1" t="str">
        <f t="shared" si="7"/>
        <v>No</v>
      </c>
    </row>
    <row r="482" spans="1:23" s="1" customFormat="1" ht="11.25">
      <c r="A482" s="2" t="s">
        <v>1178</v>
      </c>
      <c r="B482" s="21" t="s">
        <v>1175</v>
      </c>
      <c r="C482" s="26" t="s">
        <v>62</v>
      </c>
      <c r="D482" s="163">
        <v>2166</v>
      </c>
      <c r="E482" s="166">
        <v>20166</v>
      </c>
      <c r="F482" s="92" t="s">
        <v>148</v>
      </c>
      <c r="G482" s="20" t="s">
        <v>149</v>
      </c>
      <c r="H482" s="18">
        <v>18351295</v>
      </c>
      <c r="I482" s="18">
        <v>46</v>
      </c>
      <c r="J482" s="4" t="s">
        <v>12</v>
      </c>
      <c r="K482" s="26" t="s">
        <v>11</v>
      </c>
      <c r="L482" s="172">
        <v>46</v>
      </c>
      <c r="M482" s="6">
        <v>1</v>
      </c>
      <c r="N482" s="6"/>
      <c r="O482" s="6">
        <v>0</v>
      </c>
      <c r="P482" s="6"/>
      <c r="Q482" s="7">
        <v>1</v>
      </c>
      <c r="R482" s="6"/>
      <c r="S482" s="1">
        <v>3</v>
      </c>
      <c r="U482" s="1">
        <v>1</v>
      </c>
      <c r="W482" s="1" t="str">
        <f t="shared" si="7"/>
        <v>No</v>
      </c>
    </row>
    <row r="483" spans="1:23" s="1" customFormat="1" ht="11.25">
      <c r="A483" s="2" t="s">
        <v>928</v>
      </c>
      <c r="B483" s="21" t="s">
        <v>929</v>
      </c>
      <c r="C483" s="26" t="s">
        <v>29</v>
      </c>
      <c r="D483" s="163">
        <v>1102</v>
      </c>
      <c r="E483" s="166">
        <v>10102</v>
      </c>
      <c r="F483" s="92" t="s">
        <v>269</v>
      </c>
      <c r="G483" s="20" t="s">
        <v>149</v>
      </c>
      <c r="H483" s="18">
        <v>924859</v>
      </c>
      <c r="I483" s="18">
        <v>46</v>
      </c>
      <c r="J483" s="4" t="s">
        <v>21</v>
      </c>
      <c r="K483" s="26" t="s">
        <v>15</v>
      </c>
      <c r="L483" s="172">
        <v>15</v>
      </c>
      <c r="M483" s="6">
        <v>0</v>
      </c>
      <c r="N483" s="6"/>
      <c r="O483" s="6">
        <v>0</v>
      </c>
      <c r="P483" s="6"/>
      <c r="Q483" s="7">
        <v>0</v>
      </c>
      <c r="R483" s="6"/>
      <c r="S483" s="1">
        <v>0</v>
      </c>
      <c r="U483" s="1">
        <v>0</v>
      </c>
      <c r="W483" s="1" t="str">
        <f t="shared" si="7"/>
        <v>No</v>
      </c>
    </row>
    <row r="484" spans="1:23" s="1" customFormat="1" ht="11.25">
      <c r="A484" s="2" t="s">
        <v>1107</v>
      </c>
      <c r="B484" s="21" t="s">
        <v>1108</v>
      </c>
      <c r="C484" s="26" t="s">
        <v>13</v>
      </c>
      <c r="D484" s="163">
        <v>4043</v>
      </c>
      <c r="E484" s="166">
        <v>40043</v>
      </c>
      <c r="F484" s="92" t="s">
        <v>152</v>
      </c>
      <c r="G484" s="20" t="s">
        <v>149</v>
      </c>
      <c r="H484" s="18">
        <v>326183</v>
      </c>
      <c r="I484" s="18">
        <v>46</v>
      </c>
      <c r="J484" s="4" t="s">
        <v>12</v>
      </c>
      <c r="K484" s="26" t="s">
        <v>11</v>
      </c>
      <c r="L484" s="172">
        <v>21</v>
      </c>
      <c r="M484" s="6">
        <v>1</v>
      </c>
      <c r="N484" s="6"/>
      <c r="O484" s="6">
        <v>0</v>
      </c>
      <c r="P484" s="6"/>
      <c r="Q484" s="7">
        <v>1</v>
      </c>
      <c r="R484" s="6"/>
      <c r="S484" s="1">
        <v>0</v>
      </c>
      <c r="U484" s="1">
        <v>0</v>
      </c>
      <c r="W484" s="1" t="str">
        <f t="shared" si="7"/>
        <v>No</v>
      </c>
    </row>
    <row r="485" spans="1:23" s="1" customFormat="1" ht="11.25">
      <c r="A485" s="2" t="s">
        <v>928</v>
      </c>
      <c r="B485" s="21" t="s">
        <v>929</v>
      </c>
      <c r="C485" s="26" t="s">
        <v>29</v>
      </c>
      <c r="D485" s="163">
        <v>1102</v>
      </c>
      <c r="E485" s="166">
        <v>10102</v>
      </c>
      <c r="F485" s="92" t="s">
        <v>269</v>
      </c>
      <c r="G485" s="20" t="s">
        <v>149</v>
      </c>
      <c r="H485" s="18">
        <v>924859</v>
      </c>
      <c r="I485" s="18">
        <v>46</v>
      </c>
      <c r="J485" s="4" t="s">
        <v>20</v>
      </c>
      <c r="K485" s="26" t="s">
        <v>15</v>
      </c>
      <c r="L485" s="172">
        <v>31</v>
      </c>
      <c r="M485" s="6">
        <v>8</v>
      </c>
      <c r="N485" s="6"/>
      <c r="O485" s="6">
        <v>1</v>
      </c>
      <c r="P485" s="6"/>
      <c r="Q485" s="7">
        <v>9</v>
      </c>
      <c r="R485" s="6"/>
      <c r="S485" s="1">
        <v>4</v>
      </c>
      <c r="U485" s="1">
        <v>1</v>
      </c>
      <c r="W485" s="1" t="str">
        <f t="shared" si="7"/>
        <v>No</v>
      </c>
    </row>
    <row r="486" spans="1:23" s="1" customFormat="1" ht="11.25">
      <c r="A486" s="2" t="s">
        <v>1397</v>
      </c>
      <c r="B486" s="21" t="s">
        <v>1398</v>
      </c>
      <c r="C486" s="26" t="s">
        <v>32</v>
      </c>
      <c r="D486" s="163">
        <v>4128</v>
      </c>
      <c r="E486" s="166">
        <v>40128</v>
      </c>
      <c r="F486" s="92" t="s">
        <v>152</v>
      </c>
      <c r="G486" s="20" t="s">
        <v>149</v>
      </c>
      <c r="H486" s="18">
        <v>191917</v>
      </c>
      <c r="I486" s="18">
        <v>45</v>
      </c>
      <c r="J486" s="4" t="s">
        <v>12</v>
      </c>
      <c r="K486" s="26" t="s">
        <v>15</v>
      </c>
      <c r="L486" s="172">
        <v>13</v>
      </c>
      <c r="M486" s="6">
        <v>0</v>
      </c>
      <c r="N486" s="6"/>
      <c r="O486" s="6">
        <v>0</v>
      </c>
      <c r="P486" s="6"/>
      <c r="Q486" s="7">
        <v>0</v>
      </c>
      <c r="R486" s="6"/>
      <c r="S486" s="1">
        <v>0</v>
      </c>
      <c r="U486" s="1">
        <v>0</v>
      </c>
      <c r="W486" s="1" t="str">
        <f t="shared" si="7"/>
        <v>No</v>
      </c>
    </row>
    <row r="487" spans="1:23" s="1" customFormat="1" ht="11.25">
      <c r="A487" s="2" t="s">
        <v>1088</v>
      </c>
      <c r="B487" s="21" t="s">
        <v>1089</v>
      </c>
      <c r="C487" s="26" t="s">
        <v>32</v>
      </c>
      <c r="D487" s="163">
        <v>4026</v>
      </c>
      <c r="E487" s="166">
        <v>40026</v>
      </c>
      <c r="F487" s="92" t="s">
        <v>152</v>
      </c>
      <c r="G487" s="20" t="s">
        <v>149</v>
      </c>
      <c r="H487" s="18">
        <v>643260</v>
      </c>
      <c r="I487" s="18">
        <v>45</v>
      </c>
      <c r="J487" s="4" t="s">
        <v>12</v>
      </c>
      <c r="K487" s="26" t="s">
        <v>11</v>
      </c>
      <c r="L487" s="172">
        <v>23</v>
      </c>
      <c r="M487" s="6">
        <v>3</v>
      </c>
      <c r="N487" s="6"/>
      <c r="O487" s="6">
        <v>0</v>
      </c>
      <c r="P487" s="6"/>
      <c r="Q487" s="7">
        <v>3</v>
      </c>
      <c r="R487" s="6"/>
      <c r="S487" s="1">
        <v>0</v>
      </c>
      <c r="U487" s="1">
        <v>0</v>
      </c>
      <c r="W487" s="1" t="str">
        <f t="shared" si="7"/>
        <v>No</v>
      </c>
    </row>
    <row r="488" spans="1:23" s="1" customFormat="1" ht="11.25">
      <c r="A488" s="2" t="s">
        <v>1349</v>
      </c>
      <c r="B488" s="21" t="s">
        <v>1350</v>
      </c>
      <c r="C488" s="26" t="s">
        <v>19</v>
      </c>
      <c r="D488" s="163">
        <v>9164</v>
      </c>
      <c r="E488" s="166">
        <v>90164</v>
      </c>
      <c r="F488" s="92" t="s">
        <v>160</v>
      </c>
      <c r="G488" s="20" t="s">
        <v>149</v>
      </c>
      <c r="H488" s="18">
        <v>367260</v>
      </c>
      <c r="I488" s="18">
        <v>45</v>
      </c>
      <c r="J488" s="4" t="s">
        <v>21</v>
      </c>
      <c r="K488" s="26" t="s">
        <v>15</v>
      </c>
      <c r="L488" s="172">
        <v>30</v>
      </c>
      <c r="M488" s="6">
        <v>0</v>
      </c>
      <c r="N488" s="6"/>
      <c r="O488" s="6">
        <v>0</v>
      </c>
      <c r="P488" s="6"/>
      <c r="Q488" s="7">
        <v>0</v>
      </c>
      <c r="R488" s="6"/>
      <c r="S488" s="1">
        <v>0</v>
      </c>
      <c r="U488" s="1">
        <v>0</v>
      </c>
      <c r="W488" s="1" t="str">
        <f t="shared" si="7"/>
        <v>No</v>
      </c>
    </row>
    <row r="489" spans="1:23" s="1" customFormat="1" ht="11.25">
      <c r="A489" s="2" t="s">
        <v>1838</v>
      </c>
      <c r="B489" s="21" t="s">
        <v>1675</v>
      </c>
      <c r="C489" s="26" t="s">
        <v>32</v>
      </c>
      <c r="D489" s="163"/>
      <c r="E489" s="166">
        <v>40245</v>
      </c>
      <c r="F489" s="92" t="s">
        <v>197</v>
      </c>
      <c r="G489" s="20" t="s">
        <v>149</v>
      </c>
      <c r="H489" s="18">
        <v>1065219</v>
      </c>
      <c r="I489" s="18">
        <v>45</v>
      </c>
      <c r="J489" s="4" t="s">
        <v>12</v>
      </c>
      <c r="K489" s="26" t="s">
        <v>11</v>
      </c>
      <c r="L489" s="172">
        <v>7</v>
      </c>
      <c r="M489" s="6">
        <v>0</v>
      </c>
      <c r="N489" s="6"/>
      <c r="O489" s="6">
        <v>0</v>
      </c>
      <c r="P489" s="6"/>
      <c r="Q489" s="7">
        <v>0</v>
      </c>
      <c r="R489" s="6"/>
      <c r="S489" s="1">
        <v>0</v>
      </c>
      <c r="U489" s="1">
        <v>0</v>
      </c>
      <c r="W489" s="1" t="str">
        <f t="shared" si="7"/>
        <v>No</v>
      </c>
    </row>
    <row r="490" spans="1:23" s="1" customFormat="1" ht="11.25">
      <c r="A490" s="2" t="s">
        <v>1349</v>
      </c>
      <c r="B490" s="21" t="s">
        <v>1350</v>
      </c>
      <c r="C490" s="26" t="s">
        <v>19</v>
      </c>
      <c r="D490" s="163">
        <v>9164</v>
      </c>
      <c r="E490" s="166">
        <v>90164</v>
      </c>
      <c r="F490" s="92" t="s">
        <v>160</v>
      </c>
      <c r="G490" s="20" t="s">
        <v>149</v>
      </c>
      <c r="H490" s="18">
        <v>367260</v>
      </c>
      <c r="I490" s="18">
        <v>45</v>
      </c>
      <c r="J490" s="4" t="s">
        <v>12</v>
      </c>
      <c r="K490" s="26" t="s">
        <v>15</v>
      </c>
      <c r="L490" s="172">
        <v>5</v>
      </c>
      <c r="M490" s="6">
        <v>0</v>
      </c>
      <c r="N490" s="6"/>
      <c r="O490" s="6">
        <v>0</v>
      </c>
      <c r="P490" s="6"/>
      <c r="Q490" s="7">
        <v>0</v>
      </c>
      <c r="R490" s="6"/>
      <c r="S490" s="1">
        <v>0</v>
      </c>
      <c r="U490" s="1">
        <v>0</v>
      </c>
      <c r="W490" s="1" t="str">
        <f t="shared" si="7"/>
        <v>No</v>
      </c>
    </row>
    <row r="491" spans="1:23" s="1" customFormat="1" ht="11.25">
      <c r="A491" s="2" t="s">
        <v>709</v>
      </c>
      <c r="B491" s="21" t="s">
        <v>710</v>
      </c>
      <c r="C491" s="26" t="s">
        <v>74</v>
      </c>
      <c r="D491" s="163">
        <v>57</v>
      </c>
      <c r="E491" s="166">
        <v>57</v>
      </c>
      <c r="F491" s="92" t="s">
        <v>188</v>
      </c>
      <c r="G491" s="20" t="s">
        <v>149</v>
      </c>
      <c r="H491" s="18">
        <v>83794</v>
      </c>
      <c r="I491" s="18">
        <v>44</v>
      </c>
      <c r="J491" s="4" t="s">
        <v>12</v>
      </c>
      <c r="K491" s="26" t="s">
        <v>11</v>
      </c>
      <c r="L491" s="172">
        <v>1</v>
      </c>
      <c r="M491" s="6">
        <v>0</v>
      </c>
      <c r="N491" s="6"/>
      <c r="O491" s="6">
        <v>0</v>
      </c>
      <c r="P491" s="6"/>
      <c r="Q491" s="7">
        <v>0</v>
      </c>
      <c r="R491" s="6"/>
      <c r="S491" s="1">
        <v>0</v>
      </c>
      <c r="U491" s="1">
        <v>0</v>
      </c>
      <c r="W491" s="1" t="str">
        <f t="shared" si="7"/>
        <v>No</v>
      </c>
    </row>
    <row r="492" spans="1:23" s="1" customFormat="1" ht="11.25">
      <c r="A492" s="2" t="s">
        <v>379</v>
      </c>
      <c r="B492" s="21" t="s">
        <v>380</v>
      </c>
      <c r="C492" s="26" t="s">
        <v>84</v>
      </c>
      <c r="D492" s="163">
        <v>6103</v>
      </c>
      <c r="E492" s="166">
        <v>60103</v>
      </c>
      <c r="F492" s="92" t="s">
        <v>152</v>
      </c>
      <c r="G492" s="20" t="s">
        <v>149</v>
      </c>
      <c r="H492" s="18">
        <v>4944332</v>
      </c>
      <c r="I492" s="18">
        <v>44</v>
      </c>
      <c r="J492" s="4" t="s">
        <v>12</v>
      </c>
      <c r="K492" s="26" t="s">
        <v>15</v>
      </c>
      <c r="L492" s="172">
        <v>3</v>
      </c>
      <c r="M492" s="6">
        <v>0</v>
      </c>
      <c r="N492" s="6"/>
      <c r="O492" s="6">
        <v>0</v>
      </c>
      <c r="P492" s="6"/>
      <c r="Q492" s="7">
        <v>0</v>
      </c>
      <c r="R492" s="6"/>
      <c r="S492" s="1">
        <v>0</v>
      </c>
      <c r="U492" s="1">
        <v>0</v>
      </c>
      <c r="W492" s="1" t="str">
        <f t="shared" si="7"/>
        <v>No</v>
      </c>
    </row>
    <row r="493" spans="1:23" s="1" customFormat="1" ht="11.25">
      <c r="A493" s="2" t="s">
        <v>1044</v>
      </c>
      <c r="B493" s="21" t="s">
        <v>1045</v>
      </c>
      <c r="C493" s="26" t="s">
        <v>44</v>
      </c>
      <c r="D493" s="163">
        <v>6088</v>
      </c>
      <c r="E493" s="166">
        <v>60088</v>
      </c>
      <c r="F493" s="92" t="s">
        <v>152</v>
      </c>
      <c r="G493" s="20" t="s">
        <v>149</v>
      </c>
      <c r="H493" s="18">
        <v>899703</v>
      </c>
      <c r="I493" s="18">
        <v>44</v>
      </c>
      <c r="J493" s="4" t="s">
        <v>12</v>
      </c>
      <c r="K493" s="26" t="s">
        <v>15</v>
      </c>
      <c r="L493" s="172">
        <v>29</v>
      </c>
      <c r="M493" s="6">
        <v>2</v>
      </c>
      <c r="N493" s="6"/>
      <c r="O493" s="6">
        <v>0</v>
      </c>
      <c r="P493" s="6"/>
      <c r="Q493" s="7">
        <v>2</v>
      </c>
      <c r="R493" s="6"/>
      <c r="S493" s="1">
        <v>0</v>
      </c>
      <c r="U493" s="1">
        <v>0</v>
      </c>
      <c r="W493" s="1" t="str">
        <f t="shared" si="7"/>
        <v>No</v>
      </c>
    </row>
    <row r="494" spans="1:23" s="1" customFormat="1" ht="11.25">
      <c r="A494" s="2" t="s">
        <v>1443</v>
      </c>
      <c r="B494" s="21" t="s">
        <v>321</v>
      </c>
      <c r="C494" s="26" t="s">
        <v>71</v>
      </c>
      <c r="D494" s="163">
        <v>5166</v>
      </c>
      <c r="E494" s="166">
        <v>50166</v>
      </c>
      <c r="F494" s="92" t="s">
        <v>152</v>
      </c>
      <c r="G494" s="20" t="s">
        <v>149</v>
      </c>
      <c r="H494" s="18">
        <v>1624827</v>
      </c>
      <c r="I494" s="18">
        <v>44</v>
      </c>
      <c r="J494" s="4" t="s">
        <v>12</v>
      </c>
      <c r="K494" s="26" t="s">
        <v>11</v>
      </c>
      <c r="L494" s="172">
        <v>9</v>
      </c>
      <c r="M494" s="6">
        <v>0</v>
      </c>
      <c r="N494" s="6"/>
      <c r="O494" s="6">
        <v>0</v>
      </c>
      <c r="P494" s="6"/>
      <c r="Q494" s="7">
        <v>0</v>
      </c>
      <c r="R494" s="6"/>
      <c r="S494" s="1">
        <v>0</v>
      </c>
      <c r="U494" s="1">
        <v>0</v>
      </c>
      <c r="W494" s="1" t="str">
        <f t="shared" si="7"/>
        <v>No</v>
      </c>
    </row>
    <row r="495" spans="1:23" s="1" customFormat="1" ht="11.25">
      <c r="A495" s="2" t="s">
        <v>709</v>
      </c>
      <c r="B495" s="21" t="s">
        <v>710</v>
      </c>
      <c r="C495" s="26" t="s">
        <v>74</v>
      </c>
      <c r="D495" s="163">
        <v>57</v>
      </c>
      <c r="E495" s="166">
        <v>57</v>
      </c>
      <c r="F495" s="92" t="s">
        <v>188</v>
      </c>
      <c r="G495" s="20" t="s">
        <v>149</v>
      </c>
      <c r="H495" s="18">
        <v>83794</v>
      </c>
      <c r="I495" s="18">
        <v>44</v>
      </c>
      <c r="J495" s="4" t="s">
        <v>12</v>
      </c>
      <c r="K495" s="26" t="s">
        <v>15</v>
      </c>
      <c r="L495" s="172">
        <v>12</v>
      </c>
      <c r="M495" s="6">
        <v>1</v>
      </c>
      <c r="N495" s="6"/>
      <c r="O495" s="6">
        <v>0</v>
      </c>
      <c r="P495" s="6"/>
      <c r="Q495" s="7">
        <v>1</v>
      </c>
      <c r="R495" s="6"/>
      <c r="S495" s="1">
        <v>0</v>
      </c>
      <c r="U495" s="1">
        <v>0</v>
      </c>
      <c r="W495" s="1" t="str">
        <f t="shared" si="7"/>
        <v>No</v>
      </c>
    </row>
    <row r="496" spans="1:23" s="1" customFormat="1" ht="11.25">
      <c r="A496" s="2" t="s">
        <v>878</v>
      </c>
      <c r="B496" s="21" t="s">
        <v>258</v>
      </c>
      <c r="C496" s="26" t="s">
        <v>52</v>
      </c>
      <c r="D496" s="163">
        <v>5092</v>
      </c>
      <c r="E496" s="166">
        <v>50092</v>
      </c>
      <c r="F496" s="92" t="s">
        <v>152</v>
      </c>
      <c r="G496" s="20" t="s">
        <v>149</v>
      </c>
      <c r="H496" s="18">
        <v>107677</v>
      </c>
      <c r="I496" s="18">
        <v>44</v>
      </c>
      <c r="J496" s="4" t="s">
        <v>12</v>
      </c>
      <c r="K496" s="26" t="s">
        <v>15</v>
      </c>
      <c r="L496" s="172">
        <v>38</v>
      </c>
      <c r="M496" s="6">
        <v>1</v>
      </c>
      <c r="N496" s="6"/>
      <c r="O496" s="6">
        <v>0</v>
      </c>
      <c r="P496" s="6"/>
      <c r="Q496" s="7">
        <v>1</v>
      </c>
      <c r="R496" s="6"/>
      <c r="S496" s="1">
        <v>0</v>
      </c>
      <c r="U496" s="1">
        <v>0</v>
      </c>
      <c r="W496" s="1" t="str">
        <f t="shared" si="7"/>
        <v>No</v>
      </c>
    </row>
    <row r="497" spans="1:23" s="1" customFormat="1" ht="11.25">
      <c r="A497" s="2" t="s">
        <v>630</v>
      </c>
      <c r="B497" s="21" t="s">
        <v>631</v>
      </c>
      <c r="C497" s="26" t="s">
        <v>39</v>
      </c>
      <c r="D497" s="163">
        <v>5047</v>
      </c>
      <c r="E497" s="166">
        <v>50047</v>
      </c>
      <c r="F497" s="92" t="s">
        <v>160</v>
      </c>
      <c r="G497" s="20" t="s">
        <v>149</v>
      </c>
      <c r="H497" s="18">
        <v>132600</v>
      </c>
      <c r="I497" s="18">
        <v>44</v>
      </c>
      <c r="J497" s="4" t="s">
        <v>12</v>
      </c>
      <c r="K497" s="26" t="s">
        <v>11</v>
      </c>
      <c r="L497" s="172">
        <v>31</v>
      </c>
      <c r="M497" s="6">
        <v>1</v>
      </c>
      <c r="N497" s="6"/>
      <c r="O497" s="6">
        <v>0</v>
      </c>
      <c r="P497" s="6"/>
      <c r="Q497" s="7">
        <v>1</v>
      </c>
      <c r="R497" s="6"/>
      <c r="S497" s="1">
        <v>3</v>
      </c>
      <c r="U497" s="1">
        <v>0</v>
      </c>
      <c r="W497" s="1" t="str">
        <f t="shared" si="7"/>
        <v>No</v>
      </c>
    </row>
    <row r="498" spans="1:23" s="1" customFormat="1" ht="11.25">
      <c r="A498" s="2" t="s">
        <v>709</v>
      </c>
      <c r="B498" s="21" t="s">
        <v>710</v>
      </c>
      <c r="C498" s="26" t="s">
        <v>74</v>
      </c>
      <c r="D498" s="163">
        <v>57</v>
      </c>
      <c r="E498" s="166">
        <v>57</v>
      </c>
      <c r="F498" s="92" t="s">
        <v>188</v>
      </c>
      <c r="G498" s="20" t="s">
        <v>149</v>
      </c>
      <c r="H498" s="18">
        <v>83794</v>
      </c>
      <c r="I498" s="18">
        <v>44</v>
      </c>
      <c r="J498" s="4" t="s">
        <v>21</v>
      </c>
      <c r="K498" s="26" t="s">
        <v>11</v>
      </c>
      <c r="L498" s="172">
        <v>12</v>
      </c>
      <c r="M498" s="6">
        <v>1</v>
      </c>
      <c r="N498" s="6"/>
      <c r="O498" s="6">
        <v>0</v>
      </c>
      <c r="P498" s="6"/>
      <c r="Q498" s="7">
        <v>1</v>
      </c>
      <c r="R498" s="6"/>
      <c r="S498" s="1">
        <v>0</v>
      </c>
      <c r="U498" s="1">
        <v>0</v>
      </c>
      <c r="W498" s="1" t="str">
        <f t="shared" si="7"/>
        <v>No</v>
      </c>
    </row>
    <row r="499" spans="1:23" s="1" customFormat="1" ht="11.25">
      <c r="A499" s="2" t="s">
        <v>379</v>
      </c>
      <c r="B499" s="21" t="s">
        <v>380</v>
      </c>
      <c r="C499" s="26" t="s">
        <v>84</v>
      </c>
      <c r="D499" s="163">
        <v>6103</v>
      </c>
      <c r="E499" s="166">
        <v>60103</v>
      </c>
      <c r="F499" s="92" t="s">
        <v>152</v>
      </c>
      <c r="G499" s="20" t="s">
        <v>149</v>
      </c>
      <c r="H499" s="18">
        <v>4944332</v>
      </c>
      <c r="I499" s="18">
        <v>44</v>
      </c>
      <c r="J499" s="4" t="s">
        <v>21</v>
      </c>
      <c r="K499" s="26" t="s">
        <v>15</v>
      </c>
      <c r="L499" s="172">
        <v>20</v>
      </c>
      <c r="M499" s="6">
        <v>0</v>
      </c>
      <c r="N499" s="6"/>
      <c r="O499" s="6">
        <v>0</v>
      </c>
      <c r="P499" s="6"/>
      <c r="Q499" s="7">
        <v>0</v>
      </c>
      <c r="R499" s="6"/>
      <c r="S499" s="1">
        <v>0</v>
      </c>
      <c r="U499" s="1">
        <v>0</v>
      </c>
      <c r="W499" s="1" t="str">
        <f t="shared" si="7"/>
        <v>No</v>
      </c>
    </row>
    <row r="500" spans="1:23" s="1" customFormat="1" ht="11.25">
      <c r="A500" s="2" t="s">
        <v>1298</v>
      </c>
      <c r="B500" s="21" t="s">
        <v>1299</v>
      </c>
      <c r="C500" s="26" t="s">
        <v>69</v>
      </c>
      <c r="D500" s="163">
        <v>2099</v>
      </c>
      <c r="E500" s="166">
        <v>20099</v>
      </c>
      <c r="F500" s="92" t="s">
        <v>160</v>
      </c>
      <c r="G500" s="20" t="s">
        <v>149</v>
      </c>
      <c r="H500" s="18">
        <v>18351295</v>
      </c>
      <c r="I500" s="18">
        <v>44</v>
      </c>
      <c r="J500" s="4" t="s">
        <v>24</v>
      </c>
      <c r="K500" s="26" t="s">
        <v>11</v>
      </c>
      <c r="L500" s="172">
        <v>44</v>
      </c>
      <c r="M500" s="6">
        <v>5</v>
      </c>
      <c r="N500" s="6"/>
      <c r="O500" s="6">
        <v>16</v>
      </c>
      <c r="P500" s="6"/>
      <c r="Q500" s="7">
        <v>21</v>
      </c>
      <c r="R500" s="6"/>
      <c r="S500" s="1">
        <v>1</v>
      </c>
      <c r="U500" s="1">
        <v>0</v>
      </c>
      <c r="W500" s="1" t="str">
        <f t="shared" si="7"/>
        <v>No</v>
      </c>
    </row>
    <row r="501" spans="1:23" s="1" customFormat="1" ht="11.25">
      <c r="A501" s="2" t="s">
        <v>1657</v>
      </c>
      <c r="B501" s="21" t="s">
        <v>865</v>
      </c>
      <c r="C501" s="26" t="s">
        <v>19</v>
      </c>
      <c r="D501" s="163">
        <v>9088</v>
      </c>
      <c r="E501" s="166">
        <v>90088</v>
      </c>
      <c r="F501" s="92" t="s">
        <v>160</v>
      </c>
      <c r="G501" s="20" t="s">
        <v>149</v>
      </c>
      <c r="H501" s="18">
        <v>83913</v>
      </c>
      <c r="I501" s="18">
        <v>43</v>
      </c>
      <c r="J501" s="4" t="s">
        <v>12</v>
      </c>
      <c r="K501" s="26" t="s">
        <v>15</v>
      </c>
      <c r="L501" s="172">
        <v>24</v>
      </c>
      <c r="M501" s="6">
        <v>2</v>
      </c>
      <c r="N501" s="6"/>
      <c r="O501" s="6">
        <v>0</v>
      </c>
      <c r="P501" s="6"/>
      <c r="Q501" s="7">
        <v>2</v>
      </c>
      <c r="R501" s="6"/>
      <c r="S501" s="1">
        <v>0</v>
      </c>
      <c r="U501" s="1">
        <v>0</v>
      </c>
      <c r="W501" s="1" t="str">
        <f t="shared" si="7"/>
        <v>No</v>
      </c>
    </row>
    <row r="502" spans="1:23" s="1" customFormat="1" ht="11.25">
      <c r="A502" s="2" t="s">
        <v>791</v>
      </c>
      <c r="B502" s="21" t="s">
        <v>792</v>
      </c>
      <c r="C502" s="26" t="s">
        <v>19</v>
      </c>
      <c r="D502" s="163">
        <v>9092</v>
      </c>
      <c r="E502" s="166">
        <v>90092</v>
      </c>
      <c r="F502" s="92" t="s">
        <v>152</v>
      </c>
      <c r="G502" s="20" t="s">
        <v>149</v>
      </c>
      <c r="H502" s="18">
        <v>133683</v>
      </c>
      <c r="I502" s="18">
        <v>43</v>
      </c>
      <c r="J502" s="4" t="s">
        <v>21</v>
      </c>
      <c r="K502" s="26" t="s">
        <v>15</v>
      </c>
      <c r="L502" s="172">
        <v>17</v>
      </c>
      <c r="M502" s="6">
        <v>1</v>
      </c>
      <c r="N502" s="6"/>
      <c r="O502" s="6">
        <v>0</v>
      </c>
      <c r="P502" s="6"/>
      <c r="Q502" s="7">
        <v>1</v>
      </c>
      <c r="R502" s="6"/>
      <c r="S502" s="1">
        <v>2</v>
      </c>
      <c r="U502" s="1">
        <v>0</v>
      </c>
      <c r="W502" s="1" t="str">
        <f t="shared" si="7"/>
        <v>No</v>
      </c>
    </row>
    <row r="503" spans="1:23" s="1" customFormat="1" ht="11.25">
      <c r="A503" s="2" t="s">
        <v>90</v>
      </c>
      <c r="B503" s="21" t="s">
        <v>1444</v>
      </c>
      <c r="C503" s="26" t="s">
        <v>88</v>
      </c>
      <c r="D503" s="163">
        <v>43</v>
      </c>
      <c r="E503" s="166">
        <v>43</v>
      </c>
      <c r="F503" s="92" t="s">
        <v>160</v>
      </c>
      <c r="G503" s="20" t="s">
        <v>149</v>
      </c>
      <c r="H503" s="18">
        <v>67227</v>
      </c>
      <c r="I503" s="18">
        <v>43</v>
      </c>
      <c r="J503" s="4" t="s">
        <v>12</v>
      </c>
      <c r="K503" s="26" t="s">
        <v>11</v>
      </c>
      <c r="L503" s="172">
        <v>30</v>
      </c>
      <c r="M503" s="6">
        <v>1</v>
      </c>
      <c r="N503" s="6"/>
      <c r="O503" s="6">
        <v>0</v>
      </c>
      <c r="P503" s="6"/>
      <c r="Q503" s="7">
        <v>1</v>
      </c>
      <c r="R503" s="6"/>
      <c r="S503" s="1">
        <v>1</v>
      </c>
      <c r="U503" s="1">
        <v>0</v>
      </c>
      <c r="W503" s="1" t="str">
        <f t="shared" si="7"/>
        <v>No</v>
      </c>
    </row>
    <row r="504" spans="1:23" s="1" customFormat="1" ht="11.25">
      <c r="A504" s="2" t="s">
        <v>791</v>
      </c>
      <c r="B504" s="21" t="s">
        <v>792</v>
      </c>
      <c r="C504" s="26" t="s">
        <v>19</v>
      </c>
      <c r="D504" s="163">
        <v>9092</v>
      </c>
      <c r="E504" s="166">
        <v>90092</v>
      </c>
      <c r="F504" s="92" t="s">
        <v>152</v>
      </c>
      <c r="G504" s="20" t="s">
        <v>149</v>
      </c>
      <c r="H504" s="18">
        <v>133683</v>
      </c>
      <c r="I504" s="18">
        <v>43</v>
      </c>
      <c r="J504" s="4" t="s">
        <v>12</v>
      </c>
      <c r="K504" s="26" t="s">
        <v>15</v>
      </c>
      <c r="L504" s="172">
        <v>17</v>
      </c>
      <c r="M504" s="6">
        <v>1</v>
      </c>
      <c r="N504" s="6"/>
      <c r="O504" s="6">
        <v>0</v>
      </c>
      <c r="P504" s="6"/>
      <c r="Q504" s="7">
        <v>1</v>
      </c>
      <c r="R504" s="6"/>
      <c r="S504" s="1">
        <v>2</v>
      </c>
      <c r="U504" s="1">
        <v>0</v>
      </c>
      <c r="W504" s="1" t="str">
        <f t="shared" si="7"/>
        <v>No</v>
      </c>
    </row>
    <row r="505" spans="1:23" s="1" customFormat="1" ht="11.25">
      <c r="A505" s="2" t="s">
        <v>1657</v>
      </c>
      <c r="B505" s="21" t="s">
        <v>865</v>
      </c>
      <c r="C505" s="26" t="s">
        <v>19</v>
      </c>
      <c r="D505" s="163">
        <v>9088</v>
      </c>
      <c r="E505" s="166">
        <v>90088</v>
      </c>
      <c r="F505" s="92" t="s">
        <v>160</v>
      </c>
      <c r="G505" s="20" t="s">
        <v>149</v>
      </c>
      <c r="H505" s="18">
        <v>83913</v>
      </c>
      <c r="I505" s="18">
        <v>43</v>
      </c>
      <c r="J505" s="4" t="s">
        <v>21</v>
      </c>
      <c r="K505" s="26" t="s">
        <v>15</v>
      </c>
      <c r="L505" s="172">
        <v>7</v>
      </c>
      <c r="M505" s="6">
        <v>2</v>
      </c>
      <c r="N505" s="6"/>
      <c r="O505" s="6">
        <v>0</v>
      </c>
      <c r="P505" s="6"/>
      <c r="Q505" s="7">
        <v>2</v>
      </c>
      <c r="R505" s="6"/>
      <c r="S505" s="1">
        <v>0</v>
      </c>
      <c r="U505" s="1">
        <v>0</v>
      </c>
      <c r="W505" s="1" t="str">
        <f t="shared" si="7"/>
        <v>No</v>
      </c>
    </row>
    <row r="506" spans="1:23" s="1" customFormat="1" ht="11.25">
      <c r="A506" s="2" t="s">
        <v>986</v>
      </c>
      <c r="B506" s="21" t="s">
        <v>987</v>
      </c>
      <c r="C506" s="26" t="s">
        <v>40</v>
      </c>
      <c r="D506" s="163">
        <v>5044</v>
      </c>
      <c r="E506" s="166">
        <v>50044</v>
      </c>
      <c r="F506" s="92" t="s">
        <v>160</v>
      </c>
      <c r="G506" s="20" t="s">
        <v>149</v>
      </c>
      <c r="H506" s="18">
        <v>313492</v>
      </c>
      <c r="I506" s="18">
        <v>43</v>
      </c>
      <c r="J506" s="4" t="s">
        <v>12</v>
      </c>
      <c r="K506" s="26" t="s">
        <v>11</v>
      </c>
      <c r="L506" s="172">
        <v>28</v>
      </c>
      <c r="M506" s="6">
        <v>2</v>
      </c>
      <c r="N506" s="6"/>
      <c r="O506" s="6">
        <v>0</v>
      </c>
      <c r="P506" s="6"/>
      <c r="Q506" s="7">
        <v>2</v>
      </c>
      <c r="R506" s="6"/>
      <c r="S506" s="1">
        <v>0</v>
      </c>
      <c r="U506" s="1">
        <v>0</v>
      </c>
      <c r="W506" s="1" t="str">
        <f t="shared" si="7"/>
        <v>No</v>
      </c>
    </row>
    <row r="507" spans="1:23" s="1" customFormat="1" ht="11.25">
      <c r="A507" s="2" t="s">
        <v>1006</v>
      </c>
      <c r="B507" s="21" t="s">
        <v>1007</v>
      </c>
      <c r="C507" s="26" t="s">
        <v>86</v>
      </c>
      <c r="D507" s="163">
        <v>3008</v>
      </c>
      <c r="E507" s="166">
        <v>30008</v>
      </c>
      <c r="F507" s="92" t="s">
        <v>160</v>
      </c>
      <c r="G507" s="20" t="s">
        <v>149</v>
      </c>
      <c r="H507" s="18">
        <v>116636</v>
      </c>
      <c r="I507" s="18">
        <v>43</v>
      </c>
      <c r="J507" s="4" t="s">
        <v>12</v>
      </c>
      <c r="K507" s="26" t="s">
        <v>11</v>
      </c>
      <c r="L507" s="172">
        <v>32</v>
      </c>
      <c r="M507" s="6">
        <v>1</v>
      </c>
      <c r="N507" s="6"/>
      <c r="O507" s="6">
        <v>0</v>
      </c>
      <c r="P507" s="6"/>
      <c r="Q507" s="7">
        <v>1</v>
      </c>
      <c r="R507" s="6"/>
      <c r="S507" s="1">
        <v>1</v>
      </c>
      <c r="U507" s="1">
        <v>0</v>
      </c>
      <c r="W507" s="1" t="str">
        <f t="shared" si="7"/>
        <v>No</v>
      </c>
    </row>
    <row r="508" spans="1:23" s="1" customFormat="1" ht="11.25">
      <c r="A508" s="2" t="s">
        <v>1380</v>
      </c>
      <c r="B508" s="21" t="s">
        <v>329</v>
      </c>
      <c r="C508" s="26" t="s">
        <v>57</v>
      </c>
      <c r="D508" s="163">
        <v>4006</v>
      </c>
      <c r="E508" s="166">
        <v>40006</v>
      </c>
      <c r="F508" s="92" t="s">
        <v>160</v>
      </c>
      <c r="G508" s="20" t="s">
        <v>149</v>
      </c>
      <c r="H508" s="18">
        <v>219957</v>
      </c>
      <c r="I508" s="18">
        <v>42</v>
      </c>
      <c r="J508" s="4" t="s">
        <v>12</v>
      </c>
      <c r="K508" s="26" t="s">
        <v>15</v>
      </c>
      <c r="L508" s="172">
        <v>25</v>
      </c>
      <c r="M508" s="6">
        <v>1</v>
      </c>
      <c r="N508" s="6"/>
      <c r="O508" s="6">
        <v>0</v>
      </c>
      <c r="P508" s="6"/>
      <c r="Q508" s="7">
        <v>1</v>
      </c>
      <c r="R508" s="6"/>
      <c r="S508" s="1">
        <v>0</v>
      </c>
      <c r="U508" s="1">
        <v>0</v>
      </c>
      <c r="W508" s="1" t="str">
        <f t="shared" si="7"/>
        <v>No</v>
      </c>
    </row>
    <row r="509" spans="1:23" s="1" customFormat="1" ht="11.25">
      <c r="A509" s="2" t="s">
        <v>935</v>
      </c>
      <c r="B509" s="21" t="s">
        <v>838</v>
      </c>
      <c r="C509" s="26" t="s">
        <v>29</v>
      </c>
      <c r="D509" s="163">
        <v>1056</v>
      </c>
      <c r="E509" s="166">
        <v>10056</v>
      </c>
      <c r="F509" s="92" t="s">
        <v>269</v>
      </c>
      <c r="G509" s="20" t="s">
        <v>149</v>
      </c>
      <c r="H509" s="18">
        <v>923311</v>
      </c>
      <c r="I509" s="18">
        <v>42</v>
      </c>
      <c r="J509" s="4" t="s">
        <v>12</v>
      </c>
      <c r="K509" s="26" t="s">
        <v>11</v>
      </c>
      <c r="L509" s="172">
        <v>42</v>
      </c>
      <c r="M509" s="6">
        <v>0</v>
      </c>
      <c r="N509" s="6"/>
      <c r="O509" s="6">
        <v>0</v>
      </c>
      <c r="P509" s="6"/>
      <c r="Q509" s="7">
        <v>0</v>
      </c>
      <c r="R509" s="6"/>
      <c r="S509" s="1">
        <v>0</v>
      </c>
      <c r="U509" s="1">
        <v>0</v>
      </c>
      <c r="W509" s="1" t="str">
        <f t="shared" si="7"/>
        <v>No</v>
      </c>
    </row>
    <row r="510" spans="1:23" s="1" customFormat="1" ht="11.25">
      <c r="A510" s="2" t="s">
        <v>1425</v>
      </c>
      <c r="B510" s="21" t="s">
        <v>296</v>
      </c>
      <c r="C510" s="26" t="s">
        <v>71</v>
      </c>
      <c r="D510" s="163">
        <v>5157</v>
      </c>
      <c r="E510" s="166">
        <v>50157</v>
      </c>
      <c r="F510" s="92" t="s">
        <v>160</v>
      </c>
      <c r="G510" s="20" t="s">
        <v>149</v>
      </c>
      <c r="H510" s="18">
        <v>1624827</v>
      </c>
      <c r="I510" s="18">
        <v>42</v>
      </c>
      <c r="J510" s="4" t="s">
        <v>21</v>
      </c>
      <c r="K510" s="26" t="s">
        <v>11</v>
      </c>
      <c r="L510" s="172">
        <v>7</v>
      </c>
      <c r="M510" s="6">
        <v>0</v>
      </c>
      <c r="N510" s="6"/>
      <c r="O510" s="6">
        <v>0</v>
      </c>
      <c r="P510" s="6"/>
      <c r="Q510" s="7">
        <v>0</v>
      </c>
      <c r="R510" s="6"/>
      <c r="S510" s="1">
        <v>0</v>
      </c>
      <c r="U510" s="1">
        <v>0</v>
      </c>
      <c r="W510" s="1" t="str">
        <f t="shared" si="7"/>
        <v>No</v>
      </c>
    </row>
    <row r="511" spans="1:23" s="1" customFormat="1" ht="11.25">
      <c r="A511" s="2" t="s">
        <v>410</v>
      </c>
      <c r="B511" s="21" t="s">
        <v>411</v>
      </c>
      <c r="C511" s="26" t="s">
        <v>92</v>
      </c>
      <c r="D511" s="163" t="s">
        <v>412</v>
      </c>
      <c r="E511" s="166">
        <v>55228</v>
      </c>
      <c r="F511" s="92" t="s">
        <v>397</v>
      </c>
      <c r="G511" s="20" t="s">
        <v>1490</v>
      </c>
      <c r="H511" s="18">
        <v>0</v>
      </c>
      <c r="I511" s="18">
        <v>42</v>
      </c>
      <c r="J511" s="4" t="s">
        <v>12</v>
      </c>
      <c r="K511" s="26" t="s">
        <v>11</v>
      </c>
      <c r="L511" s="172">
        <v>9</v>
      </c>
      <c r="M511" s="6">
        <v>0</v>
      </c>
      <c r="N511" s="6"/>
      <c r="O511" s="6">
        <v>0</v>
      </c>
      <c r="P511" s="6"/>
      <c r="Q511" s="7">
        <v>0</v>
      </c>
      <c r="R511" s="6"/>
      <c r="S511" s="1">
        <v>0</v>
      </c>
      <c r="U511" s="1">
        <v>0</v>
      </c>
      <c r="W511" s="1" t="str">
        <f t="shared" si="7"/>
        <v>No</v>
      </c>
    </row>
    <row r="512" spans="1:23" s="1" customFormat="1" ht="11.25">
      <c r="A512" s="2" t="s">
        <v>1839</v>
      </c>
      <c r="B512" s="21" t="s">
        <v>1026</v>
      </c>
      <c r="C512" s="26" t="s">
        <v>29</v>
      </c>
      <c r="D512" s="163">
        <v>1051</v>
      </c>
      <c r="E512" s="166">
        <v>10051</v>
      </c>
      <c r="F512" s="92" t="s">
        <v>160</v>
      </c>
      <c r="G512" s="20" t="s">
        <v>149</v>
      </c>
      <c r="H512" s="18">
        <v>168136</v>
      </c>
      <c r="I512" s="18">
        <v>42</v>
      </c>
      <c r="J512" s="4" t="s">
        <v>12</v>
      </c>
      <c r="K512" s="26" t="s">
        <v>11</v>
      </c>
      <c r="L512" s="172">
        <v>28</v>
      </c>
      <c r="M512" s="6">
        <v>0</v>
      </c>
      <c r="N512" s="6"/>
      <c r="O512" s="6">
        <v>0</v>
      </c>
      <c r="P512" s="6"/>
      <c r="Q512" s="7">
        <v>0</v>
      </c>
      <c r="R512" s="6"/>
      <c r="S512" s="1">
        <v>0</v>
      </c>
      <c r="U512" s="1">
        <v>0</v>
      </c>
      <c r="W512" s="1" t="str">
        <f t="shared" si="7"/>
        <v>No</v>
      </c>
    </row>
    <row r="513" spans="1:23" s="1" customFormat="1" ht="11.25">
      <c r="A513" s="2" t="s">
        <v>1027</v>
      </c>
      <c r="B513" s="21" t="s">
        <v>1028</v>
      </c>
      <c r="C513" s="26" t="s">
        <v>47</v>
      </c>
      <c r="D513" s="163">
        <v>3048</v>
      </c>
      <c r="E513" s="166">
        <v>30048</v>
      </c>
      <c r="F513" s="92" t="s">
        <v>152</v>
      </c>
      <c r="G513" s="20" t="s">
        <v>149</v>
      </c>
      <c r="H513" s="18">
        <v>2203663</v>
      </c>
      <c r="I513" s="18">
        <v>42</v>
      </c>
      <c r="J513" s="4" t="s">
        <v>12</v>
      </c>
      <c r="K513" s="26" t="s">
        <v>15</v>
      </c>
      <c r="L513" s="172">
        <v>17</v>
      </c>
      <c r="M513" s="6">
        <v>1</v>
      </c>
      <c r="N513" s="6"/>
      <c r="O513" s="6">
        <v>0</v>
      </c>
      <c r="P513" s="6"/>
      <c r="Q513" s="7">
        <v>1</v>
      </c>
      <c r="R513" s="6"/>
      <c r="S513" s="1">
        <v>0</v>
      </c>
      <c r="U513" s="1">
        <v>0</v>
      </c>
      <c r="W513" s="1" t="str">
        <f t="shared" si="7"/>
        <v>No</v>
      </c>
    </row>
    <row r="514" spans="1:23" s="1" customFormat="1" ht="11.25">
      <c r="A514" s="2" t="s">
        <v>1270</v>
      </c>
      <c r="B514" s="21" t="s">
        <v>1271</v>
      </c>
      <c r="C514" s="26" t="s">
        <v>82</v>
      </c>
      <c r="D514" s="163">
        <v>8002</v>
      </c>
      <c r="E514" s="166">
        <v>80002</v>
      </c>
      <c r="F514" s="92" t="s">
        <v>323</v>
      </c>
      <c r="G514" s="20" t="s">
        <v>149</v>
      </c>
      <c r="H514" s="18">
        <v>156777</v>
      </c>
      <c r="I514" s="18">
        <v>42</v>
      </c>
      <c r="J514" s="4" t="s">
        <v>12</v>
      </c>
      <c r="K514" s="26" t="s">
        <v>11</v>
      </c>
      <c r="L514" s="172">
        <v>22</v>
      </c>
      <c r="M514" s="6">
        <v>2</v>
      </c>
      <c r="N514" s="6"/>
      <c r="O514" s="6">
        <v>0</v>
      </c>
      <c r="P514" s="6"/>
      <c r="Q514" s="7">
        <v>2</v>
      </c>
      <c r="R514" s="6"/>
      <c r="S514" s="1">
        <v>0</v>
      </c>
      <c r="U514" s="1">
        <v>0</v>
      </c>
      <c r="W514" s="1" t="str">
        <f t="shared" ref="W514:W577" si="8">IF(V514&amp;T514&amp;R514&amp;P514&amp;N514&lt;&gt;"","Yes","No")</f>
        <v>No</v>
      </c>
    </row>
    <row r="515" spans="1:23" s="1" customFormat="1" ht="11.25">
      <c r="A515" s="2" t="s">
        <v>1425</v>
      </c>
      <c r="B515" s="21" t="s">
        <v>296</v>
      </c>
      <c r="C515" s="26" t="s">
        <v>71</v>
      </c>
      <c r="D515" s="163">
        <v>5157</v>
      </c>
      <c r="E515" s="166">
        <v>50157</v>
      </c>
      <c r="F515" s="92" t="s">
        <v>160</v>
      </c>
      <c r="G515" s="20" t="s">
        <v>149</v>
      </c>
      <c r="H515" s="18">
        <v>1624827</v>
      </c>
      <c r="I515" s="18">
        <v>42</v>
      </c>
      <c r="J515" s="4" t="s">
        <v>12</v>
      </c>
      <c r="K515" s="26" t="s">
        <v>11</v>
      </c>
      <c r="L515" s="172">
        <v>11</v>
      </c>
      <c r="M515" s="6">
        <v>0</v>
      </c>
      <c r="N515" s="6"/>
      <c r="O515" s="6">
        <v>0</v>
      </c>
      <c r="P515" s="6"/>
      <c r="Q515" s="7">
        <v>0</v>
      </c>
      <c r="R515" s="6"/>
      <c r="S515" s="1">
        <v>0</v>
      </c>
      <c r="U515" s="1">
        <v>0</v>
      </c>
      <c r="W515" s="1" t="str">
        <f t="shared" si="8"/>
        <v>No</v>
      </c>
    </row>
    <row r="516" spans="1:23" s="1" customFormat="1" ht="11.25">
      <c r="A516" s="2" t="s">
        <v>138</v>
      </c>
      <c r="B516" s="21" t="s">
        <v>165</v>
      </c>
      <c r="C516" s="26" t="s">
        <v>95</v>
      </c>
      <c r="D516" s="163">
        <v>3107</v>
      </c>
      <c r="E516" s="166">
        <v>30107</v>
      </c>
      <c r="F516" s="92" t="s">
        <v>98</v>
      </c>
      <c r="G516" s="20" t="s">
        <v>149</v>
      </c>
      <c r="H516" s="18">
        <v>70350</v>
      </c>
      <c r="I516" s="18">
        <v>42</v>
      </c>
      <c r="J516" s="4" t="s">
        <v>34</v>
      </c>
      <c r="K516" s="26" t="s">
        <v>11</v>
      </c>
      <c r="L516" s="172">
        <v>42</v>
      </c>
      <c r="M516" s="6">
        <v>7</v>
      </c>
      <c r="N516" s="6"/>
      <c r="O516" s="6">
        <v>0</v>
      </c>
      <c r="P516" s="6"/>
      <c r="Q516" s="7">
        <v>7</v>
      </c>
      <c r="R516" s="6"/>
      <c r="S516" s="1">
        <v>7</v>
      </c>
      <c r="U516" s="1">
        <v>0</v>
      </c>
      <c r="W516" s="1" t="str">
        <f t="shared" si="8"/>
        <v>No</v>
      </c>
    </row>
    <row r="517" spans="1:23" s="1" customFormat="1" ht="11.25">
      <c r="A517" s="2" t="s">
        <v>730</v>
      </c>
      <c r="B517" s="21" t="s">
        <v>731</v>
      </c>
      <c r="C517" s="26" t="s">
        <v>19</v>
      </c>
      <c r="D517" s="163">
        <v>9232</v>
      </c>
      <c r="E517" s="166">
        <v>90232</v>
      </c>
      <c r="F517" s="92" t="s">
        <v>160</v>
      </c>
      <c r="G517" s="20" t="s">
        <v>149</v>
      </c>
      <c r="H517" s="18">
        <v>165074</v>
      </c>
      <c r="I517" s="18">
        <v>41</v>
      </c>
      <c r="J517" s="4" t="s">
        <v>12</v>
      </c>
      <c r="K517" s="26" t="s">
        <v>15</v>
      </c>
      <c r="L517" s="172">
        <v>21</v>
      </c>
      <c r="M517" s="6">
        <v>2</v>
      </c>
      <c r="N517" s="6"/>
      <c r="O517" s="6">
        <v>0</v>
      </c>
      <c r="P517" s="6"/>
      <c r="Q517" s="7">
        <v>2</v>
      </c>
      <c r="R517" s="6"/>
      <c r="S517" s="1">
        <v>0</v>
      </c>
      <c r="U517" s="1">
        <v>0</v>
      </c>
      <c r="W517" s="1" t="str">
        <f t="shared" si="8"/>
        <v>No</v>
      </c>
    </row>
    <row r="518" spans="1:23" s="1" customFormat="1" ht="11.25">
      <c r="A518" s="2" t="s">
        <v>1360</v>
      </c>
      <c r="B518" s="21" t="s">
        <v>1361</v>
      </c>
      <c r="C518" s="26" t="s">
        <v>92</v>
      </c>
      <c r="D518" s="163">
        <v>5096</v>
      </c>
      <c r="E518" s="166">
        <v>50096</v>
      </c>
      <c r="F518" s="92" t="s">
        <v>152</v>
      </c>
      <c r="G518" s="20" t="s">
        <v>149</v>
      </c>
      <c r="H518" s="18">
        <v>1376476</v>
      </c>
      <c r="I518" s="18">
        <v>41</v>
      </c>
      <c r="J518" s="4" t="s">
        <v>21</v>
      </c>
      <c r="K518" s="26" t="s">
        <v>15</v>
      </c>
      <c r="L518" s="172">
        <v>13</v>
      </c>
      <c r="M518" s="6">
        <v>0</v>
      </c>
      <c r="N518" s="6"/>
      <c r="O518" s="6">
        <v>0</v>
      </c>
      <c r="P518" s="6"/>
      <c r="Q518" s="7">
        <v>0</v>
      </c>
      <c r="R518" s="6"/>
      <c r="S518" s="1">
        <v>0</v>
      </c>
      <c r="U518" s="1">
        <v>0</v>
      </c>
      <c r="W518" s="1" t="str">
        <f t="shared" si="8"/>
        <v>No</v>
      </c>
    </row>
    <row r="519" spans="1:23" s="1" customFormat="1" ht="11.25">
      <c r="A519" s="2" t="s">
        <v>1360</v>
      </c>
      <c r="B519" s="21" t="s">
        <v>1361</v>
      </c>
      <c r="C519" s="26" t="s">
        <v>92</v>
      </c>
      <c r="D519" s="163">
        <v>5096</v>
      </c>
      <c r="E519" s="166">
        <v>50096</v>
      </c>
      <c r="F519" s="92" t="s">
        <v>152</v>
      </c>
      <c r="G519" s="20" t="s">
        <v>149</v>
      </c>
      <c r="H519" s="18">
        <v>1376476</v>
      </c>
      <c r="I519" s="18">
        <v>41</v>
      </c>
      <c r="J519" s="4" t="s">
        <v>12</v>
      </c>
      <c r="K519" s="26" t="s">
        <v>11</v>
      </c>
      <c r="L519" s="172">
        <v>20</v>
      </c>
      <c r="M519" s="6">
        <v>1</v>
      </c>
      <c r="N519" s="6"/>
      <c r="O519" s="6">
        <v>0</v>
      </c>
      <c r="P519" s="6"/>
      <c r="Q519" s="7">
        <v>1</v>
      </c>
      <c r="R519" s="6"/>
      <c r="S519" s="1">
        <v>2</v>
      </c>
      <c r="U519" s="1">
        <v>0</v>
      </c>
      <c r="W519" s="1" t="str">
        <f t="shared" si="8"/>
        <v>No</v>
      </c>
    </row>
    <row r="520" spans="1:23" s="1" customFormat="1" ht="11.25">
      <c r="A520" s="2" t="s">
        <v>730</v>
      </c>
      <c r="B520" s="21" t="s">
        <v>731</v>
      </c>
      <c r="C520" s="26" t="s">
        <v>19</v>
      </c>
      <c r="D520" s="163">
        <v>9232</v>
      </c>
      <c r="E520" s="166">
        <v>90232</v>
      </c>
      <c r="F520" s="92" t="s">
        <v>160</v>
      </c>
      <c r="G520" s="20" t="s">
        <v>149</v>
      </c>
      <c r="H520" s="18">
        <v>165074</v>
      </c>
      <c r="I520" s="18">
        <v>41</v>
      </c>
      <c r="J520" s="4" t="s">
        <v>21</v>
      </c>
      <c r="K520" s="26" t="s">
        <v>15</v>
      </c>
      <c r="L520" s="172">
        <v>12</v>
      </c>
      <c r="M520" s="6">
        <v>2</v>
      </c>
      <c r="N520" s="6"/>
      <c r="O520" s="6">
        <v>0</v>
      </c>
      <c r="P520" s="6"/>
      <c r="Q520" s="7">
        <v>2</v>
      </c>
      <c r="R520" s="6"/>
      <c r="S520" s="1">
        <v>0</v>
      </c>
      <c r="U520" s="1">
        <v>0</v>
      </c>
      <c r="W520" s="1" t="str">
        <f t="shared" si="8"/>
        <v>No</v>
      </c>
    </row>
    <row r="521" spans="1:23" s="1" customFormat="1" ht="11.25">
      <c r="A521" s="2" t="s">
        <v>1840</v>
      </c>
      <c r="B521" s="21" t="s">
        <v>979</v>
      </c>
      <c r="C521" s="26" t="s">
        <v>75</v>
      </c>
      <c r="D521" s="163" t="s">
        <v>980</v>
      </c>
      <c r="E521" s="166">
        <v>30137</v>
      </c>
      <c r="F521" s="92" t="s">
        <v>160</v>
      </c>
      <c r="G521" s="20" t="s">
        <v>149</v>
      </c>
      <c r="H521" s="18">
        <v>54316</v>
      </c>
      <c r="I521" s="18">
        <v>40</v>
      </c>
      <c r="J521" s="4" t="s">
        <v>12</v>
      </c>
      <c r="K521" s="26" t="s">
        <v>11</v>
      </c>
      <c r="L521" s="172">
        <v>10</v>
      </c>
      <c r="M521" s="6">
        <v>1</v>
      </c>
      <c r="N521" s="6"/>
      <c r="O521" s="6">
        <v>0</v>
      </c>
      <c r="P521" s="6"/>
      <c r="Q521" s="7">
        <v>1</v>
      </c>
      <c r="R521" s="6"/>
      <c r="S521" s="1">
        <v>1</v>
      </c>
      <c r="U521" s="1">
        <v>0</v>
      </c>
      <c r="W521" s="1" t="str">
        <f t="shared" si="8"/>
        <v>No</v>
      </c>
    </row>
    <row r="522" spans="1:23" s="1" customFormat="1" ht="11.25">
      <c r="A522" s="2" t="s">
        <v>981</v>
      </c>
      <c r="B522" s="21" t="s">
        <v>867</v>
      </c>
      <c r="C522" s="26" t="s">
        <v>57</v>
      </c>
      <c r="D522" s="163">
        <v>4009</v>
      </c>
      <c r="E522" s="166">
        <v>40009</v>
      </c>
      <c r="F522" s="92" t="s">
        <v>152</v>
      </c>
      <c r="G522" s="20" t="s">
        <v>149</v>
      </c>
      <c r="H522" s="18">
        <v>310282</v>
      </c>
      <c r="I522" s="18">
        <v>40</v>
      </c>
      <c r="J522" s="4" t="s">
        <v>12</v>
      </c>
      <c r="K522" s="26" t="s">
        <v>15</v>
      </c>
      <c r="L522" s="172">
        <v>1</v>
      </c>
      <c r="M522" s="6">
        <v>0</v>
      </c>
      <c r="N522" s="6"/>
      <c r="O522" s="6">
        <v>0</v>
      </c>
      <c r="P522" s="6"/>
      <c r="Q522" s="7">
        <v>0</v>
      </c>
      <c r="R522" s="6"/>
      <c r="S522" s="1">
        <v>0</v>
      </c>
      <c r="U522" s="1">
        <v>0</v>
      </c>
      <c r="W522" s="1" t="str">
        <f t="shared" si="8"/>
        <v>No</v>
      </c>
    </row>
    <row r="523" spans="1:23" s="1" customFormat="1" ht="11.25">
      <c r="A523" s="2" t="s">
        <v>178</v>
      </c>
      <c r="B523" s="21" t="s">
        <v>179</v>
      </c>
      <c r="C523" s="26" t="s">
        <v>86</v>
      </c>
      <c r="D523" s="163">
        <v>3091</v>
      </c>
      <c r="E523" s="166">
        <v>30091</v>
      </c>
      <c r="F523" s="92" t="s">
        <v>152</v>
      </c>
      <c r="G523" s="20" t="s">
        <v>149</v>
      </c>
      <c r="H523" s="18">
        <v>88542</v>
      </c>
      <c r="I523" s="18">
        <v>40</v>
      </c>
      <c r="J523" s="4" t="s">
        <v>12</v>
      </c>
      <c r="K523" s="26" t="s">
        <v>11</v>
      </c>
      <c r="L523" s="172">
        <v>32</v>
      </c>
      <c r="M523" s="6">
        <v>0</v>
      </c>
      <c r="N523" s="6"/>
      <c r="O523" s="6">
        <v>0</v>
      </c>
      <c r="P523" s="6"/>
      <c r="Q523" s="7">
        <v>0</v>
      </c>
      <c r="R523" s="6"/>
      <c r="S523" s="1">
        <v>0</v>
      </c>
      <c r="U523" s="1">
        <v>0</v>
      </c>
      <c r="W523" s="1" t="str">
        <f t="shared" si="8"/>
        <v>No</v>
      </c>
    </row>
    <row r="524" spans="1:23" s="1" customFormat="1" ht="11.25">
      <c r="A524" s="2" t="s">
        <v>1234</v>
      </c>
      <c r="B524" s="21" t="s">
        <v>1235</v>
      </c>
      <c r="C524" s="26" t="s">
        <v>74</v>
      </c>
      <c r="D524" s="163">
        <v>34</v>
      </c>
      <c r="E524" s="166">
        <v>34</v>
      </c>
      <c r="F524" s="92" t="s">
        <v>160</v>
      </c>
      <c r="G524" s="20" t="s">
        <v>149</v>
      </c>
      <c r="H524" s="18">
        <v>154081</v>
      </c>
      <c r="I524" s="18">
        <v>40</v>
      </c>
      <c r="J524" s="4" t="s">
        <v>12</v>
      </c>
      <c r="K524" s="26" t="s">
        <v>11</v>
      </c>
      <c r="L524" s="172">
        <v>20</v>
      </c>
      <c r="M524" s="6">
        <v>1</v>
      </c>
      <c r="N524" s="6"/>
      <c r="O524" s="6">
        <v>0</v>
      </c>
      <c r="P524" s="6"/>
      <c r="Q524" s="7">
        <v>1</v>
      </c>
      <c r="R524" s="6"/>
      <c r="S524" s="1">
        <v>0</v>
      </c>
      <c r="U524" s="1">
        <v>0</v>
      </c>
      <c r="W524" s="1" t="str">
        <f t="shared" si="8"/>
        <v>No</v>
      </c>
    </row>
    <row r="525" spans="1:23" s="1" customFormat="1" ht="11.25">
      <c r="A525" s="2" t="s">
        <v>981</v>
      </c>
      <c r="B525" s="21" t="s">
        <v>867</v>
      </c>
      <c r="C525" s="26" t="s">
        <v>57</v>
      </c>
      <c r="D525" s="163">
        <v>4009</v>
      </c>
      <c r="E525" s="166">
        <v>40009</v>
      </c>
      <c r="F525" s="92" t="s">
        <v>152</v>
      </c>
      <c r="G525" s="20" t="s">
        <v>149</v>
      </c>
      <c r="H525" s="18">
        <v>310282</v>
      </c>
      <c r="I525" s="18">
        <v>40</v>
      </c>
      <c r="J525" s="4" t="s">
        <v>12</v>
      </c>
      <c r="K525" s="26" t="s">
        <v>11</v>
      </c>
      <c r="L525" s="172">
        <v>23</v>
      </c>
      <c r="M525" s="6">
        <v>1</v>
      </c>
      <c r="N525" s="6"/>
      <c r="O525" s="6">
        <v>0</v>
      </c>
      <c r="P525" s="6"/>
      <c r="Q525" s="7">
        <v>1</v>
      </c>
      <c r="R525" s="6"/>
      <c r="S525" s="1">
        <v>0</v>
      </c>
      <c r="U525" s="1">
        <v>0</v>
      </c>
      <c r="W525" s="1" t="str">
        <f t="shared" si="8"/>
        <v>No</v>
      </c>
    </row>
    <row r="526" spans="1:23" s="1" customFormat="1" ht="11.25">
      <c r="A526" s="2" t="s">
        <v>1445</v>
      </c>
      <c r="B526" s="21" t="s">
        <v>325</v>
      </c>
      <c r="C526" s="26" t="s">
        <v>9</v>
      </c>
      <c r="D526" s="163">
        <v>41</v>
      </c>
      <c r="E526" s="166">
        <v>41</v>
      </c>
      <c r="F526" s="92" t="s">
        <v>269</v>
      </c>
      <c r="G526" s="20" t="s">
        <v>149</v>
      </c>
      <c r="H526" s="18">
        <v>251243</v>
      </c>
      <c r="I526" s="18">
        <v>40</v>
      </c>
      <c r="J526" s="4" t="s">
        <v>10</v>
      </c>
      <c r="K526" s="26" t="s">
        <v>11</v>
      </c>
      <c r="L526" s="172">
        <v>40</v>
      </c>
      <c r="M526" s="6">
        <v>11</v>
      </c>
      <c r="N526" s="6"/>
      <c r="O526" s="6">
        <v>0</v>
      </c>
      <c r="P526" s="6"/>
      <c r="Q526" s="7">
        <v>11</v>
      </c>
      <c r="R526" s="6"/>
      <c r="S526" s="1">
        <v>2</v>
      </c>
      <c r="U526" s="1">
        <v>2</v>
      </c>
      <c r="W526" s="1" t="str">
        <f t="shared" si="8"/>
        <v>No</v>
      </c>
    </row>
    <row r="527" spans="1:23" s="1" customFormat="1" ht="11.25">
      <c r="A527" s="2" t="s">
        <v>1334</v>
      </c>
      <c r="B527" s="21" t="s">
        <v>687</v>
      </c>
      <c r="C527" s="26" t="s">
        <v>67</v>
      </c>
      <c r="D527" s="163">
        <v>6077</v>
      </c>
      <c r="E527" s="166">
        <v>60077</v>
      </c>
      <c r="F527" s="92" t="s">
        <v>152</v>
      </c>
      <c r="G527" s="20" t="s">
        <v>149</v>
      </c>
      <c r="H527" s="18">
        <v>89284</v>
      </c>
      <c r="I527" s="18">
        <v>40</v>
      </c>
      <c r="J527" s="4" t="s">
        <v>12</v>
      </c>
      <c r="K527" s="26" t="s">
        <v>11</v>
      </c>
      <c r="L527" s="172">
        <v>26</v>
      </c>
      <c r="M527" s="6">
        <v>2</v>
      </c>
      <c r="N527" s="6"/>
      <c r="O527" s="6">
        <v>0</v>
      </c>
      <c r="P527" s="6"/>
      <c r="Q527" s="7">
        <v>2</v>
      </c>
      <c r="R527" s="6"/>
      <c r="S527" s="1">
        <v>0</v>
      </c>
      <c r="U527" s="1">
        <v>0</v>
      </c>
      <c r="W527" s="1" t="str">
        <f t="shared" si="8"/>
        <v>No</v>
      </c>
    </row>
    <row r="528" spans="1:23" s="1" customFormat="1" ht="11.25">
      <c r="A528" s="2" t="s">
        <v>1189</v>
      </c>
      <c r="B528" s="21" t="s">
        <v>844</v>
      </c>
      <c r="C528" s="26" t="s">
        <v>75</v>
      </c>
      <c r="D528" s="163">
        <v>3057</v>
      </c>
      <c r="E528" s="166">
        <v>30057</v>
      </c>
      <c r="F528" s="92" t="s">
        <v>269</v>
      </c>
      <c r="G528" s="20" t="s">
        <v>149</v>
      </c>
      <c r="H528" s="18">
        <v>5441567</v>
      </c>
      <c r="I528" s="18">
        <v>40</v>
      </c>
      <c r="J528" s="4" t="s">
        <v>20</v>
      </c>
      <c r="K528" s="26" t="s">
        <v>15</v>
      </c>
      <c r="L528" s="172">
        <v>40</v>
      </c>
      <c r="M528" s="6">
        <v>5</v>
      </c>
      <c r="N528" s="6"/>
      <c r="O528" s="6">
        <v>7</v>
      </c>
      <c r="P528" s="6"/>
      <c r="Q528" s="7">
        <v>12</v>
      </c>
      <c r="R528" s="6"/>
      <c r="S528" s="1">
        <v>15</v>
      </c>
      <c r="U528" s="1">
        <v>9</v>
      </c>
      <c r="W528" s="1" t="str">
        <f t="shared" si="8"/>
        <v>No</v>
      </c>
    </row>
    <row r="529" spans="1:23" s="1" customFormat="1" ht="11.25">
      <c r="A529" s="2" t="s">
        <v>1658</v>
      </c>
      <c r="B529" s="21" t="s">
        <v>189</v>
      </c>
      <c r="C529" s="26" t="s">
        <v>19</v>
      </c>
      <c r="D529" s="163">
        <v>9196</v>
      </c>
      <c r="E529" s="166">
        <v>90196</v>
      </c>
      <c r="F529" s="92" t="s">
        <v>152</v>
      </c>
      <c r="G529" s="20" t="s">
        <v>149</v>
      </c>
      <c r="H529" s="18">
        <v>1723634</v>
      </c>
      <c r="I529" s="18">
        <v>39</v>
      </c>
      <c r="J529" s="4" t="s">
        <v>21</v>
      </c>
      <c r="K529" s="26" t="s">
        <v>15</v>
      </c>
      <c r="L529" s="172">
        <v>4</v>
      </c>
      <c r="M529" s="6">
        <v>0</v>
      </c>
      <c r="N529" s="6"/>
      <c r="O529" s="6">
        <v>0</v>
      </c>
      <c r="P529" s="6"/>
      <c r="Q529" s="7">
        <v>0</v>
      </c>
      <c r="R529" s="6"/>
      <c r="S529" s="1">
        <v>0</v>
      </c>
      <c r="U529" s="1">
        <v>0</v>
      </c>
      <c r="W529" s="1" t="str">
        <f t="shared" si="8"/>
        <v>No</v>
      </c>
    </row>
    <row r="530" spans="1:23" s="1" customFormat="1" ht="11.25">
      <c r="A530" s="2" t="s">
        <v>901</v>
      </c>
      <c r="B530" s="21" t="s">
        <v>212</v>
      </c>
      <c r="C530" s="26" t="s">
        <v>19</v>
      </c>
      <c r="D530" s="163">
        <v>9091</v>
      </c>
      <c r="E530" s="166">
        <v>90091</v>
      </c>
      <c r="F530" s="92" t="s">
        <v>152</v>
      </c>
      <c r="G530" s="20" t="s">
        <v>149</v>
      </c>
      <c r="H530" s="18">
        <v>219454</v>
      </c>
      <c r="I530" s="18">
        <v>39</v>
      </c>
      <c r="J530" s="4" t="s">
        <v>12</v>
      </c>
      <c r="K530" s="26" t="s">
        <v>15</v>
      </c>
      <c r="L530" s="172">
        <v>28</v>
      </c>
      <c r="M530" s="6">
        <v>1</v>
      </c>
      <c r="N530" s="6"/>
      <c r="O530" s="6">
        <v>0</v>
      </c>
      <c r="P530" s="6"/>
      <c r="Q530" s="7">
        <v>1</v>
      </c>
      <c r="R530" s="6"/>
      <c r="S530" s="1">
        <v>0</v>
      </c>
      <c r="U530" s="1">
        <v>0</v>
      </c>
      <c r="W530" s="1" t="str">
        <f t="shared" si="8"/>
        <v>No</v>
      </c>
    </row>
    <row r="531" spans="1:23" s="1" customFormat="1" ht="11.25">
      <c r="A531" s="2" t="s">
        <v>1239</v>
      </c>
      <c r="B531" s="21" t="s">
        <v>1240</v>
      </c>
      <c r="C531" s="26" t="s">
        <v>51</v>
      </c>
      <c r="D531" s="163">
        <v>5039</v>
      </c>
      <c r="E531" s="166">
        <v>50039</v>
      </c>
      <c r="F531" s="92" t="s">
        <v>160</v>
      </c>
      <c r="G531" s="20" t="s">
        <v>149</v>
      </c>
      <c r="H531" s="18">
        <v>126265</v>
      </c>
      <c r="I531" s="18">
        <v>39</v>
      </c>
      <c r="J531" s="4" t="s">
        <v>12</v>
      </c>
      <c r="K531" s="26" t="s">
        <v>11</v>
      </c>
      <c r="L531" s="172">
        <v>28</v>
      </c>
      <c r="M531" s="6">
        <v>1</v>
      </c>
      <c r="N531" s="6"/>
      <c r="O531" s="6">
        <v>0</v>
      </c>
      <c r="P531" s="6"/>
      <c r="Q531" s="7">
        <v>1</v>
      </c>
      <c r="R531" s="6"/>
      <c r="S531" s="1">
        <v>0</v>
      </c>
      <c r="U531" s="1">
        <v>0</v>
      </c>
      <c r="W531" s="1" t="str">
        <f t="shared" si="8"/>
        <v>No</v>
      </c>
    </row>
    <row r="532" spans="1:23" s="1" customFormat="1" ht="11.25">
      <c r="A532" s="2" t="s">
        <v>375</v>
      </c>
      <c r="B532" s="21" t="s">
        <v>376</v>
      </c>
      <c r="C532" s="26" t="s">
        <v>32</v>
      </c>
      <c r="D532" s="163">
        <v>4158</v>
      </c>
      <c r="E532" s="166">
        <v>40158</v>
      </c>
      <c r="F532" s="92" t="s">
        <v>152</v>
      </c>
      <c r="G532" s="20" t="s">
        <v>149</v>
      </c>
      <c r="H532" s="18">
        <v>131337</v>
      </c>
      <c r="I532" s="18">
        <v>39</v>
      </c>
      <c r="J532" s="4" t="s">
        <v>12</v>
      </c>
      <c r="K532" s="26" t="s">
        <v>15</v>
      </c>
      <c r="L532" s="172">
        <v>10</v>
      </c>
      <c r="M532" s="6">
        <v>0</v>
      </c>
      <c r="N532" s="6"/>
      <c r="O532" s="6">
        <v>0</v>
      </c>
      <c r="P532" s="6"/>
      <c r="Q532" s="7">
        <v>0</v>
      </c>
      <c r="R532" s="6"/>
      <c r="S532" s="1">
        <v>0</v>
      </c>
      <c r="U532" s="1">
        <v>0</v>
      </c>
      <c r="W532" s="1" t="str">
        <f t="shared" si="8"/>
        <v>No</v>
      </c>
    </row>
    <row r="533" spans="1:23" s="1" customFormat="1" ht="11.25">
      <c r="A533" s="2" t="s">
        <v>1658</v>
      </c>
      <c r="B533" s="21" t="s">
        <v>189</v>
      </c>
      <c r="C533" s="26" t="s">
        <v>19</v>
      </c>
      <c r="D533" s="163">
        <v>9196</v>
      </c>
      <c r="E533" s="166">
        <v>90196</v>
      </c>
      <c r="F533" s="92" t="s">
        <v>152</v>
      </c>
      <c r="G533" s="20" t="s">
        <v>149</v>
      </c>
      <c r="H533" s="18">
        <v>1723634</v>
      </c>
      <c r="I533" s="18">
        <v>39</v>
      </c>
      <c r="J533" s="4" t="s">
        <v>12</v>
      </c>
      <c r="K533" s="26" t="s">
        <v>11</v>
      </c>
      <c r="L533" s="172">
        <v>16</v>
      </c>
      <c r="M533" s="6">
        <v>1</v>
      </c>
      <c r="N533" s="6"/>
      <c r="O533" s="6">
        <v>0</v>
      </c>
      <c r="P533" s="6"/>
      <c r="Q533" s="7">
        <v>1</v>
      </c>
      <c r="R533" s="6"/>
      <c r="S533" s="1">
        <v>0</v>
      </c>
      <c r="U533" s="1">
        <v>0</v>
      </c>
      <c r="W533" s="1" t="str">
        <f t="shared" si="8"/>
        <v>No</v>
      </c>
    </row>
    <row r="534" spans="1:23" s="1" customFormat="1" ht="11.25">
      <c r="A534" s="2" t="s">
        <v>1370</v>
      </c>
      <c r="B534" s="21" t="s">
        <v>189</v>
      </c>
      <c r="C534" s="26" t="s">
        <v>50</v>
      </c>
      <c r="D534" s="163">
        <v>1098</v>
      </c>
      <c r="E534" s="166">
        <v>10098</v>
      </c>
      <c r="F534" s="92" t="s">
        <v>197</v>
      </c>
      <c r="G534" s="20" t="s">
        <v>149</v>
      </c>
      <c r="H534" s="18">
        <v>59397</v>
      </c>
      <c r="I534" s="18">
        <v>39</v>
      </c>
      <c r="J534" s="4" t="s">
        <v>12</v>
      </c>
      <c r="K534" s="26" t="s">
        <v>11</v>
      </c>
      <c r="L534" s="172">
        <v>17</v>
      </c>
      <c r="M534" s="6">
        <v>0</v>
      </c>
      <c r="N534" s="6"/>
      <c r="O534" s="6">
        <v>0</v>
      </c>
      <c r="P534" s="6"/>
      <c r="Q534" s="7">
        <v>0</v>
      </c>
      <c r="R534" s="6"/>
      <c r="S534" s="1">
        <v>0</v>
      </c>
      <c r="U534" s="1">
        <v>0</v>
      </c>
      <c r="W534" s="1" t="str">
        <f t="shared" si="8"/>
        <v>No</v>
      </c>
    </row>
    <row r="535" spans="1:23" s="1" customFormat="1" ht="11.25">
      <c r="A535" s="2" t="s">
        <v>166</v>
      </c>
      <c r="B535" s="21" t="s">
        <v>167</v>
      </c>
      <c r="C535" s="26" t="s">
        <v>86</v>
      </c>
      <c r="D535" s="163">
        <v>3094</v>
      </c>
      <c r="E535" s="166">
        <v>30094</v>
      </c>
      <c r="F535" s="92" t="s">
        <v>152</v>
      </c>
      <c r="G535" s="20" t="s">
        <v>149</v>
      </c>
      <c r="H535" s="18">
        <v>66784</v>
      </c>
      <c r="I535" s="18">
        <v>39</v>
      </c>
      <c r="J535" s="4" t="s">
        <v>12</v>
      </c>
      <c r="K535" s="26" t="s">
        <v>11</v>
      </c>
      <c r="L535" s="172">
        <v>32</v>
      </c>
      <c r="M535" s="6">
        <v>0</v>
      </c>
      <c r="N535" s="6"/>
      <c r="O535" s="6">
        <v>0</v>
      </c>
      <c r="P535" s="6"/>
      <c r="Q535" s="7">
        <v>0</v>
      </c>
      <c r="R535" s="6"/>
      <c r="S535" s="1">
        <v>0</v>
      </c>
      <c r="U535" s="1">
        <v>0</v>
      </c>
      <c r="W535" s="1" t="str">
        <f t="shared" si="8"/>
        <v>No</v>
      </c>
    </row>
    <row r="536" spans="1:23" s="1" customFormat="1" ht="11.25">
      <c r="A536" s="2" t="s">
        <v>1658</v>
      </c>
      <c r="B536" s="21" t="s">
        <v>189</v>
      </c>
      <c r="C536" s="26" t="s">
        <v>19</v>
      </c>
      <c r="D536" s="163">
        <v>9196</v>
      </c>
      <c r="E536" s="166">
        <v>90196</v>
      </c>
      <c r="F536" s="92" t="s">
        <v>152</v>
      </c>
      <c r="G536" s="20" t="s">
        <v>149</v>
      </c>
      <c r="H536" s="18">
        <v>1723634</v>
      </c>
      <c r="I536" s="18">
        <v>39</v>
      </c>
      <c r="J536" s="4" t="s">
        <v>12</v>
      </c>
      <c r="K536" s="26" t="s">
        <v>15</v>
      </c>
      <c r="L536" s="172">
        <v>1</v>
      </c>
      <c r="M536" s="6">
        <v>0</v>
      </c>
      <c r="N536" s="6"/>
      <c r="O536" s="6">
        <v>0</v>
      </c>
      <c r="P536" s="6"/>
      <c r="Q536" s="7">
        <v>0</v>
      </c>
      <c r="R536" s="6"/>
      <c r="S536" s="1">
        <v>0</v>
      </c>
      <c r="U536" s="1">
        <v>0</v>
      </c>
      <c r="W536" s="1" t="str">
        <f t="shared" si="8"/>
        <v>No</v>
      </c>
    </row>
    <row r="537" spans="1:23" s="1" customFormat="1" ht="11.25">
      <c r="A537" s="2" t="s">
        <v>592</v>
      </c>
      <c r="B537" s="21" t="s">
        <v>593</v>
      </c>
      <c r="C537" s="26" t="s">
        <v>92</v>
      </c>
      <c r="D537" s="163">
        <v>5006</v>
      </c>
      <c r="E537" s="166">
        <v>50006</v>
      </c>
      <c r="F537" s="92" t="s">
        <v>152</v>
      </c>
      <c r="G537" s="20" t="s">
        <v>149</v>
      </c>
      <c r="H537" s="18">
        <v>133700</v>
      </c>
      <c r="I537" s="18">
        <v>39</v>
      </c>
      <c r="J537" s="4" t="s">
        <v>21</v>
      </c>
      <c r="K537" s="26" t="s">
        <v>15</v>
      </c>
      <c r="L537" s="172">
        <v>3</v>
      </c>
      <c r="M537" s="6">
        <v>1</v>
      </c>
      <c r="N537" s="6"/>
      <c r="O537" s="6">
        <v>0</v>
      </c>
      <c r="P537" s="6"/>
      <c r="Q537" s="7">
        <v>1</v>
      </c>
      <c r="R537" s="6"/>
      <c r="S537" s="1">
        <v>0</v>
      </c>
      <c r="U537" s="1">
        <v>0</v>
      </c>
      <c r="W537" s="1" t="str">
        <f t="shared" si="8"/>
        <v>No</v>
      </c>
    </row>
    <row r="538" spans="1:23" s="1" customFormat="1" ht="11.25">
      <c r="A538" s="2" t="s">
        <v>901</v>
      </c>
      <c r="B538" s="21" t="s">
        <v>212</v>
      </c>
      <c r="C538" s="26" t="s">
        <v>19</v>
      </c>
      <c r="D538" s="163">
        <v>9091</v>
      </c>
      <c r="E538" s="166">
        <v>90091</v>
      </c>
      <c r="F538" s="92" t="s">
        <v>152</v>
      </c>
      <c r="G538" s="20" t="s">
        <v>149</v>
      </c>
      <c r="H538" s="18">
        <v>219454</v>
      </c>
      <c r="I538" s="18">
        <v>39</v>
      </c>
      <c r="J538" s="4" t="s">
        <v>21</v>
      </c>
      <c r="K538" s="26" t="s">
        <v>15</v>
      </c>
      <c r="L538" s="172">
        <v>3</v>
      </c>
      <c r="M538" s="6">
        <v>0</v>
      </c>
      <c r="N538" s="6"/>
      <c r="O538" s="6">
        <v>0</v>
      </c>
      <c r="P538" s="6"/>
      <c r="Q538" s="7">
        <v>0</v>
      </c>
      <c r="R538" s="6"/>
      <c r="S538" s="1">
        <v>0</v>
      </c>
      <c r="U538" s="1">
        <v>0</v>
      </c>
      <c r="W538" s="1" t="str">
        <f t="shared" si="8"/>
        <v>No</v>
      </c>
    </row>
    <row r="539" spans="1:23" s="1" customFormat="1" ht="11.25">
      <c r="A539" s="2" t="s">
        <v>1841</v>
      </c>
      <c r="B539" s="21" t="s">
        <v>1842</v>
      </c>
      <c r="C539" s="26" t="s">
        <v>84</v>
      </c>
      <c r="D539" s="163"/>
      <c r="E539" s="166">
        <v>60269</v>
      </c>
      <c r="F539" s="92" t="s">
        <v>98</v>
      </c>
      <c r="G539" s="20" t="s">
        <v>149</v>
      </c>
      <c r="H539" s="18">
        <v>52826</v>
      </c>
      <c r="I539" s="18">
        <v>39</v>
      </c>
      <c r="J539" s="4" t="s">
        <v>12</v>
      </c>
      <c r="K539" s="26" t="s">
        <v>15</v>
      </c>
      <c r="L539" s="172">
        <v>39</v>
      </c>
      <c r="M539" s="6">
        <v>0</v>
      </c>
      <c r="N539" s="6"/>
      <c r="O539" s="6">
        <v>0</v>
      </c>
      <c r="P539" s="6"/>
      <c r="Q539" s="7">
        <v>0</v>
      </c>
      <c r="R539" s="6"/>
      <c r="S539" s="1">
        <v>0</v>
      </c>
      <c r="U539" s="1">
        <v>0</v>
      </c>
      <c r="W539" s="1" t="str">
        <f t="shared" si="8"/>
        <v>No</v>
      </c>
    </row>
    <row r="540" spans="1:23" s="1" customFormat="1" ht="11.25">
      <c r="A540" s="2" t="s">
        <v>592</v>
      </c>
      <c r="B540" s="21" t="s">
        <v>593</v>
      </c>
      <c r="C540" s="26" t="s">
        <v>92</v>
      </c>
      <c r="D540" s="163">
        <v>5006</v>
      </c>
      <c r="E540" s="166">
        <v>50006</v>
      </c>
      <c r="F540" s="92" t="s">
        <v>152</v>
      </c>
      <c r="G540" s="20" t="s">
        <v>149</v>
      </c>
      <c r="H540" s="18">
        <v>133700</v>
      </c>
      <c r="I540" s="18">
        <v>39</v>
      </c>
      <c r="J540" s="4" t="s">
        <v>12</v>
      </c>
      <c r="K540" s="26" t="s">
        <v>11</v>
      </c>
      <c r="L540" s="172">
        <v>29</v>
      </c>
      <c r="M540" s="6">
        <v>1</v>
      </c>
      <c r="N540" s="6"/>
      <c r="O540" s="6">
        <v>0</v>
      </c>
      <c r="P540" s="6"/>
      <c r="Q540" s="7">
        <v>1</v>
      </c>
      <c r="R540" s="6"/>
      <c r="S540" s="1">
        <v>0</v>
      </c>
      <c r="U540" s="1">
        <v>0</v>
      </c>
      <c r="W540" s="1" t="str">
        <f t="shared" si="8"/>
        <v>No</v>
      </c>
    </row>
    <row r="541" spans="1:23" s="1" customFormat="1" ht="11.25">
      <c r="A541" s="2" t="s">
        <v>1401</v>
      </c>
      <c r="B541" s="21" t="s">
        <v>570</v>
      </c>
      <c r="C541" s="26" t="s">
        <v>51</v>
      </c>
      <c r="D541" s="163">
        <v>5158</v>
      </c>
      <c r="E541" s="166">
        <v>50158</v>
      </c>
      <c r="F541" s="92" t="s">
        <v>98</v>
      </c>
      <c r="G541" s="20" t="s">
        <v>149</v>
      </c>
      <c r="H541" s="18">
        <v>306022</v>
      </c>
      <c r="I541" s="18">
        <v>38</v>
      </c>
      <c r="J541" s="4" t="s">
        <v>12</v>
      </c>
      <c r="K541" s="26" t="s">
        <v>11</v>
      </c>
      <c r="L541" s="172">
        <v>38</v>
      </c>
      <c r="M541" s="6">
        <v>0</v>
      </c>
      <c r="N541" s="6"/>
      <c r="O541" s="6">
        <v>0</v>
      </c>
      <c r="P541" s="6"/>
      <c r="Q541" s="7">
        <v>0</v>
      </c>
      <c r="R541" s="6"/>
      <c r="S541" s="1">
        <v>0</v>
      </c>
      <c r="U541" s="1">
        <v>0</v>
      </c>
      <c r="W541" s="1" t="str">
        <f t="shared" si="8"/>
        <v>No</v>
      </c>
    </row>
    <row r="542" spans="1:23" s="1" customFormat="1" ht="11.25">
      <c r="A542" s="2" t="s">
        <v>299</v>
      </c>
      <c r="B542" s="21" t="s">
        <v>300</v>
      </c>
      <c r="C542" s="26" t="s">
        <v>47</v>
      </c>
      <c r="D542" s="163">
        <v>3096</v>
      </c>
      <c r="E542" s="166">
        <v>30096</v>
      </c>
      <c r="F542" s="92" t="s">
        <v>160</v>
      </c>
      <c r="G542" s="20" t="s">
        <v>149</v>
      </c>
      <c r="H542" s="18">
        <v>98081</v>
      </c>
      <c r="I542" s="18">
        <v>38</v>
      </c>
      <c r="J542" s="4" t="s">
        <v>12</v>
      </c>
      <c r="K542" s="26" t="s">
        <v>11</v>
      </c>
      <c r="L542" s="172">
        <v>15</v>
      </c>
      <c r="M542" s="6">
        <v>1</v>
      </c>
      <c r="N542" s="6"/>
      <c r="O542" s="6">
        <v>0</v>
      </c>
      <c r="P542" s="6"/>
      <c r="Q542" s="7">
        <v>1</v>
      </c>
      <c r="R542" s="6"/>
      <c r="S542" s="1">
        <v>0</v>
      </c>
      <c r="U542" s="1">
        <v>0</v>
      </c>
      <c r="W542" s="1" t="str">
        <f t="shared" si="8"/>
        <v>No</v>
      </c>
    </row>
    <row r="543" spans="1:23" s="1" customFormat="1" ht="11.25">
      <c r="A543" s="2" t="s">
        <v>1325</v>
      </c>
      <c r="B543" s="21" t="s">
        <v>1326</v>
      </c>
      <c r="C543" s="26" t="s">
        <v>42</v>
      </c>
      <c r="D543" s="163">
        <v>7014</v>
      </c>
      <c r="E543" s="166">
        <v>70014</v>
      </c>
      <c r="F543" s="92" t="s">
        <v>160</v>
      </c>
      <c r="G543" s="20" t="s">
        <v>149</v>
      </c>
      <c r="H543" s="18">
        <v>150003</v>
      </c>
      <c r="I543" s="18">
        <v>38</v>
      </c>
      <c r="J543" s="4" t="s">
        <v>12</v>
      </c>
      <c r="K543" s="26" t="s">
        <v>11</v>
      </c>
      <c r="L543" s="172">
        <v>24</v>
      </c>
      <c r="M543" s="6">
        <v>1</v>
      </c>
      <c r="N543" s="6"/>
      <c r="O543" s="6">
        <v>0</v>
      </c>
      <c r="P543" s="6"/>
      <c r="Q543" s="7">
        <v>1</v>
      </c>
      <c r="R543" s="6"/>
      <c r="S543" s="1">
        <v>0</v>
      </c>
      <c r="U543" s="1">
        <v>0</v>
      </c>
      <c r="W543" s="1" t="str">
        <f t="shared" si="8"/>
        <v>No</v>
      </c>
    </row>
    <row r="544" spans="1:23" s="1" customFormat="1" ht="11.25">
      <c r="A544" s="2" t="s">
        <v>370</v>
      </c>
      <c r="B544" s="21" t="s">
        <v>371</v>
      </c>
      <c r="C544" s="26" t="s">
        <v>16</v>
      </c>
      <c r="D544" s="163">
        <v>9209</v>
      </c>
      <c r="E544" s="166">
        <v>90209</v>
      </c>
      <c r="F544" s="92" t="s">
        <v>348</v>
      </c>
      <c r="G544" s="20" t="s">
        <v>149</v>
      </c>
      <c r="H544" s="18">
        <v>3629114</v>
      </c>
      <c r="I544" s="18">
        <v>38</v>
      </c>
      <c r="J544" s="4" t="s">
        <v>18</v>
      </c>
      <c r="K544" s="26" t="s">
        <v>15</v>
      </c>
      <c r="L544" s="172">
        <v>38</v>
      </c>
      <c r="M544" s="6">
        <v>40</v>
      </c>
      <c r="N544" s="6"/>
      <c r="O544" s="6">
        <v>0</v>
      </c>
      <c r="P544" s="6"/>
      <c r="Q544" s="7">
        <v>40</v>
      </c>
      <c r="R544" s="6"/>
      <c r="S544" s="1">
        <v>1</v>
      </c>
      <c r="U544" s="1">
        <v>1</v>
      </c>
      <c r="W544" s="1" t="str">
        <f t="shared" si="8"/>
        <v>No</v>
      </c>
    </row>
    <row r="545" spans="1:23" s="1" customFormat="1" ht="11.25">
      <c r="A545" s="2" t="s">
        <v>540</v>
      </c>
      <c r="B545" s="21" t="s">
        <v>264</v>
      </c>
      <c r="C545" s="26" t="s">
        <v>42</v>
      </c>
      <c r="D545" s="163">
        <v>7048</v>
      </c>
      <c r="E545" s="166">
        <v>70048</v>
      </c>
      <c r="F545" s="92" t="s">
        <v>152</v>
      </c>
      <c r="G545" s="20" t="s">
        <v>149</v>
      </c>
      <c r="H545" s="18">
        <v>88053</v>
      </c>
      <c r="I545" s="18">
        <v>38</v>
      </c>
      <c r="J545" s="4" t="s">
        <v>12</v>
      </c>
      <c r="K545" s="26" t="s">
        <v>15</v>
      </c>
      <c r="L545" s="172">
        <v>18</v>
      </c>
      <c r="M545" s="6">
        <v>0</v>
      </c>
      <c r="N545" s="6"/>
      <c r="O545" s="6">
        <v>0</v>
      </c>
      <c r="P545" s="6"/>
      <c r="Q545" s="7">
        <v>0</v>
      </c>
      <c r="R545" s="6"/>
      <c r="S545" s="1">
        <v>0</v>
      </c>
      <c r="U545" s="1">
        <v>0</v>
      </c>
      <c r="W545" s="1" t="str">
        <f t="shared" si="8"/>
        <v>No</v>
      </c>
    </row>
    <row r="546" spans="1:23" s="1" customFormat="1" ht="11.25">
      <c r="A546" s="2" t="s">
        <v>1318</v>
      </c>
      <c r="B546" s="21" t="s">
        <v>256</v>
      </c>
      <c r="C546" s="26" t="s">
        <v>95</v>
      </c>
      <c r="D546" s="163">
        <v>3002</v>
      </c>
      <c r="E546" s="166">
        <v>30002</v>
      </c>
      <c r="F546" s="92" t="s">
        <v>160</v>
      </c>
      <c r="G546" s="20" t="s">
        <v>149</v>
      </c>
      <c r="H546" s="18">
        <v>202637</v>
      </c>
      <c r="I546" s="18">
        <v>38</v>
      </c>
      <c r="J546" s="4" t="s">
        <v>12</v>
      </c>
      <c r="K546" s="26" t="s">
        <v>11</v>
      </c>
      <c r="L546" s="172">
        <v>27</v>
      </c>
      <c r="M546" s="6">
        <v>1</v>
      </c>
      <c r="N546" s="6"/>
      <c r="O546" s="6">
        <v>0</v>
      </c>
      <c r="P546" s="6"/>
      <c r="Q546" s="7">
        <v>1</v>
      </c>
      <c r="R546" s="6"/>
      <c r="S546" s="1">
        <v>0</v>
      </c>
      <c r="U546" s="1">
        <v>0</v>
      </c>
      <c r="W546" s="1" t="str">
        <f t="shared" si="8"/>
        <v>No</v>
      </c>
    </row>
    <row r="547" spans="1:23" s="1" customFormat="1" ht="11.25">
      <c r="A547" s="2" t="s">
        <v>868</v>
      </c>
      <c r="B547" s="21" t="s">
        <v>869</v>
      </c>
      <c r="C547" s="26" t="s">
        <v>57</v>
      </c>
      <c r="D547" s="163">
        <v>4224</v>
      </c>
      <c r="E547" s="166">
        <v>40224</v>
      </c>
      <c r="F547" s="92" t="s">
        <v>152</v>
      </c>
      <c r="G547" s="20" t="s">
        <v>149</v>
      </c>
      <c r="H547" s="18">
        <v>280648</v>
      </c>
      <c r="I547" s="18">
        <v>38</v>
      </c>
      <c r="J547" s="4" t="s">
        <v>12</v>
      </c>
      <c r="K547" s="26" t="s">
        <v>15</v>
      </c>
      <c r="L547" s="172">
        <v>3</v>
      </c>
      <c r="M547" s="6">
        <v>0</v>
      </c>
      <c r="N547" s="6"/>
      <c r="O547" s="6">
        <v>0</v>
      </c>
      <c r="P547" s="6"/>
      <c r="Q547" s="7">
        <v>0</v>
      </c>
      <c r="R547" s="6"/>
      <c r="S547" s="1">
        <v>0</v>
      </c>
      <c r="U547" s="1">
        <v>0</v>
      </c>
      <c r="W547" s="1" t="str">
        <f t="shared" si="8"/>
        <v>No</v>
      </c>
    </row>
    <row r="548" spans="1:23" s="1" customFormat="1" ht="11.25">
      <c r="A548" s="2" t="s">
        <v>879</v>
      </c>
      <c r="B548" s="21" t="s">
        <v>322</v>
      </c>
      <c r="C548" s="26" t="s">
        <v>35</v>
      </c>
      <c r="D548" s="163">
        <v>4058</v>
      </c>
      <c r="E548" s="166">
        <v>40058</v>
      </c>
      <c r="F548" s="92" t="s">
        <v>152</v>
      </c>
      <c r="G548" s="20" t="s">
        <v>149</v>
      </c>
      <c r="H548" s="18">
        <v>60851</v>
      </c>
      <c r="I548" s="18">
        <v>37</v>
      </c>
      <c r="J548" s="4" t="s">
        <v>12</v>
      </c>
      <c r="K548" s="26" t="s">
        <v>11</v>
      </c>
      <c r="L548" s="172">
        <v>31</v>
      </c>
      <c r="M548" s="6">
        <v>0</v>
      </c>
      <c r="N548" s="6"/>
      <c r="O548" s="6">
        <v>0</v>
      </c>
      <c r="P548" s="6"/>
      <c r="Q548" s="7">
        <v>0</v>
      </c>
      <c r="R548" s="6"/>
      <c r="S548" s="1">
        <v>0</v>
      </c>
      <c r="U548" s="1">
        <v>0</v>
      </c>
      <c r="W548" s="1" t="str">
        <f t="shared" si="8"/>
        <v>No</v>
      </c>
    </row>
    <row r="549" spans="1:23" s="1" customFormat="1" ht="11.25">
      <c r="A549" s="2" t="s">
        <v>627</v>
      </c>
      <c r="B549" s="21" t="s">
        <v>248</v>
      </c>
      <c r="C549" s="26" t="s">
        <v>40</v>
      </c>
      <c r="D549" s="163">
        <v>5110</v>
      </c>
      <c r="E549" s="166">
        <v>50110</v>
      </c>
      <c r="F549" s="92" t="s">
        <v>160</v>
      </c>
      <c r="G549" s="20" t="s">
        <v>149</v>
      </c>
      <c r="H549" s="18">
        <v>108657</v>
      </c>
      <c r="I549" s="18">
        <v>37</v>
      </c>
      <c r="J549" s="4" t="s">
        <v>12</v>
      </c>
      <c r="K549" s="26" t="s">
        <v>11</v>
      </c>
      <c r="L549" s="172">
        <v>29</v>
      </c>
      <c r="M549" s="6">
        <v>1</v>
      </c>
      <c r="N549" s="6"/>
      <c r="O549" s="6">
        <v>0</v>
      </c>
      <c r="P549" s="6"/>
      <c r="Q549" s="7">
        <v>1</v>
      </c>
      <c r="R549" s="6"/>
      <c r="S549" s="1">
        <v>0</v>
      </c>
      <c r="U549" s="1">
        <v>0</v>
      </c>
      <c r="W549" s="1" t="str">
        <f t="shared" si="8"/>
        <v>No</v>
      </c>
    </row>
    <row r="550" spans="1:23" s="1" customFormat="1" ht="11.25">
      <c r="A550" s="2" t="s">
        <v>591</v>
      </c>
      <c r="B550" s="21" t="s">
        <v>258</v>
      </c>
      <c r="C550" s="26" t="s">
        <v>75</v>
      </c>
      <c r="D550" s="163">
        <v>3023</v>
      </c>
      <c r="E550" s="166">
        <v>30023</v>
      </c>
      <c r="F550" s="92" t="s">
        <v>160</v>
      </c>
      <c r="G550" s="20" t="s">
        <v>149</v>
      </c>
      <c r="H550" s="18">
        <v>1733853</v>
      </c>
      <c r="I550" s="18">
        <v>37</v>
      </c>
      <c r="J550" s="4" t="s">
        <v>12</v>
      </c>
      <c r="K550" s="26" t="s">
        <v>11</v>
      </c>
      <c r="L550" s="172">
        <v>19</v>
      </c>
      <c r="M550" s="6">
        <v>2</v>
      </c>
      <c r="N550" s="6"/>
      <c r="O550" s="6">
        <v>0</v>
      </c>
      <c r="P550" s="6"/>
      <c r="Q550" s="7">
        <v>2</v>
      </c>
      <c r="R550" s="6"/>
      <c r="S550" s="1">
        <v>2</v>
      </c>
      <c r="U550" s="1">
        <v>0</v>
      </c>
      <c r="W550" s="1" t="str">
        <f t="shared" si="8"/>
        <v>No</v>
      </c>
    </row>
    <row r="551" spans="1:23" s="1" customFormat="1" ht="11.25">
      <c r="A551" s="2" t="s">
        <v>1650</v>
      </c>
      <c r="B551" s="21" t="s">
        <v>1650</v>
      </c>
      <c r="C551" s="26" t="s">
        <v>52</v>
      </c>
      <c r="D551" s="163">
        <v>5219</v>
      </c>
      <c r="E551" s="166">
        <v>50516</v>
      </c>
      <c r="F551" s="92" t="s">
        <v>152</v>
      </c>
      <c r="G551" s="20" t="s">
        <v>149</v>
      </c>
      <c r="H551" s="18">
        <v>2650890</v>
      </c>
      <c r="I551" s="18">
        <v>37</v>
      </c>
      <c r="J551" s="4" t="s">
        <v>12</v>
      </c>
      <c r="K551" s="26" t="s">
        <v>15</v>
      </c>
      <c r="L551" s="172">
        <v>29</v>
      </c>
      <c r="M551" s="6">
        <v>2</v>
      </c>
      <c r="N551" s="6"/>
      <c r="O551" s="6">
        <v>0</v>
      </c>
      <c r="P551" s="6"/>
      <c r="Q551" s="7">
        <v>2</v>
      </c>
      <c r="R551" s="6"/>
      <c r="S551" s="1">
        <v>1</v>
      </c>
      <c r="U551" s="1">
        <v>0</v>
      </c>
      <c r="W551" s="1" t="str">
        <f t="shared" si="8"/>
        <v>No</v>
      </c>
    </row>
    <row r="552" spans="1:23" s="1" customFormat="1" ht="11.25">
      <c r="A552" s="2" t="s">
        <v>1843</v>
      </c>
      <c r="B552" s="21" t="s">
        <v>921</v>
      </c>
      <c r="C552" s="26" t="s">
        <v>58</v>
      </c>
      <c r="D552" s="163">
        <v>8003</v>
      </c>
      <c r="E552" s="166">
        <v>80003</v>
      </c>
      <c r="F552" s="92" t="s">
        <v>152</v>
      </c>
      <c r="G552" s="20" t="s">
        <v>149</v>
      </c>
      <c r="H552" s="18">
        <v>176676</v>
      </c>
      <c r="I552" s="18">
        <v>37</v>
      </c>
      <c r="J552" s="4" t="s">
        <v>12</v>
      </c>
      <c r="K552" s="26" t="s">
        <v>15</v>
      </c>
      <c r="L552" s="172">
        <v>24</v>
      </c>
      <c r="M552" s="6">
        <v>2</v>
      </c>
      <c r="N552" s="6"/>
      <c r="O552" s="6">
        <v>0</v>
      </c>
      <c r="P552" s="6"/>
      <c r="Q552" s="7">
        <v>2</v>
      </c>
      <c r="R552" s="6"/>
      <c r="S552" s="1">
        <v>1</v>
      </c>
      <c r="U552" s="1">
        <v>0</v>
      </c>
      <c r="W552" s="1" t="str">
        <f t="shared" si="8"/>
        <v>No</v>
      </c>
    </row>
    <row r="553" spans="1:23" s="1" customFormat="1" ht="11.25">
      <c r="A553" s="2" t="s">
        <v>1143</v>
      </c>
      <c r="B553" s="21" t="s">
        <v>1144</v>
      </c>
      <c r="C553" s="26" t="s">
        <v>40</v>
      </c>
      <c r="D553" s="163">
        <v>5054</v>
      </c>
      <c r="E553" s="166">
        <v>50054</v>
      </c>
      <c r="F553" s="92" t="s">
        <v>152</v>
      </c>
      <c r="G553" s="20" t="s">
        <v>149</v>
      </c>
      <c r="H553" s="18">
        <v>90580</v>
      </c>
      <c r="I553" s="18">
        <v>36</v>
      </c>
      <c r="J553" s="4" t="s">
        <v>12</v>
      </c>
      <c r="K553" s="26" t="s">
        <v>11</v>
      </c>
      <c r="L553" s="172">
        <v>26</v>
      </c>
      <c r="M553" s="6">
        <v>1</v>
      </c>
      <c r="N553" s="6"/>
      <c r="O553" s="6">
        <v>0</v>
      </c>
      <c r="P553" s="6"/>
      <c r="Q553" s="7">
        <v>1</v>
      </c>
      <c r="R553" s="6"/>
      <c r="S553" s="1">
        <v>0</v>
      </c>
      <c r="U553" s="1">
        <v>0</v>
      </c>
      <c r="W553" s="1" t="str">
        <f t="shared" si="8"/>
        <v>No</v>
      </c>
    </row>
    <row r="554" spans="1:23" s="1" customFormat="1" ht="11.25">
      <c r="A554" s="2" t="s">
        <v>1012</v>
      </c>
      <c r="B554" s="21" t="s">
        <v>1013</v>
      </c>
      <c r="C554" s="26" t="s">
        <v>92</v>
      </c>
      <c r="D554" s="163">
        <v>5002</v>
      </c>
      <c r="E554" s="166">
        <v>50002</v>
      </c>
      <c r="F554" s="92" t="s">
        <v>152</v>
      </c>
      <c r="G554" s="20" t="s">
        <v>149</v>
      </c>
      <c r="H554" s="18">
        <v>206520</v>
      </c>
      <c r="I554" s="18">
        <v>36</v>
      </c>
      <c r="J554" s="4" t="s">
        <v>12</v>
      </c>
      <c r="K554" s="26" t="s">
        <v>11</v>
      </c>
      <c r="L554" s="172">
        <v>24</v>
      </c>
      <c r="M554" s="6">
        <v>1</v>
      </c>
      <c r="N554" s="6"/>
      <c r="O554" s="6">
        <v>0</v>
      </c>
      <c r="P554" s="6"/>
      <c r="Q554" s="7">
        <v>1</v>
      </c>
      <c r="R554" s="6"/>
      <c r="S554" s="1">
        <v>0</v>
      </c>
      <c r="U554" s="1">
        <v>0</v>
      </c>
      <c r="W554" s="1" t="str">
        <f t="shared" si="8"/>
        <v>No</v>
      </c>
    </row>
    <row r="555" spans="1:23" s="1" customFormat="1" ht="11.25">
      <c r="A555" s="2" t="s">
        <v>1112</v>
      </c>
      <c r="B555" s="21" t="s">
        <v>1113</v>
      </c>
      <c r="C555" s="26" t="s">
        <v>40</v>
      </c>
      <c r="D555" s="163">
        <v>5043</v>
      </c>
      <c r="E555" s="166">
        <v>50043</v>
      </c>
      <c r="F555" s="92" t="s">
        <v>152</v>
      </c>
      <c r="G555" s="20" t="s">
        <v>149</v>
      </c>
      <c r="H555" s="18">
        <v>229351</v>
      </c>
      <c r="I555" s="18">
        <v>36</v>
      </c>
      <c r="J555" s="4" t="s">
        <v>12</v>
      </c>
      <c r="K555" s="26" t="s">
        <v>11</v>
      </c>
      <c r="L555" s="172">
        <v>22</v>
      </c>
      <c r="M555" s="6">
        <v>1</v>
      </c>
      <c r="N555" s="6"/>
      <c r="O555" s="6">
        <v>0</v>
      </c>
      <c r="P555" s="6"/>
      <c r="Q555" s="7">
        <v>1</v>
      </c>
      <c r="R555" s="6"/>
      <c r="S555" s="1">
        <v>0</v>
      </c>
      <c r="U555" s="1">
        <v>0</v>
      </c>
      <c r="W555" s="1" t="str">
        <f t="shared" si="8"/>
        <v>No</v>
      </c>
    </row>
    <row r="556" spans="1:23" s="1" customFormat="1" ht="11.25">
      <c r="A556" s="2" t="s">
        <v>920</v>
      </c>
      <c r="B556" s="21" t="s">
        <v>275</v>
      </c>
      <c r="C556" s="26" t="s">
        <v>54</v>
      </c>
      <c r="D556" s="163">
        <v>7016</v>
      </c>
      <c r="E556" s="166">
        <v>70016</v>
      </c>
      <c r="F556" s="92" t="s">
        <v>152</v>
      </c>
      <c r="G556" s="20" t="s">
        <v>149</v>
      </c>
      <c r="H556" s="18">
        <v>124748</v>
      </c>
      <c r="I556" s="18">
        <v>36</v>
      </c>
      <c r="J556" s="4" t="s">
        <v>12</v>
      </c>
      <c r="K556" s="26" t="s">
        <v>11</v>
      </c>
      <c r="L556" s="172">
        <v>27</v>
      </c>
      <c r="M556" s="6">
        <v>1</v>
      </c>
      <c r="N556" s="6"/>
      <c r="O556" s="6">
        <v>0</v>
      </c>
      <c r="P556" s="6"/>
      <c r="Q556" s="7">
        <v>1</v>
      </c>
      <c r="R556" s="6"/>
      <c r="S556" s="1">
        <v>0</v>
      </c>
      <c r="U556" s="1">
        <v>0</v>
      </c>
      <c r="W556" s="1" t="str">
        <f t="shared" si="8"/>
        <v>No</v>
      </c>
    </row>
    <row r="557" spans="1:23" s="1" customFormat="1" ht="11.25">
      <c r="A557" s="2" t="s">
        <v>49</v>
      </c>
      <c r="B557" s="21" t="s">
        <v>334</v>
      </c>
      <c r="C557" s="26" t="s">
        <v>47</v>
      </c>
      <c r="D557" s="163">
        <v>3072</v>
      </c>
      <c r="E557" s="166">
        <v>30072</v>
      </c>
      <c r="F557" s="92" t="s">
        <v>152</v>
      </c>
      <c r="G557" s="20" t="s">
        <v>149</v>
      </c>
      <c r="H557" s="18">
        <v>141576</v>
      </c>
      <c r="I557" s="18">
        <v>36</v>
      </c>
      <c r="J557" s="4" t="s">
        <v>12</v>
      </c>
      <c r="K557" s="26" t="s">
        <v>11</v>
      </c>
      <c r="L557" s="172">
        <v>18</v>
      </c>
      <c r="M557" s="6">
        <v>1</v>
      </c>
      <c r="N557" s="6"/>
      <c r="O557" s="6">
        <v>0</v>
      </c>
      <c r="P557" s="6"/>
      <c r="Q557" s="7">
        <v>1</v>
      </c>
      <c r="R557" s="6"/>
      <c r="S557" s="1">
        <v>0</v>
      </c>
      <c r="U557" s="1">
        <v>0</v>
      </c>
      <c r="W557" s="1" t="str">
        <f t="shared" si="8"/>
        <v>No</v>
      </c>
    </row>
    <row r="558" spans="1:23" s="1" customFormat="1" ht="11.25">
      <c r="A558" s="2" t="s">
        <v>469</v>
      </c>
      <c r="B558" s="21" t="s">
        <v>470</v>
      </c>
      <c r="C558" s="26" t="s">
        <v>16</v>
      </c>
      <c r="D558" s="163">
        <v>9219</v>
      </c>
      <c r="E558" s="166">
        <v>90219</v>
      </c>
      <c r="F558" s="92" t="s">
        <v>160</v>
      </c>
      <c r="G558" s="20" t="s">
        <v>149</v>
      </c>
      <c r="H558" s="18">
        <v>71957</v>
      </c>
      <c r="I558" s="18">
        <v>35</v>
      </c>
      <c r="J558" s="4" t="s">
        <v>12</v>
      </c>
      <c r="K558" s="26" t="s">
        <v>11</v>
      </c>
      <c r="L558" s="172">
        <v>20</v>
      </c>
      <c r="M558" s="6">
        <v>0</v>
      </c>
      <c r="N558" s="6"/>
      <c r="O558" s="6">
        <v>0</v>
      </c>
      <c r="P558" s="6"/>
      <c r="Q558" s="7">
        <v>0</v>
      </c>
      <c r="R558" s="6"/>
      <c r="S558" s="1">
        <v>0</v>
      </c>
      <c r="U558" s="1">
        <v>0</v>
      </c>
      <c r="W558" s="1" t="str">
        <f t="shared" si="8"/>
        <v>No</v>
      </c>
    </row>
    <row r="559" spans="1:23" s="1" customFormat="1" ht="11.25">
      <c r="A559" s="2" t="s">
        <v>239</v>
      </c>
      <c r="B559" s="21" t="s">
        <v>240</v>
      </c>
      <c r="C559" s="26" t="s">
        <v>57</v>
      </c>
      <c r="D559" s="163">
        <v>4147</v>
      </c>
      <c r="E559" s="166">
        <v>40147</v>
      </c>
      <c r="F559" s="92" t="s">
        <v>98</v>
      </c>
      <c r="G559" s="20" t="s">
        <v>149</v>
      </c>
      <c r="H559" s="18">
        <v>884891</v>
      </c>
      <c r="I559" s="18">
        <v>35</v>
      </c>
      <c r="J559" s="4" t="s">
        <v>12</v>
      </c>
      <c r="K559" s="26" t="s">
        <v>15</v>
      </c>
      <c r="L559" s="172">
        <v>35</v>
      </c>
      <c r="M559" s="6">
        <v>0</v>
      </c>
      <c r="N559" s="6"/>
      <c r="O559" s="6">
        <v>0</v>
      </c>
      <c r="P559" s="6"/>
      <c r="Q559" s="7">
        <v>0</v>
      </c>
      <c r="R559" s="6"/>
      <c r="S559" s="1">
        <v>0</v>
      </c>
      <c r="U559" s="1">
        <v>0</v>
      </c>
      <c r="W559" s="1" t="str">
        <f t="shared" si="8"/>
        <v>No</v>
      </c>
    </row>
    <row r="560" spans="1:23" s="1" customFormat="1" ht="11.25">
      <c r="A560" s="2" t="s">
        <v>884</v>
      </c>
      <c r="B560" s="21" t="s">
        <v>885</v>
      </c>
      <c r="C560" s="26" t="s">
        <v>19</v>
      </c>
      <c r="D560" s="163">
        <v>9017</v>
      </c>
      <c r="E560" s="166">
        <v>90017</v>
      </c>
      <c r="F560" s="92" t="s">
        <v>152</v>
      </c>
      <c r="G560" s="20" t="s">
        <v>149</v>
      </c>
      <c r="H560" s="18">
        <v>308231</v>
      </c>
      <c r="I560" s="18">
        <v>35</v>
      </c>
      <c r="J560" s="4" t="s">
        <v>12</v>
      </c>
      <c r="K560" s="26" t="s">
        <v>11</v>
      </c>
      <c r="L560" s="172">
        <v>24</v>
      </c>
      <c r="M560" s="6">
        <v>1</v>
      </c>
      <c r="N560" s="6"/>
      <c r="O560" s="6">
        <v>0</v>
      </c>
      <c r="P560" s="6"/>
      <c r="Q560" s="7">
        <v>1</v>
      </c>
      <c r="R560" s="6"/>
      <c r="S560" s="1">
        <v>0</v>
      </c>
      <c r="U560" s="1">
        <v>0</v>
      </c>
      <c r="W560" s="1" t="str">
        <f t="shared" si="8"/>
        <v>No</v>
      </c>
    </row>
    <row r="561" spans="1:23" s="1" customFormat="1" ht="11.25">
      <c r="A561" s="2" t="s">
        <v>1040</v>
      </c>
      <c r="B561" s="21" t="s">
        <v>1041</v>
      </c>
      <c r="C561" s="26" t="s">
        <v>86</v>
      </c>
      <c r="D561" s="163">
        <v>3076</v>
      </c>
      <c r="E561" s="166">
        <v>30076</v>
      </c>
      <c r="F561" s="92" t="s">
        <v>160</v>
      </c>
      <c r="G561" s="20" t="s">
        <v>149</v>
      </c>
      <c r="H561" s="18">
        <v>75689</v>
      </c>
      <c r="I561" s="18">
        <v>35</v>
      </c>
      <c r="J561" s="4" t="s">
        <v>12</v>
      </c>
      <c r="K561" s="26" t="s">
        <v>15</v>
      </c>
      <c r="L561" s="172">
        <v>11</v>
      </c>
      <c r="M561" s="6">
        <v>0</v>
      </c>
      <c r="N561" s="6"/>
      <c r="O561" s="6">
        <v>0</v>
      </c>
      <c r="P561" s="6"/>
      <c r="Q561" s="7">
        <v>0</v>
      </c>
      <c r="R561" s="6"/>
      <c r="S561" s="1">
        <v>0</v>
      </c>
      <c r="U561" s="1">
        <v>0</v>
      </c>
      <c r="W561" s="1" t="str">
        <f t="shared" si="8"/>
        <v>No</v>
      </c>
    </row>
    <row r="562" spans="1:23" s="1" customFormat="1" ht="11.25">
      <c r="A562" s="2" t="s">
        <v>884</v>
      </c>
      <c r="B562" s="21" t="s">
        <v>885</v>
      </c>
      <c r="C562" s="26" t="s">
        <v>19</v>
      </c>
      <c r="D562" s="163">
        <v>9017</v>
      </c>
      <c r="E562" s="166">
        <v>90017</v>
      </c>
      <c r="F562" s="92" t="s">
        <v>152</v>
      </c>
      <c r="G562" s="20" t="s">
        <v>149</v>
      </c>
      <c r="H562" s="18">
        <v>308231</v>
      </c>
      <c r="I562" s="18">
        <v>35</v>
      </c>
      <c r="J562" s="4" t="s">
        <v>12</v>
      </c>
      <c r="K562" s="26" t="s">
        <v>15</v>
      </c>
      <c r="L562" s="172">
        <v>1</v>
      </c>
      <c r="M562" s="6">
        <v>1</v>
      </c>
      <c r="N562" s="6"/>
      <c r="O562" s="6">
        <v>0</v>
      </c>
      <c r="P562" s="6"/>
      <c r="Q562" s="7">
        <v>1</v>
      </c>
      <c r="R562" s="6"/>
      <c r="S562" s="1">
        <v>0</v>
      </c>
      <c r="U562" s="1">
        <v>0</v>
      </c>
      <c r="W562" s="1" t="str">
        <f t="shared" si="8"/>
        <v>No</v>
      </c>
    </row>
    <row r="563" spans="1:23" s="1" customFormat="1" ht="11.25">
      <c r="A563" s="2" t="s">
        <v>1630</v>
      </c>
      <c r="B563" s="21" t="s">
        <v>1663</v>
      </c>
      <c r="C563" s="26" t="s">
        <v>45</v>
      </c>
      <c r="D563" s="163"/>
      <c r="E563" s="166">
        <v>10183</v>
      </c>
      <c r="F563" s="92" t="s">
        <v>160</v>
      </c>
      <c r="G563" s="20" t="s">
        <v>149</v>
      </c>
      <c r="H563" s="18">
        <v>246695</v>
      </c>
      <c r="I563" s="18">
        <v>35</v>
      </c>
      <c r="J563" s="4" t="s">
        <v>22</v>
      </c>
      <c r="K563" s="26" t="s">
        <v>11</v>
      </c>
      <c r="L563" s="172">
        <v>10</v>
      </c>
      <c r="M563" s="6">
        <v>5</v>
      </c>
      <c r="N563" s="6"/>
      <c r="O563" s="6">
        <v>0</v>
      </c>
      <c r="P563" s="6"/>
      <c r="Q563" s="7">
        <v>5</v>
      </c>
      <c r="R563" s="6"/>
      <c r="S563" s="1">
        <v>4</v>
      </c>
      <c r="U563" s="1">
        <v>0</v>
      </c>
      <c r="W563" s="1" t="str">
        <f t="shared" si="8"/>
        <v>No</v>
      </c>
    </row>
    <row r="564" spans="1:23" s="1" customFormat="1" ht="11.25">
      <c r="A564" s="2" t="s">
        <v>1630</v>
      </c>
      <c r="B564" s="21" t="s">
        <v>1663</v>
      </c>
      <c r="C564" s="26" t="s">
        <v>45</v>
      </c>
      <c r="D564" s="163"/>
      <c r="E564" s="166">
        <v>10183</v>
      </c>
      <c r="F564" s="92" t="s">
        <v>160</v>
      </c>
      <c r="G564" s="20" t="s">
        <v>149</v>
      </c>
      <c r="H564" s="18">
        <v>246695</v>
      </c>
      <c r="I564" s="18">
        <v>35</v>
      </c>
      <c r="J564" s="4" t="s">
        <v>12</v>
      </c>
      <c r="K564" s="26" t="s">
        <v>11</v>
      </c>
      <c r="L564" s="172">
        <v>25</v>
      </c>
      <c r="M564" s="6">
        <v>3</v>
      </c>
      <c r="N564" s="6"/>
      <c r="O564" s="6">
        <v>0</v>
      </c>
      <c r="P564" s="6"/>
      <c r="Q564" s="7">
        <v>3</v>
      </c>
      <c r="R564" s="6"/>
      <c r="S564" s="1">
        <v>0</v>
      </c>
      <c r="U564" s="1">
        <v>0</v>
      </c>
      <c r="W564" s="1" t="str">
        <f t="shared" si="8"/>
        <v>No</v>
      </c>
    </row>
    <row r="565" spans="1:23" s="1" customFormat="1" ht="11.25">
      <c r="A565" s="2" t="s">
        <v>1342</v>
      </c>
      <c r="B565" s="21" t="s">
        <v>953</v>
      </c>
      <c r="C565" s="26" t="s">
        <v>19</v>
      </c>
      <c r="D565" s="163">
        <v>9142</v>
      </c>
      <c r="E565" s="166">
        <v>90142</v>
      </c>
      <c r="F565" s="92" t="s">
        <v>98</v>
      </c>
      <c r="G565" s="20" t="s">
        <v>149</v>
      </c>
      <c r="H565" s="18">
        <v>72794</v>
      </c>
      <c r="I565" s="18">
        <v>35</v>
      </c>
      <c r="J565" s="4" t="s">
        <v>12</v>
      </c>
      <c r="K565" s="26" t="s">
        <v>11</v>
      </c>
      <c r="L565" s="172">
        <v>35</v>
      </c>
      <c r="M565" s="6">
        <v>0</v>
      </c>
      <c r="N565" s="6"/>
      <c r="O565" s="6">
        <v>0</v>
      </c>
      <c r="P565" s="6"/>
      <c r="Q565" s="7">
        <v>0</v>
      </c>
      <c r="R565" s="6"/>
      <c r="S565" s="1">
        <v>0</v>
      </c>
      <c r="U565" s="1">
        <v>0</v>
      </c>
      <c r="W565" s="1" t="str">
        <f t="shared" si="8"/>
        <v>No</v>
      </c>
    </row>
    <row r="566" spans="1:23" s="1" customFormat="1" ht="11.25">
      <c r="A566" s="2" t="s">
        <v>982</v>
      </c>
      <c r="B566" s="21" t="s">
        <v>983</v>
      </c>
      <c r="C566" s="26" t="s">
        <v>37</v>
      </c>
      <c r="D566" s="163">
        <v>7008</v>
      </c>
      <c r="E566" s="166">
        <v>70008</v>
      </c>
      <c r="F566" s="92" t="s">
        <v>152</v>
      </c>
      <c r="G566" s="20" t="s">
        <v>149</v>
      </c>
      <c r="H566" s="18">
        <v>177844</v>
      </c>
      <c r="I566" s="18">
        <v>35</v>
      </c>
      <c r="J566" s="4" t="s">
        <v>12</v>
      </c>
      <c r="K566" s="26" t="s">
        <v>11</v>
      </c>
      <c r="L566" s="172">
        <v>22</v>
      </c>
      <c r="M566" s="6">
        <v>1</v>
      </c>
      <c r="N566" s="6"/>
      <c r="O566" s="6">
        <v>0</v>
      </c>
      <c r="P566" s="6"/>
      <c r="Q566" s="7">
        <v>1</v>
      </c>
      <c r="R566" s="6"/>
      <c r="S566" s="1">
        <v>1</v>
      </c>
      <c r="U566" s="1">
        <v>0</v>
      </c>
      <c r="W566" s="1" t="str">
        <f t="shared" si="8"/>
        <v>No</v>
      </c>
    </row>
    <row r="567" spans="1:23" s="1" customFormat="1" ht="11.25">
      <c r="A567" s="2" t="s">
        <v>1040</v>
      </c>
      <c r="B567" s="21" t="s">
        <v>1041</v>
      </c>
      <c r="C567" s="26" t="s">
        <v>86</v>
      </c>
      <c r="D567" s="163">
        <v>3076</v>
      </c>
      <c r="E567" s="166">
        <v>30076</v>
      </c>
      <c r="F567" s="92" t="s">
        <v>160</v>
      </c>
      <c r="G567" s="20" t="s">
        <v>149</v>
      </c>
      <c r="H567" s="18">
        <v>75689</v>
      </c>
      <c r="I567" s="18">
        <v>35</v>
      </c>
      <c r="J567" s="4" t="s">
        <v>12</v>
      </c>
      <c r="K567" s="26" t="s">
        <v>11</v>
      </c>
      <c r="L567" s="172">
        <v>20</v>
      </c>
      <c r="M567" s="6">
        <v>1</v>
      </c>
      <c r="N567" s="6"/>
      <c r="O567" s="6">
        <v>0</v>
      </c>
      <c r="P567" s="6"/>
      <c r="Q567" s="7">
        <v>1</v>
      </c>
      <c r="R567" s="6"/>
      <c r="S567" s="1">
        <v>0</v>
      </c>
      <c r="U567" s="1">
        <v>0</v>
      </c>
      <c r="W567" s="1" t="str">
        <f t="shared" si="8"/>
        <v>No</v>
      </c>
    </row>
    <row r="568" spans="1:23" s="1" customFormat="1" ht="11.25">
      <c r="A568" s="2" t="s">
        <v>1387</v>
      </c>
      <c r="B568" s="21" t="s">
        <v>265</v>
      </c>
      <c r="C568" s="26" t="s">
        <v>19</v>
      </c>
      <c r="D568" s="163">
        <v>9061</v>
      </c>
      <c r="E568" s="166">
        <v>90061</v>
      </c>
      <c r="F568" s="92" t="s">
        <v>160</v>
      </c>
      <c r="G568" s="20" t="s">
        <v>149</v>
      </c>
      <c r="H568" s="18">
        <v>116719</v>
      </c>
      <c r="I568" s="18">
        <v>34</v>
      </c>
      <c r="J568" s="4" t="s">
        <v>12</v>
      </c>
      <c r="K568" s="26" t="s">
        <v>15</v>
      </c>
      <c r="L568" s="172">
        <v>14</v>
      </c>
      <c r="M568" s="6">
        <v>0</v>
      </c>
      <c r="N568" s="6"/>
      <c r="O568" s="6">
        <v>0</v>
      </c>
      <c r="P568" s="6"/>
      <c r="Q568" s="7">
        <v>0</v>
      </c>
      <c r="R568" s="6"/>
      <c r="S568" s="1">
        <v>0</v>
      </c>
      <c r="U568" s="1">
        <v>0</v>
      </c>
      <c r="W568" s="1" t="str">
        <f t="shared" si="8"/>
        <v>No</v>
      </c>
    </row>
    <row r="569" spans="1:23" s="1" customFormat="1" ht="11.25">
      <c r="A569" s="2" t="s">
        <v>1033</v>
      </c>
      <c r="B569" s="21" t="s">
        <v>1034</v>
      </c>
      <c r="C569" s="26" t="s">
        <v>32</v>
      </c>
      <c r="D569" s="163">
        <v>4104</v>
      </c>
      <c r="E569" s="166">
        <v>40104</v>
      </c>
      <c r="F569" s="92" t="s">
        <v>152</v>
      </c>
      <c r="G569" s="20" t="s">
        <v>149</v>
      </c>
      <c r="H569" s="18">
        <v>149422</v>
      </c>
      <c r="I569" s="18">
        <v>34</v>
      </c>
      <c r="J569" s="4" t="s">
        <v>12</v>
      </c>
      <c r="K569" s="26" t="s">
        <v>15</v>
      </c>
      <c r="L569" s="172">
        <v>16</v>
      </c>
      <c r="M569" s="6">
        <v>1</v>
      </c>
      <c r="N569" s="6"/>
      <c r="O569" s="6">
        <v>0</v>
      </c>
      <c r="P569" s="6"/>
      <c r="Q569" s="7">
        <v>1</v>
      </c>
      <c r="R569" s="6"/>
      <c r="S569" s="1">
        <v>0</v>
      </c>
      <c r="U569" s="1">
        <v>0</v>
      </c>
      <c r="W569" s="1" t="str">
        <f t="shared" si="8"/>
        <v>No</v>
      </c>
    </row>
    <row r="570" spans="1:23" s="1" customFormat="1" ht="11.25">
      <c r="A570" s="2" t="s">
        <v>1694</v>
      </c>
      <c r="B570" s="21" t="s">
        <v>796</v>
      </c>
      <c r="C570" s="26" t="s">
        <v>19</v>
      </c>
      <c r="D570" s="163"/>
      <c r="E570" s="166">
        <v>99423</v>
      </c>
      <c r="F570" s="92" t="s">
        <v>152</v>
      </c>
      <c r="G570" s="20" t="s">
        <v>149</v>
      </c>
      <c r="H570" s="18">
        <v>12150996</v>
      </c>
      <c r="I570" s="18">
        <v>34</v>
      </c>
      <c r="J570" s="4" t="s">
        <v>12</v>
      </c>
      <c r="K570" s="26" t="s">
        <v>15</v>
      </c>
      <c r="L570" s="172">
        <v>28</v>
      </c>
      <c r="M570" s="6">
        <v>0</v>
      </c>
      <c r="N570" s="6"/>
      <c r="O570" s="6">
        <v>0</v>
      </c>
      <c r="P570" s="6"/>
      <c r="Q570" s="7">
        <v>0</v>
      </c>
      <c r="R570" s="6"/>
      <c r="S570" s="1">
        <v>0</v>
      </c>
      <c r="U570" s="1">
        <v>0</v>
      </c>
      <c r="W570" s="1" t="str">
        <f t="shared" si="8"/>
        <v>No</v>
      </c>
    </row>
    <row r="571" spans="1:23" s="1" customFormat="1" ht="11.25">
      <c r="A571" s="2" t="s">
        <v>1689</v>
      </c>
      <c r="B571" s="21" t="s">
        <v>573</v>
      </c>
      <c r="C571" s="26" t="s">
        <v>47</v>
      </c>
      <c r="D571" s="163" t="s">
        <v>1690</v>
      </c>
      <c r="E571" s="166">
        <v>30129</v>
      </c>
      <c r="F571" s="92" t="s">
        <v>152</v>
      </c>
      <c r="G571" s="20" t="s">
        <v>149</v>
      </c>
      <c r="H571" s="18">
        <v>2203663</v>
      </c>
      <c r="I571" s="18">
        <v>34</v>
      </c>
      <c r="J571" s="4" t="s">
        <v>12</v>
      </c>
      <c r="K571" s="26" t="s">
        <v>15</v>
      </c>
      <c r="L571" s="172">
        <v>5</v>
      </c>
      <c r="M571" s="6">
        <v>0</v>
      </c>
      <c r="N571" s="6"/>
      <c r="O571" s="6">
        <v>0</v>
      </c>
      <c r="P571" s="6"/>
      <c r="Q571" s="7">
        <v>0</v>
      </c>
      <c r="R571" s="6"/>
      <c r="S571" s="1">
        <v>0</v>
      </c>
      <c r="U571" s="1">
        <v>0</v>
      </c>
      <c r="W571" s="1" t="str">
        <f t="shared" si="8"/>
        <v>No</v>
      </c>
    </row>
    <row r="572" spans="1:23" s="1" customFormat="1" ht="11.25">
      <c r="A572" s="2" t="s">
        <v>135</v>
      </c>
      <c r="B572" s="21" t="s">
        <v>556</v>
      </c>
      <c r="C572" s="26" t="s">
        <v>75</v>
      </c>
      <c r="D572" s="163">
        <v>3011</v>
      </c>
      <c r="E572" s="166">
        <v>30011</v>
      </c>
      <c r="F572" s="92" t="s">
        <v>160</v>
      </c>
      <c r="G572" s="20" t="s">
        <v>149</v>
      </c>
      <c r="H572" s="18">
        <v>79930</v>
      </c>
      <c r="I572" s="18">
        <v>34</v>
      </c>
      <c r="J572" s="4" t="s">
        <v>12</v>
      </c>
      <c r="K572" s="26" t="s">
        <v>11</v>
      </c>
      <c r="L572" s="172">
        <v>21</v>
      </c>
      <c r="M572" s="6">
        <v>1</v>
      </c>
      <c r="N572" s="6"/>
      <c r="O572" s="6">
        <v>0</v>
      </c>
      <c r="P572" s="6"/>
      <c r="Q572" s="7">
        <v>1</v>
      </c>
      <c r="R572" s="6"/>
      <c r="S572" s="1">
        <v>0</v>
      </c>
      <c r="U572" s="1">
        <v>0</v>
      </c>
      <c r="W572" s="1" t="str">
        <f t="shared" si="8"/>
        <v>No</v>
      </c>
    </row>
    <row r="573" spans="1:23" s="1" customFormat="1" ht="11.25">
      <c r="A573" s="2" t="s">
        <v>1387</v>
      </c>
      <c r="B573" s="21" t="s">
        <v>265</v>
      </c>
      <c r="C573" s="26" t="s">
        <v>19</v>
      </c>
      <c r="D573" s="163">
        <v>9061</v>
      </c>
      <c r="E573" s="166">
        <v>90061</v>
      </c>
      <c r="F573" s="92" t="s">
        <v>160</v>
      </c>
      <c r="G573" s="20" t="s">
        <v>149</v>
      </c>
      <c r="H573" s="18">
        <v>116719</v>
      </c>
      <c r="I573" s="18">
        <v>34</v>
      </c>
      <c r="J573" s="4" t="s">
        <v>21</v>
      </c>
      <c r="K573" s="26" t="s">
        <v>15</v>
      </c>
      <c r="L573" s="172">
        <v>10</v>
      </c>
      <c r="M573" s="6">
        <v>0</v>
      </c>
      <c r="N573" s="6"/>
      <c r="O573" s="6">
        <v>0</v>
      </c>
      <c r="P573" s="6"/>
      <c r="Q573" s="7">
        <v>0</v>
      </c>
      <c r="R573" s="6"/>
      <c r="S573" s="1">
        <v>0</v>
      </c>
      <c r="U573" s="1">
        <v>0</v>
      </c>
      <c r="W573" s="1" t="str">
        <f t="shared" si="8"/>
        <v>No</v>
      </c>
    </row>
    <row r="574" spans="1:23" s="1" customFormat="1" ht="11.25">
      <c r="A574" s="2" t="s">
        <v>1131</v>
      </c>
      <c r="B574" s="21" t="s">
        <v>298</v>
      </c>
      <c r="C574" s="26" t="s">
        <v>56</v>
      </c>
      <c r="D574" s="163">
        <v>8009</v>
      </c>
      <c r="E574" s="166">
        <v>80009</v>
      </c>
      <c r="F574" s="92" t="s">
        <v>160</v>
      </c>
      <c r="G574" s="20" t="s">
        <v>149</v>
      </c>
      <c r="H574" s="18">
        <v>82157</v>
      </c>
      <c r="I574" s="18">
        <v>33</v>
      </c>
      <c r="J574" s="4" t="s">
        <v>12</v>
      </c>
      <c r="K574" s="26" t="s">
        <v>11</v>
      </c>
      <c r="L574" s="172">
        <v>24</v>
      </c>
      <c r="M574" s="6">
        <v>1</v>
      </c>
      <c r="N574" s="6"/>
      <c r="O574" s="6">
        <v>0</v>
      </c>
      <c r="P574" s="6"/>
      <c r="Q574" s="7">
        <v>1</v>
      </c>
      <c r="R574" s="6"/>
      <c r="S574" s="1">
        <v>1</v>
      </c>
      <c r="U574" s="1">
        <v>0</v>
      </c>
      <c r="W574" s="1" t="str">
        <f t="shared" si="8"/>
        <v>No</v>
      </c>
    </row>
    <row r="575" spans="1:23" s="1" customFormat="1" ht="11.25">
      <c r="A575" s="2" t="s">
        <v>662</v>
      </c>
      <c r="B575" s="21" t="s">
        <v>663</v>
      </c>
      <c r="C575" s="26" t="s">
        <v>19</v>
      </c>
      <c r="D575" s="163">
        <v>9229</v>
      </c>
      <c r="E575" s="166">
        <v>90229</v>
      </c>
      <c r="F575" s="92" t="s">
        <v>160</v>
      </c>
      <c r="G575" s="20" t="s">
        <v>149</v>
      </c>
      <c r="H575" s="18">
        <v>1723634</v>
      </c>
      <c r="I575" s="18">
        <v>33</v>
      </c>
      <c r="J575" s="4" t="s">
        <v>21</v>
      </c>
      <c r="K575" s="26" t="s">
        <v>11</v>
      </c>
      <c r="L575" s="172">
        <v>10</v>
      </c>
      <c r="M575" s="6">
        <v>0</v>
      </c>
      <c r="N575" s="6"/>
      <c r="O575" s="6">
        <v>0</v>
      </c>
      <c r="P575" s="6"/>
      <c r="Q575" s="7">
        <v>0</v>
      </c>
      <c r="R575" s="6"/>
      <c r="S575" s="1">
        <v>0</v>
      </c>
      <c r="U575" s="1">
        <v>0</v>
      </c>
      <c r="W575" s="1" t="str">
        <f t="shared" si="8"/>
        <v>No</v>
      </c>
    </row>
    <row r="576" spans="1:23" s="1" customFormat="1" ht="11.25">
      <c r="A576" s="2" t="s">
        <v>1655</v>
      </c>
      <c r="B576" s="21" t="s">
        <v>1681</v>
      </c>
      <c r="C576" s="26" t="s">
        <v>84</v>
      </c>
      <c r="D576" s="163">
        <v>6134</v>
      </c>
      <c r="E576" s="166">
        <v>60134</v>
      </c>
      <c r="F576" s="92" t="s">
        <v>152</v>
      </c>
      <c r="G576" s="20" t="s">
        <v>149</v>
      </c>
      <c r="H576" s="18">
        <v>239938</v>
      </c>
      <c r="I576" s="18">
        <v>33</v>
      </c>
      <c r="J576" s="4" t="s">
        <v>21</v>
      </c>
      <c r="K576" s="26" t="s">
        <v>15</v>
      </c>
      <c r="L576" s="172">
        <v>30</v>
      </c>
      <c r="M576" s="6">
        <v>3</v>
      </c>
      <c r="N576" s="6"/>
      <c r="O576" s="6">
        <v>0</v>
      </c>
      <c r="P576" s="6"/>
      <c r="Q576" s="7">
        <v>3</v>
      </c>
      <c r="R576" s="6"/>
      <c r="S576" s="1">
        <v>0</v>
      </c>
      <c r="U576" s="1">
        <v>0</v>
      </c>
      <c r="W576" s="1" t="str">
        <f t="shared" si="8"/>
        <v>No</v>
      </c>
    </row>
    <row r="577" spans="1:23" s="1" customFormat="1" ht="11.25">
      <c r="A577" s="2" t="s">
        <v>662</v>
      </c>
      <c r="B577" s="21" t="s">
        <v>663</v>
      </c>
      <c r="C577" s="26" t="s">
        <v>19</v>
      </c>
      <c r="D577" s="163">
        <v>9229</v>
      </c>
      <c r="E577" s="166">
        <v>90229</v>
      </c>
      <c r="F577" s="92" t="s">
        <v>160</v>
      </c>
      <c r="G577" s="20" t="s">
        <v>149</v>
      </c>
      <c r="H577" s="18">
        <v>1723634</v>
      </c>
      <c r="I577" s="18">
        <v>33</v>
      </c>
      <c r="J577" s="4" t="s">
        <v>12</v>
      </c>
      <c r="K577" s="26" t="s">
        <v>11</v>
      </c>
      <c r="L577" s="172">
        <v>8</v>
      </c>
      <c r="M577" s="6">
        <v>0</v>
      </c>
      <c r="N577" s="6"/>
      <c r="O577" s="6">
        <v>0</v>
      </c>
      <c r="P577" s="6"/>
      <c r="Q577" s="7">
        <v>0</v>
      </c>
      <c r="R577" s="6"/>
      <c r="S577" s="1">
        <v>0</v>
      </c>
      <c r="U577" s="1">
        <v>0</v>
      </c>
      <c r="W577" s="1" t="str">
        <f t="shared" si="8"/>
        <v>No</v>
      </c>
    </row>
    <row r="578" spans="1:23" s="1" customFormat="1" ht="11.25">
      <c r="A578" s="2" t="s">
        <v>1655</v>
      </c>
      <c r="B578" s="21" t="s">
        <v>1681</v>
      </c>
      <c r="C578" s="26" t="s">
        <v>84</v>
      </c>
      <c r="D578" s="163">
        <v>6134</v>
      </c>
      <c r="E578" s="166">
        <v>60134</v>
      </c>
      <c r="F578" s="92" t="s">
        <v>152</v>
      </c>
      <c r="G578" s="20" t="s">
        <v>149</v>
      </c>
      <c r="H578" s="18">
        <v>239938</v>
      </c>
      <c r="I578" s="18">
        <v>33</v>
      </c>
      <c r="J578" s="4" t="s">
        <v>12</v>
      </c>
      <c r="K578" s="26" t="s">
        <v>15</v>
      </c>
      <c r="L578" s="172">
        <v>3</v>
      </c>
      <c r="M578" s="6">
        <v>0</v>
      </c>
      <c r="N578" s="6"/>
      <c r="O578" s="6">
        <v>0</v>
      </c>
      <c r="P578" s="6"/>
      <c r="Q578" s="7">
        <v>0</v>
      </c>
      <c r="R578" s="6"/>
      <c r="S578" s="1">
        <v>0</v>
      </c>
      <c r="U578" s="1">
        <v>0</v>
      </c>
      <c r="W578" s="1" t="str">
        <f t="shared" ref="W578:W641" si="9">IF(V578&amp;T578&amp;R578&amp;P578&amp;N578&lt;&gt;"","Yes","No")</f>
        <v>No</v>
      </c>
    </row>
    <row r="579" spans="1:23" s="1" customFormat="1" ht="11.25">
      <c r="A579" s="2" t="s">
        <v>1356</v>
      </c>
      <c r="B579" s="21" t="s">
        <v>1404</v>
      </c>
      <c r="C579" s="26" t="s">
        <v>92</v>
      </c>
      <c r="D579" s="163">
        <v>5160</v>
      </c>
      <c r="E579" s="166">
        <v>50160</v>
      </c>
      <c r="F579" s="92" t="s">
        <v>152</v>
      </c>
      <c r="G579" s="20" t="s">
        <v>149</v>
      </c>
      <c r="H579" s="18">
        <v>1376476</v>
      </c>
      <c r="I579" s="18">
        <v>33</v>
      </c>
      <c r="J579" s="4" t="s">
        <v>21</v>
      </c>
      <c r="K579" s="26" t="s">
        <v>15</v>
      </c>
      <c r="L579" s="172">
        <v>8</v>
      </c>
      <c r="M579" s="6">
        <v>0</v>
      </c>
      <c r="N579" s="6"/>
      <c r="O579" s="6">
        <v>0</v>
      </c>
      <c r="P579" s="6"/>
      <c r="Q579" s="7">
        <v>0</v>
      </c>
      <c r="R579" s="6"/>
      <c r="S579" s="1">
        <v>0</v>
      </c>
      <c r="U579" s="1">
        <v>0</v>
      </c>
      <c r="W579" s="1" t="str">
        <f t="shared" si="9"/>
        <v>No</v>
      </c>
    </row>
    <row r="580" spans="1:23" s="1" customFormat="1" ht="11.25">
      <c r="A580" s="2" t="s">
        <v>655</v>
      </c>
      <c r="B580" s="21" t="s">
        <v>656</v>
      </c>
      <c r="C580" s="26" t="s">
        <v>32</v>
      </c>
      <c r="D580" s="163">
        <v>4097</v>
      </c>
      <c r="E580" s="166">
        <v>40097</v>
      </c>
      <c r="F580" s="92" t="s">
        <v>323</v>
      </c>
      <c r="G580" s="20" t="s">
        <v>149</v>
      </c>
      <c r="H580" s="18">
        <v>376047</v>
      </c>
      <c r="I580" s="18">
        <v>33</v>
      </c>
      <c r="J580" s="4" t="s">
        <v>12</v>
      </c>
      <c r="K580" s="26" t="s">
        <v>11</v>
      </c>
      <c r="L580" s="172">
        <v>9</v>
      </c>
      <c r="M580" s="6">
        <v>1</v>
      </c>
      <c r="N580" s="6"/>
      <c r="O580" s="6">
        <v>0</v>
      </c>
      <c r="P580" s="6"/>
      <c r="Q580" s="7">
        <v>1</v>
      </c>
      <c r="R580" s="6"/>
      <c r="S580" s="1">
        <v>0</v>
      </c>
      <c r="U580" s="1">
        <v>0</v>
      </c>
      <c r="W580" s="1" t="str">
        <f t="shared" si="9"/>
        <v>No</v>
      </c>
    </row>
    <row r="581" spans="1:23" s="1" customFormat="1" ht="11.25">
      <c r="A581" s="2" t="s">
        <v>14</v>
      </c>
      <c r="B581" s="21" t="s">
        <v>199</v>
      </c>
      <c r="C581" s="26" t="s">
        <v>13</v>
      </c>
      <c r="D581" s="163">
        <v>4071</v>
      </c>
      <c r="E581" s="166">
        <v>40071</v>
      </c>
      <c r="F581" s="92" t="s">
        <v>152</v>
      </c>
      <c r="G581" s="20" t="s">
        <v>149</v>
      </c>
      <c r="H581" s="18">
        <v>286692</v>
      </c>
      <c r="I581" s="18">
        <v>32</v>
      </c>
      <c r="J581" s="4" t="s">
        <v>12</v>
      </c>
      <c r="K581" s="26" t="s">
        <v>11</v>
      </c>
      <c r="L581" s="172">
        <v>13</v>
      </c>
      <c r="M581" s="6">
        <v>2</v>
      </c>
      <c r="N581" s="6"/>
      <c r="O581" s="6">
        <v>0</v>
      </c>
      <c r="P581" s="6"/>
      <c r="Q581" s="7">
        <v>2</v>
      </c>
      <c r="R581" s="6"/>
      <c r="S581" s="1">
        <v>2</v>
      </c>
      <c r="U581" s="1">
        <v>1</v>
      </c>
      <c r="W581" s="1" t="str">
        <f t="shared" si="9"/>
        <v>No</v>
      </c>
    </row>
    <row r="582" spans="1:23" s="1" customFormat="1" ht="11.25">
      <c r="A582" s="2" t="s">
        <v>1133</v>
      </c>
      <c r="B582" s="21" t="s">
        <v>1134</v>
      </c>
      <c r="C582" s="26" t="s">
        <v>69</v>
      </c>
      <c r="D582" s="163">
        <v>2135</v>
      </c>
      <c r="E582" s="166">
        <v>20135</v>
      </c>
      <c r="F582" s="92" t="s">
        <v>148</v>
      </c>
      <c r="G582" s="20" t="s">
        <v>149</v>
      </c>
      <c r="H582" s="18">
        <v>18351295</v>
      </c>
      <c r="I582" s="18">
        <v>32</v>
      </c>
      <c r="J582" s="4" t="s">
        <v>21</v>
      </c>
      <c r="K582" s="26" t="s">
        <v>11</v>
      </c>
      <c r="L582" s="172">
        <v>32</v>
      </c>
      <c r="M582" s="6">
        <v>0</v>
      </c>
      <c r="N582" s="6"/>
      <c r="O582" s="6">
        <v>0</v>
      </c>
      <c r="P582" s="6"/>
      <c r="Q582" s="7">
        <v>0</v>
      </c>
      <c r="R582" s="6"/>
      <c r="S582" s="1">
        <v>0</v>
      </c>
      <c r="U582" s="1">
        <v>0</v>
      </c>
      <c r="W582" s="1" t="str">
        <f t="shared" si="9"/>
        <v>No</v>
      </c>
    </row>
    <row r="583" spans="1:23" s="1" customFormat="1" ht="11.25">
      <c r="A583" s="2" t="s">
        <v>492</v>
      </c>
      <c r="B583" s="21" t="s">
        <v>493</v>
      </c>
      <c r="C583" s="26" t="s">
        <v>32</v>
      </c>
      <c r="D583" s="163">
        <v>4185</v>
      </c>
      <c r="E583" s="166">
        <v>40185</v>
      </c>
      <c r="F583" s="92" t="s">
        <v>188</v>
      </c>
      <c r="G583" s="20" t="s">
        <v>149</v>
      </c>
      <c r="H583" s="18">
        <v>143280</v>
      </c>
      <c r="I583" s="18">
        <v>32</v>
      </c>
      <c r="J583" s="4" t="s">
        <v>12</v>
      </c>
      <c r="K583" s="26" t="s">
        <v>15</v>
      </c>
      <c r="L583" s="172">
        <v>10</v>
      </c>
      <c r="M583" s="6">
        <v>1</v>
      </c>
      <c r="N583" s="6"/>
      <c r="O583" s="6">
        <v>0</v>
      </c>
      <c r="P583" s="6"/>
      <c r="Q583" s="7">
        <v>1</v>
      </c>
      <c r="R583" s="6"/>
      <c r="S583" s="1">
        <v>0</v>
      </c>
      <c r="U583" s="1">
        <v>0</v>
      </c>
      <c r="W583" s="1" t="str">
        <f t="shared" si="9"/>
        <v>No</v>
      </c>
    </row>
    <row r="584" spans="1:23" s="1" customFormat="1" ht="11.25">
      <c r="A584" s="2" t="s">
        <v>1405</v>
      </c>
      <c r="B584" s="21" t="s">
        <v>1406</v>
      </c>
      <c r="C584" s="26" t="s">
        <v>92</v>
      </c>
      <c r="D584" s="163">
        <v>5161</v>
      </c>
      <c r="E584" s="166">
        <v>50161</v>
      </c>
      <c r="F584" s="92" t="s">
        <v>152</v>
      </c>
      <c r="G584" s="20" t="s">
        <v>149</v>
      </c>
      <c r="H584" s="18">
        <v>1376476</v>
      </c>
      <c r="I584" s="18">
        <v>31</v>
      </c>
      <c r="J584" s="4" t="s">
        <v>21</v>
      </c>
      <c r="K584" s="26" t="s">
        <v>11</v>
      </c>
      <c r="L584" s="172">
        <v>7</v>
      </c>
      <c r="M584" s="6">
        <v>0</v>
      </c>
      <c r="N584" s="6"/>
      <c r="O584" s="6">
        <v>0</v>
      </c>
      <c r="P584" s="6"/>
      <c r="Q584" s="7">
        <v>0</v>
      </c>
      <c r="R584" s="6"/>
      <c r="S584" s="1">
        <v>0</v>
      </c>
      <c r="U584" s="1">
        <v>0</v>
      </c>
      <c r="W584" s="1" t="str">
        <f t="shared" si="9"/>
        <v>No</v>
      </c>
    </row>
    <row r="585" spans="1:23" s="1" customFormat="1" ht="11.25">
      <c r="A585" s="2" t="s">
        <v>621</v>
      </c>
      <c r="B585" s="21" t="s">
        <v>622</v>
      </c>
      <c r="C585" s="26" t="s">
        <v>56</v>
      </c>
      <c r="D585" s="163">
        <v>8004</v>
      </c>
      <c r="E585" s="166">
        <v>80004</v>
      </c>
      <c r="F585" s="92" t="s">
        <v>152</v>
      </c>
      <c r="G585" s="20" t="s">
        <v>149</v>
      </c>
      <c r="H585" s="18">
        <v>114773</v>
      </c>
      <c r="I585" s="18">
        <v>31</v>
      </c>
      <c r="J585" s="4" t="s">
        <v>12</v>
      </c>
      <c r="K585" s="26" t="s">
        <v>11</v>
      </c>
      <c r="L585" s="172">
        <v>20</v>
      </c>
      <c r="M585" s="6">
        <v>2</v>
      </c>
      <c r="N585" s="6"/>
      <c r="O585" s="6">
        <v>0</v>
      </c>
      <c r="P585" s="6"/>
      <c r="Q585" s="7">
        <v>2</v>
      </c>
      <c r="R585" s="6"/>
      <c r="S585" s="1">
        <v>0</v>
      </c>
      <c r="U585" s="1">
        <v>0</v>
      </c>
      <c r="W585" s="1" t="str">
        <f t="shared" si="9"/>
        <v>No</v>
      </c>
    </row>
    <row r="586" spans="1:23" s="1" customFormat="1" ht="11.25">
      <c r="A586" s="2" t="s">
        <v>1844</v>
      </c>
      <c r="B586" s="21" t="s">
        <v>209</v>
      </c>
      <c r="C586" s="26" t="s">
        <v>55</v>
      </c>
      <c r="D586" s="163">
        <v>4015</v>
      </c>
      <c r="E586" s="166">
        <v>40015</v>
      </c>
      <c r="F586" s="92" t="s">
        <v>152</v>
      </c>
      <c r="G586" s="20" t="s">
        <v>149</v>
      </c>
      <c r="H586" s="18">
        <v>351478</v>
      </c>
      <c r="I586" s="18">
        <v>31</v>
      </c>
      <c r="J586" s="4" t="s">
        <v>12</v>
      </c>
      <c r="K586" s="26" t="s">
        <v>15</v>
      </c>
      <c r="L586" s="172">
        <v>14</v>
      </c>
      <c r="M586" s="6">
        <v>1</v>
      </c>
      <c r="N586" s="6"/>
      <c r="O586" s="6">
        <v>0</v>
      </c>
      <c r="P586" s="6"/>
      <c r="Q586" s="7">
        <v>1</v>
      </c>
      <c r="R586" s="6"/>
      <c r="S586" s="1">
        <v>1</v>
      </c>
      <c r="U586" s="1">
        <v>0</v>
      </c>
      <c r="W586" s="1" t="str">
        <f t="shared" si="9"/>
        <v>No</v>
      </c>
    </row>
    <row r="587" spans="1:23" s="1" customFormat="1" ht="11.25">
      <c r="A587" s="2" t="s">
        <v>1695</v>
      </c>
      <c r="B587" s="21" t="s">
        <v>1696</v>
      </c>
      <c r="C587" s="26" t="s">
        <v>19</v>
      </c>
      <c r="D587" s="163"/>
      <c r="E587" s="166">
        <v>99424</v>
      </c>
      <c r="F587" s="92" t="s">
        <v>152</v>
      </c>
      <c r="G587" s="20" t="s">
        <v>1490</v>
      </c>
      <c r="H587" s="18">
        <v>12150996</v>
      </c>
      <c r="I587" s="18">
        <v>31</v>
      </c>
      <c r="J587" s="4" t="s">
        <v>12</v>
      </c>
      <c r="K587" s="26" t="s">
        <v>15</v>
      </c>
      <c r="L587" s="172">
        <v>19</v>
      </c>
      <c r="M587" s="6">
        <v>0</v>
      </c>
      <c r="N587" s="6"/>
      <c r="O587" s="6">
        <v>0</v>
      </c>
      <c r="P587" s="6"/>
      <c r="Q587" s="7">
        <v>0</v>
      </c>
      <c r="R587" s="6"/>
      <c r="S587" s="1">
        <v>0</v>
      </c>
      <c r="U587" s="1">
        <v>0</v>
      </c>
      <c r="W587" s="1" t="str">
        <f t="shared" si="9"/>
        <v>No</v>
      </c>
    </row>
    <row r="588" spans="1:23" s="1" customFormat="1" ht="11.25">
      <c r="A588" s="2" t="s">
        <v>1451</v>
      </c>
      <c r="B588" s="21" t="s">
        <v>1452</v>
      </c>
      <c r="C588" s="26" t="s">
        <v>75</v>
      </c>
      <c r="D588" s="163">
        <v>3087</v>
      </c>
      <c r="E588" s="166">
        <v>30087</v>
      </c>
      <c r="F588" s="92" t="s">
        <v>152</v>
      </c>
      <c r="G588" s="20" t="s">
        <v>149</v>
      </c>
      <c r="H588" s="18">
        <v>51370</v>
      </c>
      <c r="I588" s="18">
        <v>31</v>
      </c>
      <c r="J588" s="4" t="s">
        <v>12</v>
      </c>
      <c r="K588" s="26" t="s">
        <v>11</v>
      </c>
      <c r="L588" s="172">
        <v>7</v>
      </c>
      <c r="M588" s="6">
        <v>1</v>
      </c>
      <c r="N588" s="6"/>
      <c r="O588" s="6">
        <v>0</v>
      </c>
      <c r="P588" s="6"/>
      <c r="Q588" s="7">
        <v>1</v>
      </c>
      <c r="R588" s="6"/>
      <c r="S588" s="1">
        <v>1</v>
      </c>
      <c r="U588" s="1">
        <v>0</v>
      </c>
      <c r="W588" s="1" t="str">
        <f t="shared" si="9"/>
        <v>No</v>
      </c>
    </row>
    <row r="589" spans="1:23" s="1" customFormat="1" ht="11.25">
      <c r="A589" s="2" t="s">
        <v>1451</v>
      </c>
      <c r="B589" s="21" t="s">
        <v>1452</v>
      </c>
      <c r="C589" s="26" t="s">
        <v>75</v>
      </c>
      <c r="D589" s="163">
        <v>3087</v>
      </c>
      <c r="E589" s="166">
        <v>30087</v>
      </c>
      <c r="F589" s="92" t="s">
        <v>152</v>
      </c>
      <c r="G589" s="20" t="s">
        <v>149</v>
      </c>
      <c r="H589" s="18">
        <v>51370</v>
      </c>
      <c r="I589" s="18">
        <v>31</v>
      </c>
      <c r="J589" s="4" t="s">
        <v>12</v>
      </c>
      <c r="K589" s="26" t="s">
        <v>15</v>
      </c>
      <c r="L589" s="172">
        <v>3</v>
      </c>
      <c r="M589" s="6">
        <v>1</v>
      </c>
      <c r="N589" s="6"/>
      <c r="O589" s="6">
        <v>0</v>
      </c>
      <c r="P589" s="6"/>
      <c r="Q589" s="7">
        <v>1</v>
      </c>
      <c r="R589" s="6"/>
      <c r="S589" s="1">
        <v>0</v>
      </c>
      <c r="U589" s="1">
        <v>0</v>
      </c>
      <c r="W589" s="1" t="str">
        <f t="shared" si="9"/>
        <v>No</v>
      </c>
    </row>
    <row r="590" spans="1:23" s="1" customFormat="1" ht="11.25">
      <c r="A590" s="2" t="s">
        <v>956</v>
      </c>
      <c r="B590" s="21" t="s">
        <v>957</v>
      </c>
      <c r="C590" s="26" t="s">
        <v>39</v>
      </c>
      <c r="D590" s="163">
        <v>5061</v>
      </c>
      <c r="E590" s="166">
        <v>50061</v>
      </c>
      <c r="F590" s="92" t="s">
        <v>152</v>
      </c>
      <c r="G590" s="20" t="s">
        <v>149</v>
      </c>
      <c r="H590" s="18">
        <v>93863</v>
      </c>
      <c r="I590" s="18">
        <v>31</v>
      </c>
      <c r="J590" s="4" t="s">
        <v>12</v>
      </c>
      <c r="K590" s="26" t="s">
        <v>11</v>
      </c>
      <c r="L590" s="172">
        <v>19</v>
      </c>
      <c r="M590" s="6">
        <v>1</v>
      </c>
      <c r="N590" s="6"/>
      <c r="O590" s="6">
        <v>0</v>
      </c>
      <c r="P590" s="6"/>
      <c r="Q590" s="7">
        <v>1</v>
      </c>
      <c r="R590" s="6"/>
      <c r="S590" s="1">
        <v>0</v>
      </c>
      <c r="U590" s="1">
        <v>0</v>
      </c>
      <c r="W590" s="1" t="str">
        <f t="shared" si="9"/>
        <v>No</v>
      </c>
    </row>
    <row r="591" spans="1:23" s="1" customFormat="1" ht="11.25">
      <c r="A591" s="2" t="s">
        <v>756</v>
      </c>
      <c r="B591" s="21" t="s">
        <v>757</v>
      </c>
      <c r="C591" s="26" t="s">
        <v>84</v>
      </c>
      <c r="D591" s="163">
        <v>6014</v>
      </c>
      <c r="E591" s="166">
        <v>60014</v>
      </c>
      <c r="F591" s="92" t="s">
        <v>152</v>
      </c>
      <c r="G591" s="20" t="s">
        <v>149</v>
      </c>
      <c r="H591" s="18">
        <v>217585</v>
      </c>
      <c r="I591" s="18">
        <v>30</v>
      </c>
      <c r="J591" s="4" t="s">
        <v>12</v>
      </c>
      <c r="K591" s="26" t="s">
        <v>11</v>
      </c>
      <c r="L591" s="172">
        <v>16</v>
      </c>
      <c r="M591" s="6">
        <v>1</v>
      </c>
      <c r="N591" s="6"/>
      <c r="O591" s="6">
        <v>0</v>
      </c>
      <c r="P591" s="6"/>
      <c r="Q591" s="7">
        <v>1</v>
      </c>
      <c r="R591" s="6"/>
      <c r="S591" s="1">
        <v>0</v>
      </c>
      <c r="U591" s="1">
        <v>0</v>
      </c>
      <c r="W591" s="1" t="str">
        <f t="shared" si="9"/>
        <v>No</v>
      </c>
    </row>
    <row r="592" spans="1:23" s="1" customFormat="1" ht="11.25">
      <c r="A592" s="2" t="s">
        <v>1638</v>
      </c>
      <c r="B592" s="21" t="s">
        <v>155</v>
      </c>
      <c r="C592" s="26" t="s">
        <v>47</v>
      </c>
      <c r="D592" s="163">
        <v>3092</v>
      </c>
      <c r="E592" s="166">
        <v>30092</v>
      </c>
      <c r="F592" s="92" t="s">
        <v>152</v>
      </c>
      <c r="G592" s="20" t="s">
        <v>1490</v>
      </c>
      <c r="H592" s="18">
        <v>72714</v>
      </c>
      <c r="I592" s="18">
        <v>30</v>
      </c>
      <c r="J592" s="4" t="s">
        <v>12</v>
      </c>
      <c r="K592" s="26" t="s">
        <v>15</v>
      </c>
      <c r="L592" s="172">
        <v>4</v>
      </c>
      <c r="M592" s="6">
        <v>0</v>
      </c>
      <c r="N592" s="6"/>
      <c r="O592" s="6">
        <v>0</v>
      </c>
      <c r="P592" s="6"/>
      <c r="Q592" s="7">
        <v>0</v>
      </c>
      <c r="R592" s="6"/>
      <c r="S592" s="1">
        <v>0</v>
      </c>
      <c r="U592" s="1">
        <v>0</v>
      </c>
      <c r="W592" s="1" t="str">
        <f t="shared" si="9"/>
        <v>No</v>
      </c>
    </row>
    <row r="593" spans="1:23" s="1" customFormat="1" ht="11.25">
      <c r="A593" s="2" t="s">
        <v>1056</v>
      </c>
      <c r="B593" s="21" t="s">
        <v>1057</v>
      </c>
      <c r="C593" s="26" t="s">
        <v>92</v>
      </c>
      <c r="D593" s="163">
        <v>5004</v>
      </c>
      <c r="E593" s="166">
        <v>50004</v>
      </c>
      <c r="F593" s="92" t="s">
        <v>152</v>
      </c>
      <c r="G593" s="20" t="s">
        <v>149</v>
      </c>
      <c r="H593" s="18">
        <v>100868</v>
      </c>
      <c r="I593" s="18">
        <v>30</v>
      </c>
      <c r="J593" s="4" t="s">
        <v>12</v>
      </c>
      <c r="K593" s="26" t="s">
        <v>11</v>
      </c>
      <c r="L593" s="172">
        <v>16</v>
      </c>
      <c r="M593" s="6">
        <v>1</v>
      </c>
      <c r="N593" s="6"/>
      <c r="O593" s="6">
        <v>0</v>
      </c>
      <c r="P593" s="6"/>
      <c r="Q593" s="7">
        <v>1</v>
      </c>
      <c r="R593" s="6"/>
      <c r="S593" s="1">
        <v>0</v>
      </c>
      <c r="U593" s="1">
        <v>0</v>
      </c>
      <c r="W593" s="1" t="str">
        <f t="shared" si="9"/>
        <v>No</v>
      </c>
    </row>
    <row r="594" spans="1:23" s="1" customFormat="1" ht="11.25">
      <c r="A594" s="2" t="s">
        <v>1411</v>
      </c>
      <c r="B594" s="21" t="s">
        <v>1412</v>
      </c>
      <c r="C594" s="26" t="s">
        <v>13</v>
      </c>
      <c r="D594" s="163">
        <v>4073</v>
      </c>
      <c r="E594" s="166">
        <v>40073</v>
      </c>
      <c r="F594" s="92" t="s">
        <v>188</v>
      </c>
      <c r="G594" s="20" t="s">
        <v>1490</v>
      </c>
      <c r="H594" s="18">
        <v>74741</v>
      </c>
      <c r="I594" s="18">
        <v>30</v>
      </c>
      <c r="J594" s="4" t="s">
        <v>12</v>
      </c>
      <c r="K594" s="26" t="s">
        <v>11</v>
      </c>
      <c r="L594" s="172">
        <v>3</v>
      </c>
      <c r="M594" s="6">
        <v>0</v>
      </c>
      <c r="N594" s="6"/>
      <c r="O594" s="6">
        <v>0</v>
      </c>
      <c r="P594" s="6"/>
      <c r="Q594" s="7">
        <v>0</v>
      </c>
      <c r="R594" s="6"/>
      <c r="S594" s="1">
        <v>0</v>
      </c>
      <c r="U594" s="1">
        <v>0</v>
      </c>
      <c r="W594" s="1" t="str">
        <f t="shared" si="9"/>
        <v>No</v>
      </c>
    </row>
    <row r="595" spans="1:23" s="1" customFormat="1" ht="11.25">
      <c r="A595" s="2" t="s">
        <v>880</v>
      </c>
      <c r="B595" s="21" t="s">
        <v>881</v>
      </c>
      <c r="C595" s="26" t="s">
        <v>77</v>
      </c>
      <c r="D595" s="163">
        <v>4112</v>
      </c>
      <c r="E595" s="166">
        <v>40112</v>
      </c>
      <c r="F595" s="92" t="s">
        <v>152</v>
      </c>
      <c r="G595" s="20" t="s">
        <v>1490</v>
      </c>
      <c r="H595" s="18">
        <v>2148346</v>
      </c>
      <c r="I595" s="18">
        <v>30</v>
      </c>
      <c r="J595" s="4" t="s">
        <v>12</v>
      </c>
      <c r="K595" s="26" t="s">
        <v>11</v>
      </c>
      <c r="L595" s="172">
        <v>30</v>
      </c>
      <c r="M595" s="6">
        <v>4</v>
      </c>
      <c r="N595" s="6"/>
      <c r="O595" s="6">
        <v>0</v>
      </c>
      <c r="P595" s="6"/>
      <c r="Q595" s="7">
        <v>4</v>
      </c>
      <c r="R595" s="6"/>
      <c r="S595" s="1">
        <v>1</v>
      </c>
      <c r="U595" s="1">
        <v>2</v>
      </c>
      <c r="W595" s="1" t="str">
        <f t="shared" si="9"/>
        <v>No</v>
      </c>
    </row>
    <row r="596" spans="1:23" s="1" customFormat="1" ht="11.25">
      <c r="A596" s="2" t="s">
        <v>186</v>
      </c>
      <c r="B596" s="21" t="s">
        <v>187</v>
      </c>
      <c r="C596" s="26" t="s">
        <v>84</v>
      </c>
      <c r="D596" s="163">
        <v>6095</v>
      </c>
      <c r="E596" s="166">
        <v>60095</v>
      </c>
      <c r="F596" s="92" t="s">
        <v>188</v>
      </c>
      <c r="G596" s="20" t="s">
        <v>1490</v>
      </c>
      <c r="H596" s="18">
        <v>63683</v>
      </c>
      <c r="I596" s="18">
        <v>30</v>
      </c>
      <c r="J596" s="4" t="s">
        <v>21</v>
      </c>
      <c r="K596" s="26" t="s">
        <v>11</v>
      </c>
      <c r="L596" s="172">
        <v>5</v>
      </c>
      <c r="M596" s="6">
        <v>1</v>
      </c>
      <c r="N596" s="6"/>
      <c r="O596" s="6">
        <v>0</v>
      </c>
      <c r="P596" s="6"/>
      <c r="Q596" s="7">
        <v>1</v>
      </c>
      <c r="R596" s="6"/>
      <c r="S596" s="1">
        <v>0</v>
      </c>
      <c r="U596" s="1">
        <v>0</v>
      </c>
      <c r="W596" s="1" t="str">
        <f t="shared" si="9"/>
        <v>No</v>
      </c>
    </row>
    <row r="597" spans="1:23" s="1" customFormat="1" ht="11.25">
      <c r="A597" s="2" t="s">
        <v>93</v>
      </c>
      <c r="B597" s="21" t="s">
        <v>1179</v>
      </c>
      <c r="C597" s="26" t="s">
        <v>92</v>
      </c>
      <c r="D597" s="163">
        <v>5009</v>
      </c>
      <c r="E597" s="166">
        <v>50009</v>
      </c>
      <c r="F597" s="92" t="s">
        <v>152</v>
      </c>
      <c r="G597" s="20" t="s">
        <v>149</v>
      </c>
      <c r="H597" s="18">
        <v>74495</v>
      </c>
      <c r="I597" s="18">
        <v>30</v>
      </c>
      <c r="J597" s="4" t="s">
        <v>12</v>
      </c>
      <c r="K597" s="26" t="s">
        <v>11</v>
      </c>
      <c r="L597" s="172">
        <v>9</v>
      </c>
      <c r="M597" s="6">
        <v>1</v>
      </c>
      <c r="N597" s="6"/>
      <c r="O597" s="6">
        <v>0</v>
      </c>
      <c r="P597" s="6"/>
      <c r="Q597" s="7">
        <v>1</v>
      </c>
      <c r="R597" s="6"/>
      <c r="S597" s="1">
        <v>0</v>
      </c>
      <c r="U597" s="1">
        <v>0</v>
      </c>
      <c r="W597" s="1" t="str">
        <f t="shared" si="9"/>
        <v>No</v>
      </c>
    </row>
    <row r="598" spans="1:23" s="1" customFormat="1" ht="11.25">
      <c r="A598" s="2" t="s">
        <v>121</v>
      </c>
      <c r="B598" s="21" t="s">
        <v>866</v>
      </c>
      <c r="C598" s="26" t="s">
        <v>57</v>
      </c>
      <c r="D598" s="163">
        <v>4221</v>
      </c>
      <c r="E598" s="166">
        <v>40221</v>
      </c>
      <c r="F598" s="92" t="s">
        <v>152</v>
      </c>
      <c r="G598" s="20" t="s">
        <v>1490</v>
      </c>
      <c r="H598" s="18">
        <v>169495</v>
      </c>
      <c r="I598" s="18">
        <v>30</v>
      </c>
      <c r="J598" s="4" t="s">
        <v>12</v>
      </c>
      <c r="K598" s="26" t="s">
        <v>11</v>
      </c>
      <c r="L598" s="172">
        <v>2</v>
      </c>
      <c r="M598" s="6">
        <v>1</v>
      </c>
      <c r="N598" s="6"/>
      <c r="O598" s="6">
        <v>0</v>
      </c>
      <c r="P598" s="6"/>
      <c r="Q598" s="7">
        <v>1</v>
      </c>
      <c r="R598" s="6"/>
      <c r="S598" s="1">
        <v>0</v>
      </c>
      <c r="U598" s="1">
        <v>0</v>
      </c>
      <c r="W598" s="1" t="str">
        <f t="shared" si="9"/>
        <v>No</v>
      </c>
    </row>
    <row r="599" spans="1:23" s="1" customFormat="1" ht="11.25">
      <c r="A599" s="2" t="s">
        <v>186</v>
      </c>
      <c r="B599" s="21" t="s">
        <v>187</v>
      </c>
      <c r="C599" s="26" t="s">
        <v>84</v>
      </c>
      <c r="D599" s="163">
        <v>6095</v>
      </c>
      <c r="E599" s="166">
        <v>60095</v>
      </c>
      <c r="F599" s="92" t="s">
        <v>188</v>
      </c>
      <c r="G599" s="20" t="s">
        <v>1490</v>
      </c>
      <c r="H599" s="18">
        <v>63683</v>
      </c>
      <c r="I599" s="18">
        <v>30</v>
      </c>
      <c r="J599" s="4" t="s">
        <v>12</v>
      </c>
      <c r="K599" s="26" t="s">
        <v>11</v>
      </c>
      <c r="L599" s="172">
        <v>10</v>
      </c>
      <c r="M599" s="6">
        <v>1</v>
      </c>
      <c r="N599" s="6"/>
      <c r="O599" s="6">
        <v>0</v>
      </c>
      <c r="P599" s="6"/>
      <c r="Q599" s="7">
        <v>1</v>
      </c>
      <c r="R599" s="6"/>
      <c r="S599" s="1">
        <v>0</v>
      </c>
      <c r="U599" s="1">
        <v>0</v>
      </c>
      <c r="W599" s="1" t="str">
        <f t="shared" si="9"/>
        <v>No</v>
      </c>
    </row>
    <row r="600" spans="1:23" s="1" customFormat="1" ht="11.25">
      <c r="A600" s="2" t="s">
        <v>756</v>
      </c>
      <c r="B600" s="21" t="s">
        <v>757</v>
      </c>
      <c r="C600" s="26" t="s">
        <v>84</v>
      </c>
      <c r="D600" s="163">
        <v>6014</v>
      </c>
      <c r="E600" s="166">
        <v>60014</v>
      </c>
      <c r="F600" s="92" t="s">
        <v>152</v>
      </c>
      <c r="G600" s="20" t="s">
        <v>149</v>
      </c>
      <c r="H600" s="18">
        <v>217585</v>
      </c>
      <c r="I600" s="18">
        <v>30</v>
      </c>
      <c r="J600" s="4" t="s">
        <v>21</v>
      </c>
      <c r="K600" s="26" t="s">
        <v>15</v>
      </c>
      <c r="L600" s="172">
        <v>6</v>
      </c>
      <c r="M600" s="6">
        <v>1</v>
      </c>
      <c r="N600" s="6"/>
      <c r="O600" s="6">
        <v>0</v>
      </c>
      <c r="P600" s="6"/>
      <c r="Q600" s="7">
        <v>1</v>
      </c>
      <c r="R600" s="6"/>
      <c r="S600" s="1">
        <v>0</v>
      </c>
      <c r="U600" s="1">
        <v>0</v>
      </c>
      <c r="W600" s="1" t="str">
        <f t="shared" si="9"/>
        <v>No</v>
      </c>
    </row>
    <row r="601" spans="1:23" s="1" customFormat="1" ht="11.25">
      <c r="A601" s="2" t="s">
        <v>1845</v>
      </c>
      <c r="B601" s="21" t="s">
        <v>331</v>
      </c>
      <c r="C601" s="26" t="s">
        <v>61</v>
      </c>
      <c r="D601" s="163">
        <v>1122</v>
      </c>
      <c r="E601" s="166">
        <v>10122</v>
      </c>
      <c r="F601" s="92" t="s">
        <v>148</v>
      </c>
      <c r="G601" s="20" t="s">
        <v>1490</v>
      </c>
      <c r="H601" s="18">
        <v>88200</v>
      </c>
      <c r="I601" s="18">
        <v>30</v>
      </c>
      <c r="J601" s="4" t="s">
        <v>21</v>
      </c>
      <c r="K601" s="26" t="s">
        <v>11</v>
      </c>
      <c r="L601" s="172">
        <v>30</v>
      </c>
      <c r="M601" s="6">
        <v>3</v>
      </c>
      <c r="N601" s="6"/>
      <c r="O601" s="6">
        <v>0</v>
      </c>
      <c r="P601" s="6"/>
      <c r="Q601" s="7">
        <v>3</v>
      </c>
      <c r="R601" s="6"/>
      <c r="S601" s="1">
        <v>0</v>
      </c>
      <c r="U601" s="1">
        <v>0</v>
      </c>
      <c r="W601" s="1" t="str">
        <f t="shared" si="9"/>
        <v>No</v>
      </c>
    </row>
    <row r="602" spans="1:23" s="1" customFormat="1" ht="11.25">
      <c r="A602" s="2" t="s">
        <v>93</v>
      </c>
      <c r="B602" s="21" t="s">
        <v>1179</v>
      </c>
      <c r="C602" s="26" t="s">
        <v>92</v>
      </c>
      <c r="D602" s="163">
        <v>5009</v>
      </c>
      <c r="E602" s="166">
        <v>50009</v>
      </c>
      <c r="F602" s="92" t="s">
        <v>152</v>
      </c>
      <c r="G602" s="20" t="s">
        <v>149</v>
      </c>
      <c r="H602" s="18">
        <v>74495</v>
      </c>
      <c r="I602" s="18">
        <v>30</v>
      </c>
      <c r="J602" s="4" t="s">
        <v>12</v>
      </c>
      <c r="K602" s="26" t="s">
        <v>15</v>
      </c>
      <c r="L602" s="172">
        <v>1</v>
      </c>
      <c r="M602" s="6">
        <v>1</v>
      </c>
      <c r="N602" s="6"/>
      <c r="O602" s="6">
        <v>0</v>
      </c>
      <c r="P602" s="6"/>
      <c r="Q602" s="7">
        <v>1</v>
      </c>
      <c r="R602" s="6"/>
      <c r="S602" s="1">
        <v>0</v>
      </c>
      <c r="U602" s="1">
        <v>0</v>
      </c>
      <c r="W602" s="1" t="str">
        <f t="shared" si="9"/>
        <v>No</v>
      </c>
    </row>
    <row r="603" spans="1:23" s="1" customFormat="1" ht="11.25">
      <c r="A603" s="2" t="s">
        <v>841</v>
      </c>
      <c r="B603" s="21" t="s">
        <v>842</v>
      </c>
      <c r="C603" s="26" t="s">
        <v>40</v>
      </c>
      <c r="D603" s="163">
        <v>5145</v>
      </c>
      <c r="E603" s="166">
        <v>50145</v>
      </c>
      <c r="F603" s="92" t="s">
        <v>152</v>
      </c>
      <c r="G603" s="20" t="s">
        <v>149</v>
      </c>
      <c r="H603" s="18">
        <v>62182</v>
      </c>
      <c r="I603" s="18">
        <v>29</v>
      </c>
      <c r="J603" s="4" t="s">
        <v>12</v>
      </c>
      <c r="K603" s="26" t="s">
        <v>11</v>
      </c>
      <c r="L603" s="172">
        <v>4</v>
      </c>
      <c r="M603" s="6">
        <v>1</v>
      </c>
      <c r="N603" s="6"/>
      <c r="O603" s="6">
        <v>0</v>
      </c>
      <c r="P603" s="6"/>
      <c r="Q603" s="7">
        <v>1</v>
      </c>
      <c r="R603" s="6"/>
      <c r="S603" s="1">
        <v>0</v>
      </c>
      <c r="U603" s="1">
        <v>0</v>
      </c>
      <c r="W603" s="1" t="str">
        <f t="shared" si="9"/>
        <v>No</v>
      </c>
    </row>
    <row r="604" spans="1:23" s="1" customFormat="1" ht="11.25">
      <c r="A604" s="2" t="s">
        <v>1160</v>
      </c>
      <c r="B604" s="21" t="s">
        <v>351</v>
      </c>
      <c r="C604" s="26" t="s">
        <v>69</v>
      </c>
      <c r="D604" s="163">
        <v>2082</v>
      </c>
      <c r="E604" s="166">
        <v>20082</v>
      </c>
      <c r="F604" s="92" t="s">
        <v>152</v>
      </c>
      <c r="G604" s="20" t="s">
        <v>149</v>
      </c>
      <c r="H604" s="18">
        <v>18351295</v>
      </c>
      <c r="I604" s="18">
        <v>29</v>
      </c>
      <c r="J604" s="4" t="s">
        <v>22</v>
      </c>
      <c r="K604" s="26" t="s">
        <v>11</v>
      </c>
      <c r="L604" s="172">
        <v>4</v>
      </c>
      <c r="M604" s="6">
        <v>2</v>
      </c>
      <c r="N604" s="6"/>
      <c r="O604" s="6">
        <v>0</v>
      </c>
      <c r="P604" s="6"/>
      <c r="Q604" s="7">
        <v>2</v>
      </c>
      <c r="R604" s="6"/>
      <c r="S604" s="1">
        <v>7</v>
      </c>
      <c r="U604" s="1">
        <v>6</v>
      </c>
      <c r="W604" s="1" t="str">
        <f t="shared" si="9"/>
        <v>No</v>
      </c>
    </row>
    <row r="605" spans="1:23" s="1" customFormat="1" ht="11.25">
      <c r="A605" s="2" t="s">
        <v>828</v>
      </c>
      <c r="B605" s="21" t="s">
        <v>829</v>
      </c>
      <c r="C605" s="26" t="s">
        <v>81</v>
      </c>
      <c r="D605" s="163">
        <v>4206</v>
      </c>
      <c r="E605" s="166">
        <v>40206</v>
      </c>
      <c r="F605" s="92" t="s">
        <v>160</v>
      </c>
      <c r="G605" s="20" t="s">
        <v>1490</v>
      </c>
      <c r="H605" s="18">
        <v>548404</v>
      </c>
      <c r="I605" s="18">
        <v>29</v>
      </c>
      <c r="J605" s="4" t="s">
        <v>21</v>
      </c>
      <c r="K605" s="26" t="s">
        <v>11</v>
      </c>
      <c r="L605" s="172">
        <v>27</v>
      </c>
      <c r="M605" s="6">
        <v>1</v>
      </c>
      <c r="N605" s="6"/>
      <c r="O605" s="6">
        <v>0</v>
      </c>
      <c r="P605" s="6"/>
      <c r="Q605" s="7">
        <v>1</v>
      </c>
      <c r="R605" s="6"/>
      <c r="S605" s="1">
        <v>0</v>
      </c>
      <c r="U605" s="1">
        <v>0</v>
      </c>
      <c r="W605" s="1" t="str">
        <f t="shared" si="9"/>
        <v>No</v>
      </c>
    </row>
    <row r="606" spans="1:23" s="1" customFormat="1" ht="11.25">
      <c r="A606" s="2" t="s">
        <v>356</v>
      </c>
      <c r="B606" s="21" t="s">
        <v>1426</v>
      </c>
      <c r="C606" s="26" t="s">
        <v>84</v>
      </c>
      <c r="D606" s="163">
        <v>6015</v>
      </c>
      <c r="E606" s="166">
        <v>60015</v>
      </c>
      <c r="F606" s="92" t="s">
        <v>152</v>
      </c>
      <c r="G606" s="20" t="s">
        <v>1490</v>
      </c>
      <c r="H606" s="18">
        <v>0</v>
      </c>
      <c r="I606" s="18">
        <v>29</v>
      </c>
      <c r="J606" s="4" t="s">
        <v>21</v>
      </c>
      <c r="K606" s="26" t="s">
        <v>11</v>
      </c>
      <c r="L606" s="172">
        <v>11</v>
      </c>
      <c r="M606" s="6">
        <v>1</v>
      </c>
      <c r="N606" s="6"/>
      <c r="O606" s="6">
        <v>0</v>
      </c>
      <c r="P606" s="6"/>
      <c r="Q606" s="7">
        <v>1</v>
      </c>
      <c r="R606" s="6"/>
      <c r="S606" s="1">
        <v>1</v>
      </c>
      <c r="U606" s="1">
        <v>0</v>
      </c>
      <c r="W606" s="1" t="str">
        <f t="shared" si="9"/>
        <v>No</v>
      </c>
    </row>
    <row r="607" spans="1:23" s="1" customFormat="1" ht="11.25">
      <c r="A607" s="2" t="s">
        <v>1017</v>
      </c>
      <c r="B607" s="21" t="s">
        <v>486</v>
      </c>
      <c r="C607" s="26" t="s">
        <v>84</v>
      </c>
      <c r="D607" s="163">
        <v>6041</v>
      </c>
      <c r="E607" s="166">
        <v>60041</v>
      </c>
      <c r="F607" s="92" t="s">
        <v>152</v>
      </c>
      <c r="G607" s="20" t="s">
        <v>149</v>
      </c>
      <c r="H607" s="18">
        <v>5121892</v>
      </c>
      <c r="I607" s="18">
        <v>29</v>
      </c>
      <c r="J607" s="4" t="s">
        <v>12</v>
      </c>
      <c r="K607" s="26" t="s">
        <v>15</v>
      </c>
      <c r="L607" s="172">
        <v>2</v>
      </c>
      <c r="M607" s="6">
        <v>0</v>
      </c>
      <c r="N607" s="6"/>
      <c r="O607" s="6">
        <v>0</v>
      </c>
      <c r="P607" s="6"/>
      <c r="Q607" s="7">
        <v>0</v>
      </c>
      <c r="R607" s="6"/>
      <c r="S607" s="1">
        <v>0</v>
      </c>
      <c r="U607" s="1">
        <v>0</v>
      </c>
      <c r="W607" s="1" t="str">
        <f t="shared" si="9"/>
        <v>No</v>
      </c>
    </row>
    <row r="608" spans="1:23" s="1" customFormat="1" ht="11.25">
      <c r="A608" s="2" t="s">
        <v>527</v>
      </c>
      <c r="B608" s="21" t="s">
        <v>528</v>
      </c>
      <c r="C608" s="26" t="s">
        <v>529</v>
      </c>
      <c r="D608" s="163">
        <v>4188</v>
      </c>
      <c r="E608" s="166">
        <v>40188</v>
      </c>
      <c r="F608" s="92" t="s">
        <v>269</v>
      </c>
      <c r="G608" s="20" t="s">
        <v>1490</v>
      </c>
      <c r="H608" s="18">
        <v>106405</v>
      </c>
      <c r="I608" s="18">
        <v>29</v>
      </c>
      <c r="J608" s="4" t="s">
        <v>12</v>
      </c>
      <c r="K608" s="26" t="s">
        <v>11</v>
      </c>
      <c r="L608" s="172">
        <v>16</v>
      </c>
      <c r="M608" s="6">
        <v>0</v>
      </c>
      <c r="N608" s="6"/>
      <c r="O608" s="6">
        <v>0</v>
      </c>
      <c r="P608" s="6"/>
      <c r="Q608" s="7">
        <v>0</v>
      </c>
      <c r="R608" s="6"/>
      <c r="S608" s="1">
        <v>1</v>
      </c>
      <c r="U608" s="1">
        <v>0</v>
      </c>
      <c r="W608" s="1" t="str">
        <f t="shared" si="9"/>
        <v>No</v>
      </c>
    </row>
    <row r="609" spans="1:23" s="1" customFormat="1" ht="11.25">
      <c r="A609" s="2" t="s">
        <v>894</v>
      </c>
      <c r="B609" s="21" t="s">
        <v>895</v>
      </c>
      <c r="C609" s="26" t="s">
        <v>84</v>
      </c>
      <c r="D609" s="163">
        <v>6089</v>
      </c>
      <c r="E609" s="166">
        <v>60089</v>
      </c>
      <c r="F609" s="92" t="s">
        <v>152</v>
      </c>
      <c r="G609" s="20" t="s">
        <v>1490</v>
      </c>
      <c r="H609" s="18">
        <v>130247</v>
      </c>
      <c r="I609" s="18">
        <v>29</v>
      </c>
      <c r="J609" s="4" t="s">
        <v>21</v>
      </c>
      <c r="K609" s="26" t="s">
        <v>15</v>
      </c>
      <c r="L609" s="172">
        <v>1</v>
      </c>
      <c r="M609" s="6">
        <v>0</v>
      </c>
      <c r="N609" s="6"/>
      <c r="O609" s="6">
        <v>0</v>
      </c>
      <c r="P609" s="6"/>
      <c r="Q609" s="7">
        <v>0</v>
      </c>
      <c r="R609" s="6"/>
      <c r="S609" s="1">
        <v>0</v>
      </c>
      <c r="U609" s="1">
        <v>0</v>
      </c>
      <c r="W609" s="1" t="str">
        <f t="shared" si="9"/>
        <v>No</v>
      </c>
    </row>
    <row r="610" spans="1:23" s="1" customFormat="1" ht="11.25">
      <c r="A610" s="2" t="s">
        <v>806</v>
      </c>
      <c r="B610" s="21" t="s">
        <v>803</v>
      </c>
      <c r="C610" s="26" t="s">
        <v>54</v>
      </c>
      <c r="D610" s="163">
        <v>7051</v>
      </c>
      <c r="E610" s="166">
        <v>70051</v>
      </c>
      <c r="F610" s="92" t="s">
        <v>160</v>
      </c>
      <c r="G610" s="20" t="s">
        <v>1490</v>
      </c>
      <c r="H610" s="18">
        <v>52900</v>
      </c>
      <c r="I610" s="18">
        <v>29</v>
      </c>
      <c r="J610" s="4" t="s">
        <v>12</v>
      </c>
      <c r="K610" s="26" t="s">
        <v>11</v>
      </c>
      <c r="L610" s="172">
        <v>3</v>
      </c>
      <c r="M610" s="6">
        <v>0</v>
      </c>
      <c r="N610" s="6"/>
      <c r="O610" s="6">
        <v>0</v>
      </c>
      <c r="P610" s="6"/>
      <c r="Q610" s="7">
        <v>0</v>
      </c>
      <c r="R610" s="6"/>
      <c r="S610" s="1">
        <v>0</v>
      </c>
      <c r="U610" s="1">
        <v>0</v>
      </c>
      <c r="W610" s="1" t="str">
        <f t="shared" si="9"/>
        <v>No</v>
      </c>
    </row>
    <row r="611" spans="1:23" s="1" customFormat="1" ht="11.25">
      <c r="A611" s="2" t="s">
        <v>828</v>
      </c>
      <c r="B611" s="21" t="s">
        <v>829</v>
      </c>
      <c r="C611" s="26" t="s">
        <v>81</v>
      </c>
      <c r="D611" s="163">
        <v>4206</v>
      </c>
      <c r="E611" s="166">
        <v>40206</v>
      </c>
      <c r="F611" s="92" t="s">
        <v>160</v>
      </c>
      <c r="G611" s="20" t="s">
        <v>1490</v>
      </c>
      <c r="H611" s="18">
        <v>548404</v>
      </c>
      <c r="I611" s="18">
        <v>29</v>
      </c>
      <c r="J611" s="4" t="s">
        <v>12</v>
      </c>
      <c r="K611" s="26" t="s">
        <v>11</v>
      </c>
      <c r="L611" s="172">
        <v>2</v>
      </c>
      <c r="M611" s="6">
        <v>1</v>
      </c>
      <c r="N611" s="6"/>
      <c r="O611" s="6">
        <v>0</v>
      </c>
      <c r="P611" s="6"/>
      <c r="Q611" s="7">
        <v>1</v>
      </c>
      <c r="R611" s="6"/>
      <c r="S611" s="1">
        <v>0</v>
      </c>
      <c r="U611" s="1">
        <v>0</v>
      </c>
      <c r="W611" s="1" t="str">
        <f t="shared" si="9"/>
        <v>No</v>
      </c>
    </row>
    <row r="612" spans="1:23" s="1" customFormat="1" ht="11.25">
      <c r="A612" s="2" t="s">
        <v>356</v>
      </c>
      <c r="B612" s="21" t="s">
        <v>1426</v>
      </c>
      <c r="C612" s="26" t="s">
        <v>84</v>
      </c>
      <c r="D612" s="163">
        <v>6015</v>
      </c>
      <c r="E612" s="166">
        <v>60015</v>
      </c>
      <c r="F612" s="92" t="s">
        <v>152</v>
      </c>
      <c r="G612" s="20" t="s">
        <v>1490</v>
      </c>
      <c r="H612" s="18">
        <v>0</v>
      </c>
      <c r="I612" s="18">
        <v>29</v>
      </c>
      <c r="J612" s="4" t="s">
        <v>12</v>
      </c>
      <c r="K612" s="26" t="s">
        <v>11</v>
      </c>
      <c r="L612" s="172">
        <v>14</v>
      </c>
      <c r="M612" s="6">
        <v>1</v>
      </c>
      <c r="N612" s="6"/>
      <c r="O612" s="6">
        <v>0</v>
      </c>
      <c r="P612" s="6"/>
      <c r="Q612" s="7">
        <v>1</v>
      </c>
      <c r="R612" s="6"/>
      <c r="S612" s="1">
        <v>1</v>
      </c>
      <c r="U612" s="1">
        <v>0</v>
      </c>
      <c r="W612" s="1" t="str">
        <f t="shared" si="9"/>
        <v>No</v>
      </c>
    </row>
    <row r="613" spans="1:23" s="1" customFormat="1" ht="11.25">
      <c r="A613" s="2" t="s">
        <v>1429</v>
      </c>
      <c r="B613" s="21" t="s">
        <v>272</v>
      </c>
      <c r="C613" s="26" t="s">
        <v>57</v>
      </c>
      <c r="D613" s="163">
        <v>4131</v>
      </c>
      <c r="E613" s="166">
        <v>40131</v>
      </c>
      <c r="F613" s="92" t="s">
        <v>152</v>
      </c>
      <c r="G613" s="20" t="s">
        <v>1490</v>
      </c>
      <c r="H613" s="18">
        <v>166485</v>
      </c>
      <c r="I613" s="18">
        <v>29</v>
      </c>
      <c r="J613" s="4" t="s">
        <v>12</v>
      </c>
      <c r="K613" s="26" t="s">
        <v>11</v>
      </c>
      <c r="L613" s="172">
        <v>5</v>
      </c>
      <c r="M613" s="6">
        <v>1</v>
      </c>
      <c r="N613" s="6"/>
      <c r="O613" s="6">
        <v>0</v>
      </c>
      <c r="P613" s="6"/>
      <c r="Q613" s="7">
        <v>1</v>
      </c>
      <c r="R613" s="6"/>
      <c r="S613" s="1">
        <v>0</v>
      </c>
      <c r="U613" s="1">
        <v>0</v>
      </c>
      <c r="W613" s="1" t="str">
        <f t="shared" si="9"/>
        <v>No</v>
      </c>
    </row>
    <row r="614" spans="1:23" s="1" customFormat="1" ht="11.25">
      <c r="A614" s="2" t="s">
        <v>894</v>
      </c>
      <c r="B614" s="21" t="s">
        <v>895</v>
      </c>
      <c r="C614" s="26" t="s">
        <v>84</v>
      </c>
      <c r="D614" s="163">
        <v>6089</v>
      </c>
      <c r="E614" s="166">
        <v>60089</v>
      </c>
      <c r="F614" s="92" t="s">
        <v>152</v>
      </c>
      <c r="G614" s="20" t="s">
        <v>1490</v>
      </c>
      <c r="H614" s="18">
        <v>130247</v>
      </c>
      <c r="I614" s="18">
        <v>29</v>
      </c>
      <c r="J614" s="4" t="s">
        <v>12</v>
      </c>
      <c r="K614" s="26" t="s">
        <v>11</v>
      </c>
      <c r="L614" s="172">
        <v>6</v>
      </c>
      <c r="M614" s="6">
        <v>1</v>
      </c>
      <c r="N614" s="6"/>
      <c r="O614" s="6">
        <v>0</v>
      </c>
      <c r="P614" s="6"/>
      <c r="Q614" s="7">
        <v>1</v>
      </c>
      <c r="R614" s="6"/>
      <c r="S614" s="1">
        <v>0</v>
      </c>
      <c r="U614" s="1">
        <v>0</v>
      </c>
      <c r="W614" s="1" t="str">
        <f t="shared" si="9"/>
        <v>No</v>
      </c>
    </row>
    <row r="615" spans="1:23" s="1" customFormat="1" ht="11.25">
      <c r="A615" s="2" t="s">
        <v>1009</v>
      </c>
      <c r="B615" s="21" t="s">
        <v>291</v>
      </c>
      <c r="C615" s="26" t="s">
        <v>50</v>
      </c>
      <c r="D615" s="163">
        <v>1016</v>
      </c>
      <c r="E615" s="166">
        <v>10016</v>
      </c>
      <c r="F615" s="92" t="s">
        <v>160</v>
      </c>
      <c r="G615" s="20" t="s">
        <v>149</v>
      </c>
      <c r="H615" s="18">
        <v>203914</v>
      </c>
      <c r="I615" s="18">
        <v>29</v>
      </c>
      <c r="J615" s="4" t="s">
        <v>12</v>
      </c>
      <c r="K615" s="26" t="s">
        <v>11</v>
      </c>
      <c r="L615" s="172">
        <v>29</v>
      </c>
      <c r="M615" s="6">
        <v>1</v>
      </c>
      <c r="N615" s="6"/>
      <c r="O615" s="6">
        <v>0</v>
      </c>
      <c r="P615" s="6"/>
      <c r="Q615" s="7">
        <v>1</v>
      </c>
      <c r="R615" s="6"/>
      <c r="S615" s="1">
        <v>0</v>
      </c>
      <c r="U615" s="1">
        <v>0</v>
      </c>
      <c r="W615" s="1" t="str">
        <f t="shared" si="9"/>
        <v>No</v>
      </c>
    </row>
    <row r="616" spans="1:23" s="1" customFormat="1" ht="11.25">
      <c r="A616" s="2" t="s">
        <v>965</v>
      </c>
      <c r="B616" s="21" t="s">
        <v>966</v>
      </c>
      <c r="C616" s="26" t="s">
        <v>13</v>
      </c>
      <c r="D616" s="163">
        <v>4064</v>
      </c>
      <c r="E616" s="166">
        <v>40064</v>
      </c>
      <c r="F616" s="92" t="s">
        <v>188</v>
      </c>
      <c r="G616" s="20" t="s">
        <v>1490</v>
      </c>
      <c r="H616" s="18">
        <v>79796</v>
      </c>
      <c r="I616" s="18">
        <v>29</v>
      </c>
      <c r="J616" s="4" t="s">
        <v>12</v>
      </c>
      <c r="K616" s="26" t="s">
        <v>15</v>
      </c>
      <c r="L616" s="172">
        <v>4</v>
      </c>
      <c r="M616" s="6">
        <v>1</v>
      </c>
      <c r="N616" s="6"/>
      <c r="O616" s="6">
        <v>0</v>
      </c>
      <c r="P616" s="6"/>
      <c r="Q616" s="7">
        <v>1</v>
      </c>
      <c r="R616" s="6"/>
      <c r="S616" s="1">
        <v>0</v>
      </c>
      <c r="U616" s="1">
        <v>0</v>
      </c>
      <c r="W616" s="1" t="str">
        <f t="shared" si="9"/>
        <v>No</v>
      </c>
    </row>
    <row r="617" spans="1:23" s="1" customFormat="1" ht="11.25">
      <c r="A617" s="2" t="s">
        <v>1216</v>
      </c>
      <c r="B617" s="21" t="s">
        <v>1217</v>
      </c>
      <c r="C617" s="26" t="s">
        <v>19</v>
      </c>
      <c r="D617" s="163">
        <v>9093</v>
      </c>
      <c r="E617" s="166">
        <v>90093</v>
      </c>
      <c r="F617" s="92" t="s">
        <v>160</v>
      </c>
      <c r="G617" s="20" t="s">
        <v>149</v>
      </c>
      <c r="H617" s="18">
        <v>117731</v>
      </c>
      <c r="I617" s="18">
        <v>29</v>
      </c>
      <c r="J617" s="4" t="s">
        <v>12</v>
      </c>
      <c r="K617" s="26" t="s">
        <v>15</v>
      </c>
      <c r="L617" s="172">
        <v>13</v>
      </c>
      <c r="M617" s="6">
        <v>1</v>
      </c>
      <c r="N617" s="6"/>
      <c r="O617" s="6">
        <v>0</v>
      </c>
      <c r="P617" s="6"/>
      <c r="Q617" s="7">
        <v>1</v>
      </c>
      <c r="R617" s="6"/>
      <c r="S617" s="1">
        <v>0</v>
      </c>
      <c r="U617" s="1">
        <v>0</v>
      </c>
      <c r="W617" s="1" t="str">
        <f t="shared" si="9"/>
        <v>No</v>
      </c>
    </row>
    <row r="618" spans="1:23" s="1" customFormat="1" ht="11.25">
      <c r="A618" s="2" t="s">
        <v>1160</v>
      </c>
      <c r="B618" s="21" t="s">
        <v>351</v>
      </c>
      <c r="C618" s="26" t="s">
        <v>69</v>
      </c>
      <c r="D618" s="163">
        <v>2082</v>
      </c>
      <c r="E618" s="166">
        <v>20082</v>
      </c>
      <c r="F618" s="92" t="s">
        <v>152</v>
      </c>
      <c r="G618" s="20" t="s">
        <v>149</v>
      </c>
      <c r="H618" s="18">
        <v>18351295</v>
      </c>
      <c r="I618" s="18">
        <v>29</v>
      </c>
      <c r="J618" s="4" t="s">
        <v>21</v>
      </c>
      <c r="K618" s="26" t="s">
        <v>15</v>
      </c>
      <c r="L618" s="172">
        <v>25</v>
      </c>
      <c r="M618" s="6">
        <v>1</v>
      </c>
      <c r="N618" s="6"/>
      <c r="O618" s="6">
        <v>0</v>
      </c>
      <c r="P618" s="6"/>
      <c r="Q618" s="7">
        <v>1</v>
      </c>
      <c r="R618" s="6"/>
      <c r="S618" s="1">
        <v>0</v>
      </c>
      <c r="U618" s="1">
        <v>0</v>
      </c>
      <c r="W618" s="1" t="str">
        <f t="shared" si="9"/>
        <v>No</v>
      </c>
    </row>
    <row r="619" spans="1:23" s="1" customFormat="1" ht="11.25">
      <c r="A619" s="2" t="s">
        <v>894</v>
      </c>
      <c r="B619" s="21" t="s">
        <v>895</v>
      </c>
      <c r="C619" s="26" t="s">
        <v>84</v>
      </c>
      <c r="D619" s="163">
        <v>6089</v>
      </c>
      <c r="E619" s="166">
        <v>60089</v>
      </c>
      <c r="F619" s="92" t="s">
        <v>152</v>
      </c>
      <c r="G619" s="20" t="s">
        <v>1490</v>
      </c>
      <c r="H619" s="18">
        <v>130247</v>
      </c>
      <c r="I619" s="18">
        <v>29</v>
      </c>
      <c r="J619" s="4" t="s">
        <v>12</v>
      </c>
      <c r="K619" s="26" t="s">
        <v>15</v>
      </c>
      <c r="L619" s="172">
        <v>1</v>
      </c>
      <c r="M619" s="6">
        <v>0</v>
      </c>
      <c r="N619" s="6"/>
      <c r="O619" s="6">
        <v>0</v>
      </c>
      <c r="P619" s="6"/>
      <c r="Q619" s="7">
        <v>0</v>
      </c>
      <c r="R619" s="6"/>
      <c r="S619" s="1">
        <v>0</v>
      </c>
      <c r="U619" s="1">
        <v>0</v>
      </c>
      <c r="W619" s="1" t="str">
        <f t="shared" si="9"/>
        <v>No</v>
      </c>
    </row>
    <row r="620" spans="1:23" s="1" customFormat="1" ht="11.25">
      <c r="A620" s="2" t="s">
        <v>1169</v>
      </c>
      <c r="B620" s="21" t="s">
        <v>330</v>
      </c>
      <c r="C620" s="26" t="s">
        <v>19</v>
      </c>
      <c r="D620" s="163">
        <v>9022</v>
      </c>
      <c r="E620" s="166">
        <v>90022</v>
      </c>
      <c r="F620" s="92" t="s">
        <v>152</v>
      </c>
      <c r="G620" s="20" t="s">
        <v>149</v>
      </c>
      <c r="H620" s="18">
        <v>12150996</v>
      </c>
      <c r="I620" s="18">
        <v>29</v>
      </c>
      <c r="J620" s="4" t="s">
        <v>12</v>
      </c>
      <c r="K620" s="26" t="s">
        <v>11</v>
      </c>
      <c r="L620" s="172">
        <v>24</v>
      </c>
      <c r="M620" s="6">
        <v>0</v>
      </c>
      <c r="N620" s="6"/>
      <c r="O620" s="6">
        <v>0</v>
      </c>
      <c r="P620" s="6"/>
      <c r="Q620" s="7">
        <v>0</v>
      </c>
      <c r="R620" s="6"/>
      <c r="S620" s="1">
        <v>0</v>
      </c>
      <c r="U620" s="1">
        <v>0</v>
      </c>
      <c r="W620" s="1" t="str">
        <f t="shared" si="9"/>
        <v>No</v>
      </c>
    </row>
    <row r="621" spans="1:23" s="1" customFormat="1" ht="11.25">
      <c r="A621" s="2" t="s">
        <v>814</v>
      </c>
      <c r="B621" s="21" t="s">
        <v>815</v>
      </c>
      <c r="C621" s="26" t="s">
        <v>19</v>
      </c>
      <c r="D621" s="163">
        <v>9236</v>
      </c>
      <c r="E621" s="166">
        <v>90236</v>
      </c>
      <c r="F621" s="92" t="s">
        <v>152</v>
      </c>
      <c r="G621" s="20" t="s">
        <v>1490</v>
      </c>
      <c r="H621" s="18">
        <v>358172</v>
      </c>
      <c r="I621" s="18">
        <v>28</v>
      </c>
      <c r="J621" s="4" t="s">
        <v>12</v>
      </c>
      <c r="K621" s="26" t="s">
        <v>15</v>
      </c>
      <c r="L621" s="172">
        <v>17</v>
      </c>
      <c r="M621" s="6">
        <v>1</v>
      </c>
      <c r="N621" s="6"/>
      <c r="O621" s="6">
        <v>0</v>
      </c>
      <c r="P621" s="6"/>
      <c r="Q621" s="7">
        <v>1</v>
      </c>
      <c r="R621" s="6"/>
      <c r="S621" s="1">
        <v>0</v>
      </c>
      <c r="U621" s="1">
        <v>0</v>
      </c>
      <c r="W621" s="1" t="str">
        <f t="shared" si="9"/>
        <v>No</v>
      </c>
    </row>
    <row r="622" spans="1:23" s="1" customFormat="1" ht="11.25">
      <c r="A622" s="2" t="s">
        <v>1319</v>
      </c>
      <c r="B622" s="21" t="s">
        <v>1320</v>
      </c>
      <c r="C622" s="26" t="s">
        <v>19</v>
      </c>
      <c r="D622" s="163">
        <v>9165</v>
      </c>
      <c r="E622" s="166">
        <v>90165</v>
      </c>
      <c r="F622" s="92" t="s">
        <v>152</v>
      </c>
      <c r="G622" s="20" t="s">
        <v>1490</v>
      </c>
      <c r="H622" s="18">
        <v>214811</v>
      </c>
      <c r="I622" s="18">
        <v>28</v>
      </c>
      <c r="J622" s="4" t="s">
        <v>12</v>
      </c>
      <c r="K622" s="26" t="s">
        <v>15</v>
      </c>
      <c r="L622" s="172">
        <v>10</v>
      </c>
      <c r="M622" s="6">
        <v>1</v>
      </c>
      <c r="N622" s="6"/>
      <c r="O622" s="6">
        <v>0</v>
      </c>
      <c r="P622" s="6"/>
      <c r="Q622" s="7">
        <v>1</v>
      </c>
      <c r="R622" s="6"/>
      <c r="S622" s="1">
        <v>0</v>
      </c>
      <c r="U622" s="1">
        <v>0</v>
      </c>
      <c r="W622" s="1" t="str">
        <f t="shared" si="9"/>
        <v>No</v>
      </c>
    </row>
    <row r="623" spans="1:23" s="1" customFormat="1" ht="11.25">
      <c r="A623" s="2" t="s">
        <v>575</v>
      </c>
      <c r="B623" s="21" t="s">
        <v>576</v>
      </c>
      <c r="C623" s="26" t="s">
        <v>62</v>
      </c>
      <c r="D623" s="163">
        <v>2203</v>
      </c>
      <c r="E623" s="166">
        <v>20203</v>
      </c>
      <c r="F623" s="92" t="s">
        <v>152</v>
      </c>
      <c r="G623" s="20" t="s">
        <v>1490</v>
      </c>
      <c r="H623" s="18">
        <v>51291</v>
      </c>
      <c r="I623" s="18">
        <v>28</v>
      </c>
      <c r="J623" s="4" t="s">
        <v>12</v>
      </c>
      <c r="K623" s="26" t="s">
        <v>11</v>
      </c>
      <c r="L623" s="172">
        <v>1</v>
      </c>
      <c r="M623" s="6">
        <v>0</v>
      </c>
      <c r="N623" s="6"/>
      <c r="O623" s="6">
        <v>0</v>
      </c>
      <c r="P623" s="6"/>
      <c r="Q623" s="7">
        <v>0</v>
      </c>
      <c r="R623" s="6"/>
      <c r="S623" s="1">
        <v>0</v>
      </c>
      <c r="U623" s="1">
        <v>0</v>
      </c>
      <c r="W623" s="1" t="str">
        <f t="shared" si="9"/>
        <v>No</v>
      </c>
    </row>
    <row r="624" spans="1:23" s="1" customFormat="1" ht="11.25">
      <c r="A624" s="2" t="s">
        <v>1634</v>
      </c>
      <c r="B624" s="21" t="s">
        <v>1201</v>
      </c>
      <c r="C624" s="26" t="s">
        <v>62</v>
      </c>
      <c r="D624" s="163">
        <v>2219</v>
      </c>
      <c r="E624" s="166">
        <v>20219</v>
      </c>
      <c r="F624" s="92" t="s">
        <v>148</v>
      </c>
      <c r="G624" s="20" t="s">
        <v>1490</v>
      </c>
      <c r="H624" s="18">
        <v>18351295</v>
      </c>
      <c r="I624" s="18">
        <v>28</v>
      </c>
      <c r="J624" s="4" t="s">
        <v>12</v>
      </c>
      <c r="K624" s="26" t="s">
        <v>11</v>
      </c>
      <c r="L624" s="172">
        <v>28</v>
      </c>
      <c r="M624" s="6">
        <v>0</v>
      </c>
      <c r="N624" s="6"/>
      <c r="O624" s="6">
        <v>0</v>
      </c>
      <c r="P624" s="6"/>
      <c r="Q624" s="7">
        <v>0</v>
      </c>
      <c r="R624" s="6"/>
      <c r="S624" s="1">
        <v>0</v>
      </c>
      <c r="U624" s="1">
        <v>0</v>
      </c>
      <c r="W624" s="1" t="str">
        <f t="shared" si="9"/>
        <v>No</v>
      </c>
    </row>
    <row r="625" spans="1:23" s="1" customFormat="1" ht="11.25">
      <c r="A625" s="2" t="s">
        <v>1344</v>
      </c>
      <c r="B625" s="21" t="s">
        <v>467</v>
      </c>
      <c r="C625" s="26" t="s">
        <v>37</v>
      </c>
      <c r="D625" s="163">
        <v>7019</v>
      </c>
      <c r="E625" s="166">
        <v>70019</v>
      </c>
      <c r="F625" s="92" t="s">
        <v>98</v>
      </c>
      <c r="G625" s="20" t="s">
        <v>149</v>
      </c>
      <c r="H625" s="18">
        <v>106621</v>
      </c>
      <c r="I625" s="18">
        <v>28</v>
      </c>
      <c r="J625" s="4" t="s">
        <v>12</v>
      </c>
      <c r="K625" s="26" t="s">
        <v>11</v>
      </c>
      <c r="L625" s="172">
        <v>25</v>
      </c>
      <c r="M625" s="6">
        <v>0</v>
      </c>
      <c r="N625" s="6"/>
      <c r="O625" s="6">
        <v>0</v>
      </c>
      <c r="P625" s="6"/>
      <c r="Q625" s="7">
        <v>0</v>
      </c>
      <c r="R625" s="6"/>
      <c r="S625" s="1">
        <v>0</v>
      </c>
      <c r="U625" s="1">
        <v>0</v>
      </c>
      <c r="W625" s="1" t="str">
        <f t="shared" si="9"/>
        <v>No</v>
      </c>
    </row>
    <row r="626" spans="1:23" s="1" customFormat="1" ht="11.25">
      <c r="A626" s="2" t="s">
        <v>1624</v>
      </c>
      <c r="B626" s="21" t="s">
        <v>873</v>
      </c>
      <c r="C626" s="26" t="s">
        <v>2</v>
      </c>
      <c r="D626" s="163">
        <v>22</v>
      </c>
      <c r="E626" s="166">
        <v>22</v>
      </c>
      <c r="F626" s="92" t="s">
        <v>152</v>
      </c>
      <c r="G626" s="20" t="s">
        <v>1490</v>
      </c>
      <c r="H626" s="18">
        <v>69809</v>
      </c>
      <c r="I626" s="18">
        <v>28</v>
      </c>
      <c r="J626" s="4" t="s">
        <v>12</v>
      </c>
      <c r="K626" s="26" t="s">
        <v>11</v>
      </c>
      <c r="L626" s="172">
        <v>11</v>
      </c>
      <c r="M626" s="6">
        <v>1</v>
      </c>
      <c r="N626" s="6"/>
      <c r="O626" s="6">
        <v>0</v>
      </c>
      <c r="P626" s="6"/>
      <c r="Q626" s="7">
        <v>1</v>
      </c>
      <c r="R626" s="6"/>
      <c r="S626" s="1">
        <v>0</v>
      </c>
      <c r="U626" s="1">
        <v>0</v>
      </c>
      <c r="W626" s="1" t="str">
        <f t="shared" si="9"/>
        <v>No</v>
      </c>
    </row>
    <row r="627" spans="1:23" s="1" customFormat="1" ht="11.25">
      <c r="A627" s="2" t="s">
        <v>193</v>
      </c>
      <c r="B627" s="21" t="s">
        <v>194</v>
      </c>
      <c r="C627" s="26" t="s">
        <v>92</v>
      </c>
      <c r="D627" s="163">
        <v>5171</v>
      </c>
      <c r="E627" s="166">
        <v>50171</v>
      </c>
      <c r="F627" s="92" t="s">
        <v>152</v>
      </c>
      <c r="G627" s="20" t="s">
        <v>1490</v>
      </c>
      <c r="H627" s="18">
        <v>54901</v>
      </c>
      <c r="I627" s="18">
        <v>28</v>
      </c>
      <c r="J627" s="4" t="s">
        <v>12</v>
      </c>
      <c r="K627" s="26" t="s">
        <v>11</v>
      </c>
      <c r="L627" s="172">
        <v>7</v>
      </c>
      <c r="M627" s="6">
        <v>1</v>
      </c>
      <c r="N627" s="6"/>
      <c r="O627" s="6">
        <v>0</v>
      </c>
      <c r="P627" s="6"/>
      <c r="Q627" s="7">
        <v>1</v>
      </c>
      <c r="R627" s="6"/>
      <c r="S627" s="1">
        <v>0</v>
      </c>
      <c r="U627" s="1">
        <v>0</v>
      </c>
      <c r="W627" s="1" t="str">
        <f t="shared" si="9"/>
        <v>No</v>
      </c>
    </row>
    <row r="628" spans="1:23" s="1" customFormat="1" ht="11.25">
      <c r="A628" s="2" t="s">
        <v>959</v>
      </c>
      <c r="B628" s="21" t="s">
        <v>268</v>
      </c>
      <c r="C628" s="26" t="s">
        <v>35</v>
      </c>
      <c r="D628" s="163">
        <v>4024</v>
      </c>
      <c r="E628" s="166">
        <v>40024</v>
      </c>
      <c r="F628" s="92" t="s">
        <v>152</v>
      </c>
      <c r="G628" s="20" t="s">
        <v>1490</v>
      </c>
      <c r="H628" s="18">
        <v>253602</v>
      </c>
      <c r="I628" s="18">
        <v>28</v>
      </c>
      <c r="J628" s="4" t="s">
        <v>12</v>
      </c>
      <c r="K628" s="26" t="s">
        <v>11</v>
      </c>
      <c r="L628" s="172">
        <v>20</v>
      </c>
      <c r="M628" s="6">
        <v>1</v>
      </c>
      <c r="N628" s="6"/>
      <c r="O628" s="6">
        <v>0</v>
      </c>
      <c r="P628" s="6"/>
      <c r="Q628" s="7">
        <v>1</v>
      </c>
      <c r="R628" s="6"/>
      <c r="S628" s="1">
        <v>0</v>
      </c>
      <c r="U628" s="1">
        <v>0</v>
      </c>
      <c r="W628" s="1" t="str">
        <f t="shared" si="9"/>
        <v>No</v>
      </c>
    </row>
    <row r="629" spans="1:23" s="1" customFormat="1" ht="11.25">
      <c r="A629" s="2" t="s">
        <v>922</v>
      </c>
      <c r="B629" s="21" t="s">
        <v>923</v>
      </c>
      <c r="C629" s="26" t="s">
        <v>10</v>
      </c>
      <c r="D629" s="163">
        <v>6072</v>
      </c>
      <c r="E629" s="166">
        <v>60072</v>
      </c>
      <c r="F629" s="92" t="s">
        <v>160</v>
      </c>
      <c r="G629" s="20" t="s">
        <v>149</v>
      </c>
      <c r="H629" s="18">
        <v>295083</v>
      </c>
      <c r="I629" s="18">
        <v>28</v>
      </c>
      <c r="J629" s="4" t="s">
        <v>12</v>
      </c>
      <c r="K629" s="26" t="s">
        <v>11</v>
      </c>
      <c r="L629" s="172">
        <v>16</v>
      </c>
      <c r="M629" s="6">
        <v>0</v>
      </c>
      <c r="N629" s="6"/>
      <c r="O629" s="6">
        <v>0</v>
      </c>
      <c r="P629" s="6"/>
      <c r="Q629" s="7">
        <v>0</v>
      </c>
      <c r="R629" s="6"/>
      <c r="S629" s="1">
        <v>0</v>
      </c>
      <c r="U629" s="1">
        <v>0</v>
      </c>
      <c r="W629" s="1" t="str">
        <f t="shared" si="9"/>
        <v>No</v>
      </c>
    </row>
    <row r="630" spans="1:23" s="1" customFormat="1" ht="11.25">
      <c r="A630" s="2" t="s">
        <v>1316</v>
      </c>
      <c r="B630" s="21" t="s">
        <v>1317</v>
      </c>
      <c r="C630" s="26" t="s">
        <v>84</v>
      </c>
      <c r="D630" s="163">
        <v>6082</v>
      </c>
      <c r="E630" s="166">
        <v>60082</v>
      </c>
      <c r="F630" s="92" t="s">
        <v>160</v>
      </c>
      <c r="G630" s="20" t="s">
        <v>149</v>
      </c>
      <c r="H630" s="18">
        <v>106383</v>
      </c>
      <c r="I630" s="18">
        <v>28</v>
      </c>
      <c r="J630" s="4" t="s">
        <v>12</v>
      </c>
      <c r="K630" s="26" t="s">
        <v>11</v>
      </c>
      <c r="L630" s="172">
        <v>12</v>
      </c>
      <c r="M630" s="6">
        <v>0</v>
      </c>
      <c r="N630" s="6"/>
      <c r="O630" s="6">
        <v>0</v>
      </c>
      <c r="P630" s="6"/>
      <c r="Q630" s="7">
        <v>0</v>
      </c>
      <c r="R630" s="6"/>
      <c r="S630" s="1">
        <v>0</v>
      </c>
      <c r="U630" s="1">
        <v>0</v>
      </c>
      <c r="W630" s="1" t="str">
        <f t="shared" si="9"/>
        <v>No</v>
      </c>
    </row>
    <row r="631" spans="1:23" s="1" customFormat="1" ht="11.25">
      <c r="A631" s="2" t="s">
        <v>193</v>
      </c>
      <c r="B631" s="21" t="s">
        <v>194</v>
      </c>
      <c r="C631" s="26" t="s">
        <v>92</v>
      </c>
      <c r="D631" s="163">
        <v>5171</v>
      </c>
      <c r="E631" s="166">
        <v>50171</v>
      </c>
      <c r="F631" s="92" t="s">
        <v>152</v>
      </c>
      <c r="G631" s="20" t="s">
        <v>1490</v>
      </c>
      <c r="H631" s="18">
        <v>54901</v>
      </c>
      <c r="I631" s="18">
        <v>28</v>
      </c>
      <c r="J631" s="4" t="s">
        <v>12</v>
      </c>
      <c r="K631" s="26" t="s">
        <v>15</v>
      </c>
      <c r="L631" s="172">
        <v>1</v>
      </c>
      <c r="M631" s="6">
        <v>1</v>
      </c>
      <c r="N631" s="6"/>
      <c r="O631" s="6">
        <v>0</v>
      </c>
      <c r="P631" s="6"/>
      <c r="Q631" s="7">
        <v>1</v>
      </c>
      <c r="R631" s="6"/>
      <c r="S631" s="1">
        <v>0</v>
      </c>
      <c r="U631" s="1">
        <v>0</v>
      </c>
      <c r="W631" s="1" t="str">
        <f t="shared" si="9"/>
        <v>No</v>
      </c>
    </row>
    <row r="632" spans="1:23" s="1" customFormat="1" ht="11.25">
      <c r="A632" s="2" t="s">
        <v>814</v>
      </c>
      <c r="B632" s="21" t="s">
        <v>815</v>
      </c>
      <c r="C632" s="26" t="s">
        <v>19</v>
      </c>
      <c r="D632" s="163">
        <v>9236</v>
      </c>
      <c r="E632" s="166">
        <v>90236</v>
      </c>
      <c r="F632" s="92" t="s">
        <v>152</v>
      </c>
      <c r="G632" s="20" t="s">
        <v>1490</v>
      </c>
      <c r="H632" s="18">
        <v>358172</v>
      </c>
      <c r="I632" s="18">
        <v>28</v>
      </c>
      <c r="J632" s="4" t="s">
        <v>21</v>
      </c>
      <c r="K632" s="26" t="s">
        <v>15</v>
      </c>
      <c r="L632" s="172">
        <v>1</v>
      </c>
      <c r="M632" s="6">
        <v>1</v>
      </c>
      <c r="N632" s="6"/>
      <c r="O632" s="6">
        <v>0</v>
      </c>
      <c r="P632" s="6"/>
      <c r="Q632" s="7">
        <v>1</v>
      </c>
      <c r="R632" s="6"/>
      <c r="S632" s="1">
        <v>0</v>
      </c>
      <c r="U632" s="1">
        <v>0</v>
      </c>
      <c r="W632" s="1" t="str">
        <f t="shared" si="9"/>
        <v>No</v>
      </c>
    </row>
    <row r="633" spans="1:23" s="1" customFormat="1" ht="11.25">
      <c r="A633" s="2" t="s">
        <v>1269</v>
      </c>
      <c r="B633" s="21" t="s">
        <v>235</v>
      </c>
      <c r="C633" s="26" t="s">
        <v>37</v>
      </c>
      <c r="D633" s="163">
        <v>7012</v>
      </c>
      <c r="E633" s="166">
        <v>70012</v>
      </c>
      <c r="F633" s="92" t="s">
        <v>152</v>
      </c>
      <c r="G633" s="20" t="s">
        <v>149</v>
      </c>
      <c r="H633" s="18">
        <v>106494</v>
      </c>
      <c r="I633" s="18">
        <v>28</v>
      </c>
      <c r="J633" s="4" t="s">
        <v>12</v>
      </c>
      <c r="K633" s="26" t="s">
        <v>11</v>
      </c>
      <c r="L633" s="172">
        <v>21</v>
      </c>
      <c r="M633" s="6">
        <v>1</v>
      </c>
      <c r="N633" s="6"/>
      <c r="O633" s="6">
        <v>0</v>
      </c>
      <c r="P633" s="6"/>
      <c r="Q633" s="7">
        <v>1</v>
      </c>
      <c r="R633" s="6"/>
      <c r="S633" s="1">
        <v>2</v>
      </c>
      <c r="U633" s="1">
        <v>0</v>
      </c>
      <c r="W633" s="1" t="str">
        <f t="shared" si="9"/>
        <v>No</v>
      </c>
    </row>
    <row r="634" spans="1:23" s="1" customFormat="1" ht="11.25">
      <c r="A634" s="2" t="s">
        <v>826</v>
      </c>
      <c r="B634" s="21" t="s">
        <v>827</v>
      </c>
      <c r="C634" s="26" t="s">
        <v>57</v>
      </c>
      <c r="D634" s="163">
        <v>4205</v>
      </c>
      <c r="E634" s="166">
        <v>40205</v>
      </c>
      <c r="F634" s="92" t="s">
        <v>152</v>
      </c>
      <c r="G634" s="20" t="s">
        <v>1490</v>
      </c>
      <c r="H634" s="18">
        <v>1249442</v>
      </c>
      <c r="I634" s="18">
        <v>28</v>
      </c>
      <c r="J634" s="4" t="s">
        <v>12</v>
      </c>
      <c r="K634" s="26" t="s">
        <v>11</v>
      </c>
      <c r="L634" s="172">
        <v>3</v>
      </c>
      <c r="M634" s="6">
        <v>0</v>
      </c>
      <c r="N634" s="6"/>
      <c r="O634" s="6">
        <v>0</v>
      </c>
      <c r="P634" s="6"/>
      <c r="Q634" s="7">
        <v>0</v>
      </c>
      <c r="R634" s="6"/>
      <c r="S634" s="1">
        <v>0</v>
      </c>
      <c r="U634" s="1">
        <v>0</v>
      </c>
      <c r="W634" s="1" t="str">
        <f t="shared" si="9"/>
        <v>No</v>
      </c>
    </row>
    <row r="635" spans="1:23" s="1" customFormat="1" ht="11.25">
      <c r="A635" s="2" t="s">
        <v>163</v>
      </c>
      <c r="B635" s="21" t="s">
        <v>1846</v>
      </c>
      <c r="C635" s="26" t="s">
        <v>47</v>
      </c>
      <c r="D635" s="163">
        <v>3088</v>
      </c>
      <c r="E635" s="166">
        <v>30088</v>
      </c>
      <c r="F635" s="92" t="s">
        <v>152</v>
      </c>
      <c r="G635" s="20" t="s">
        <v>149</v>
      </c>
      <c r="H635" s="18">
        <v>109919</v>
      </c>
      <c r="I635" s="18">
        <v>27</v>
      </c>
      <c r="J635" s="4" t="s">
        <v>12</v>
      </c>
      <c r="K635" s="26" t="s">
        <v>15</v>
      </c>
      <c r="L635" s="172">
        <v>16</v>
      </c>
      <c r="M635" s="6">
        <v>2</v>
      </c>
      <c r="N635" s="6"/>
      <c r="O635" s="6">
        <v>0</v>
      </c>
      <c r="P635" s="6"/>
      <c r="Q635" s="7">
        <v>2</v>
      </c>
      <c r="R635" s="6"/>
      <c r="S635" s="1">
        <v>0</v>
      </c>
      <c r="U635" s="1">
        <v>0</v>
      </c>
      <c r="W635" s="1" t="str">
        <f t="shared" si="9"/>
        <v>No</v>
      </c>
    </row>
    <row r="636" spans="1:23" s="1" customFormat="1" ht="11.25">
      <c r="A636" s="2" t="s">
        <v>1046</v>
      </c>
      <c r="B636" s="21" t="s">
        <v>347</v>
      </c>
      <c r="C636" s="26" t="s">
        <v>83</v>
      </c>
      <c r="D636" s="163">
        <v>4054</v>
      </c>
      <c r="E636" s="166">
        <v>40054</v>
      </c>
      <c r="F636" s="92" t="s">
        <v>152</v>
      </c>
      <c r="G636" s="20" t="s">
        <v>1490</v>
      </c>
      <c r="H636" s="18">
        <v>120415</v>
      </c>
      <c r="I636" s="18">
        <v>27</v>
      </c>
      <c r="J636" s="4" t="s">
        <v>12</v>
      </c>
      <c r="K636" s="26" t="s">
        <v>11</v>
      </c>
      <c r="L636" s="172">
        <v>15</v>
      </c>
      <c r="M636" s="6">
        <v>1</v>
      </c>
      <c r="N636" s="6"/>
      <c r="O636" s="6">
        <v>0</v>
      </c>
      <c r="P636" s="6"/>
      <c r="Q636" s="7">
        <v>1</v>
      </c>
      <c r="R636" s="6"/>
      <c r="S636" s="1">
        <v>1</v>
      </c>
      <c r="U636" s="1">
        <v>0</v>
      </c>
      <c r="W636" s="1" t="str">
        <f t="shared" si="9"/>
        <v>No</v>
      </c>
    </row>
    <row r="637" spans="1:23" s="1" customFormat="1" ht="11.25">
      <c r="A637" s="2" t="s">
        <v>1415</v>
      </c>
      <c r="B637" s="21" t="s">
        <v>1416</v>
      </c>
      <c r="C637" s="26" t="s">
        <v>19</v>
      </c>
      <c r="D637" s="163">
        <v>9119</v>
      </c>
      <c r="E637" s="166">
        <v>90119</v>
      </c>
      <c r="F637" s="92" t="s">
        <v>152</v>
      </c>
      <c r="G637" s="20" t="s">
        <v>149</v>
      </c>
      <c r="H637" s="18">
        <v>583681</v>
      </c>
      <c r="I637" s="18">
        <v>27</v>
      </c>
      <c r="J637" s="4" t="s">
        <v>12</v>
      </c>
      <c r="K637" s="26" t="s">
        <v>11</v>
      </c>
      <c r="L637" s="172">
        <v>27</v>
      </c>
      <c r="M637" s="6">
        <v>0</v>
      </c>
      <c r="N637" s="6"/>
      <c r="O637" s="6">
        <v>0</v>
      </c>
      <c r="P637" s="6"/>
      <c r="Q637" s="7">
        <v>0</v>
      </c>
      <c r="R637" s="6"/>
      <c r="S637" s="1">
        <v>0</v>
      </c>
      <c r="U637" s="1">
        <v>0</v>
      </c>
      <c r="W637" s="1" t="str">
        <f t="shared" si="9"/>
        <v>No</v>
      </c>
    </row>
    <row r="638" spans="1:23" s="1" customFormat="1" ht="11.25">
      <c r="A638" s="2" t="s">
        <v>1691</v>
      </c>
      <c r="B638" s="21" t="s">
        <v>1692</v>
      </c>
      <c r="C638" s="26" t="s">
        <v>68</v>
      </c>
      <c r="D638" s="163" t="s">
        <v>1693</v>
      </c>
      <c r="E638" s="166">
        <v>91092</v>
      </c>
      <c r="F638" s="92" t="s">
        <v>160</v>
      </c>
      <c r="G638" s="20" t="s">
        <v>149</v>
      </c>
      <c r="H638" s="18">
        <v>210000</v>
      </c>
      <c r="I638" s="18">
        <v>27</v>
      </c>
      <c r="J638" s="4" t="s">
        <v>12</v>
      </c>
      <c r="K638" s="26" t="s">
        <v>11</v>
      </c>
      <c r="L638" s="172">
        <v>15</v>
      </c>
      <c r="M638" s="6">
        <v>3</v>
      </c>
      <c r="N638" s="6"/>
      <c r="O638" s="6">
        <v>3</v>
      </c>
      <c r="P638" s="6"/>
      <c r="Q638" s="7">
        <v>6</v>
      </c>
      <c r="R638" s="6"/>
      <c r="S638" s="1">
        <v>2</v>
      </c>
      <c r="U638" s="1">
        <v>0</v>
      </c>
      <c r="W638" s="1" t="str">
        <f t="shared" si="9"/>
        <v>No</v>
      </c>
    </row>
    <row r="639" spans="1:23" s="1" customFormat="1" ht="11.25">
      <c r="A639" s="2" t="s">
        <v>1115</v>
      </c>
      <c r="B639" s="21" t="s">
        <v>233</v>
      </c>
      <c r="C639" s="26" t="s">
        <v>37</v>
      </c>
      <c r="D639" s="163">
        <v>7013</v>
      </c>
      <c r="E639" s="166">
        <v>70013</v>
      </c>
      <c r="F639" s="92" t="s">
        <v>160</v>
      </c>
      <c r="G639" s="20" t="s">
        <v>1490</v>
      </c>
      <c r="H639" s="18">
        <v>113418</v>
      </c>
      <c r="I639" s="18">
        <v>27</v>
      </c>
      <c r="J639" s="4" t="s">
        <v>12</v>
      </c>
      <c r="K639" s="26" t="s">
        <v>11</v>
      </c>
      <c r="L639" s="172">
        <v>13</v>
      </c>
      <c r="M639" s="6">
        <v>1</v>
      </c>
      <c r="N639" s="6"/>
      <c r="O639" s="6">
        <v>0</v>
      </c>
      <c r="P639" s="6"/>
      <c r="Q639" s="7">
        <v>1</v>
      </c>
      <c r="R639" s="6"/>
      <c r="S639" s="1">
        <v>0</v>
      </c>
      <c r="U639" s="1">
        <v>0</v>
      </c>
      <c r="W639" s="1" t="str">
        <f t="shared" si="9"/>
        <v>No</v>
      </c>
    </row>
    <row r="640" spans="1:23" s="1" customFormat="1" ht="11.25">
      <c r="A640" s="2" t="s">
        <v>902</v>
      </c>
      <c r="B640" s="21" t="s">
        <v>903</v>
      </c>
      <c r="C640" s="26" t="s">
        <v>39</v>
      </c>
      <c r="D640" s="163">
        <v>5215</v>
      </c>
      <c r="E640" s="166">
        <v>50215</v>
      </c>
      <c r="F640" s="92" t="s">
        <v>197</v>
      </c>
      <c r="G640" s="20" t="s">
        <v>1490</v>
      </c>
      <c r="H640" s="18">
        <v>68545</v>
      </c>
      <c r="I640" s="18">
        <v>27</v>
      </c>
      <c r="J640" s="4" t="s">
        <v>12</v>
      </c>
      <c r="K640" s="26" t="s">
        <v>11</v>
      </c>
      <c r="L640" s="172">
        <v>4</v>
      </c>
      <c r="M640" s="6">
        <v>0</v>
      </c>
      <c r="N640" s="6"/>
      <c r="O640" s="6">
        <v>0</v>
      </c>
      <c r="P640" s="6"/>
      <c r="Q640" s="7">
        <v>0</v>
      </c>
      <c r="R640" s="6"/>
      <c r="S640" s="1">
        <v>0</v>
      </c>
      <c r="U640" s="1">
        <v>0</v>
      </c>
      <c r="W640" s="1" t="str">
        <f t="shared" si="9"/>
        <v>No</v>
      </c>
    </row>
    <row r="641" spans="1:23" s="1" customFormat="1" ht="11.25">
      <c r="A641" s="2" t="s">
        <v>1064</v>
      </c>
      <c r="B641" s="21" t="s">
        <v>1065</v>
      </c>
      <c r="C641" s="26" t="s">
        <v>67</v>
      </c>
      <c r="D641" s="163">
        <v>6049</v>
      </c>
      <c r="E641" s="166">
        <v>60049</v>
      </c>
      <c r="F641" s="92" t="s">
        <v>152</v>
      </c>
      <c r="G641" s="20" t="s">
        <v>1490</v>
      </c>
      <c r="H641" s="18">
        <v>128600</v>
      </c>
      <c r="I641" s="18">
        <v>27</v>
      </c>
      <c r="J641" s="4" t="s">
        <v>12</v>
      </c>
      <c r="K641" s="26" t="s">
        <v>11</v>
      </c>
      <c r="L641" s="172">
        <v>13</v>
      </c>
      <c r="M641" s="6">
        <v>1</v>
      </c>
      <c r="N641" s="6"/>
      <c r="O641" s="6">
        <v>0</v>
      </c>
      <c r="P641" s="6"/>
      <c r="Q641" s="7">
        <v>1</v>
      </c>
      <c r="R641" s="6"/>
      <c r="S641" s="1">
        <v>1</v>
      </c>
      <c r="U641" s="1">
        <v>0</v>
      </c>
      <c r="W641" s="1" t="str">
        <f t="shared" si="9"/>
        <v>No</v>
      </c>
    </row>
    <row r="642" spans="1:23" s="1" customFormat="1" ht="11.25">
      <c r="A642" s="2" t="s">
        <v>1847</v>
      </c>
      <c r="B642" s="21" t="s">
        <v>566</v>
      </c>
      <c r="C642" s="26" t="s">
        <v>62</v>
      </c>
      <c r="D642" s="163">
        <v>2197</v>
      </c>
      <c r="E642" s="166">
        <v>20197</v>
      </c>
      <c r="F642" s="92" t="s">
        <v>197</v>
      </c>
      <c r="G642" s="20" t="s">
        <v>1490</v>
      </c>
      <c r="H642" s="18">
        <v>18351295</v>
      </c>
      <c r="I642" s="18">
        <v>27</v>
      </c>
      <c r="J642" s="4" t="s">
        <v>12</v>
      </c>
      <c r="K642" s="26" t="s">
        <v>11</v>
      </c>
      <c r="L642" s="172">
        <v>11</v>
      </c>
      <c r="M642" s="6">
        <v>0</v>
      </c>
      <c r="N642" s="6"/>
      <c r="O642" s="6">
        <v>0</v>
      </c>
      <c r="P642" s="6"/>
      <c r="Q642" s="7">
        <v>0</v>
      </c>
      <c r="R642" s="6"/>
      <c r="S642" s="1">
        <v>0</v>
      </c>
      <c r="U642" s="1">
        <v>0</v>
      </c>
      <c r="W642" s="1" t="str">
        <f t="shared" ref="W642:W705" si="10">IF(V642&amp;T642&amp;R642&amp;P642&amp;N642&lt;&gt;"","Yes","No")</f>
        <v>No</v>
      </c>
    </row>
    <row r="643" spans="1:23" s="1" customFormat="1" ht="11.25">
      <c r="A643" s="2" t="s">
        <v>1697</v>
      </c>
      <c r="B643" s="21" t="s">
        <v>1698</v>
      </c>
      <c r="C643" s="26" t="s">
        <v>19</v>
      </c>
      <c r="D643" s="163"/>
      <c r="E643" s="166">
        <v>90287</v>
      </c>
      <c r="F643" s="92" t="s">
        <v>160</v>
      </c>
      <c r="G643" s="20" t="s">
        <v>1490</v>
      </c>
      <c r="H643" s="18">
        <v>12150996</v>
      </c>
      <c r="I643" s="18">
        <v>27</v>
      </c>
      <c r="J643" s="4" t="s">
        <v>12</v>
      </c>
      <c r="K643" s="26" t="s">
        <v>15</v>
      </c>
      <c r="L643" s="172">
        <v>21</v>
      </c>
      <c r="M643" s="6">
        <v>0</v>
      </c>
      <c r="N643" s="6"/>
      <c r="O643" s="6">
        <v>0</v>
      </c>
      <c r="P643" s="6"/>
      <c r="Q643" s="7">
        <v>0</v>
      </c>
      <c r="R643" s="6"/>
      <c r="S643" s="1">
        <v>0</v>
      </c>
      <c r="U643" s="1">
        <v>0</v>
      </c>
      <c r="W643" s="1" t="str">
        <f t="shared" si="10"/>
        <v>No</v>
      </c>
    </row>
    <row r="644" spans="1:23" s="1" customFormat="1" ht="11.25">
      <c r="A644" s="2" t="s">
        <v>1848</v>
      </c>
      <c r="B644" s="21" t="s">
        <v>833</v>
      </c>
      <c r="C644" s="26" t="s">
        <v>40</v>
      </c>
      <c r="D644" s="163">
        <v>5209</v>
      </c>
      <c r="E644" s="166">
        <v>50209</v>
      </c>
      <c r="F644" s="92" t="s">
        <v>160</v>
      </c>
      <c r="G644" s="20" t="s">
        <v>1490</v>
      </c>
      <c r="H644" s="18">
        <v>1487483</v>
      </c>
      <c r="I644" s="18">
        <v>27</v>
      </c>
      <c r="J644" s="4" t="s">
        <v>21</v>
      </c>
      <c r="K644" s="26" t="s">
        <v>15</v>
      </c>
      <c r="L644" s="172">
        <v>3</v>
      </c>
      <c r="M644" s="6">
        <v>0</v>
      </c>
      <c r="N644" s="6"/>
      <c r="O644" s="6">
        <v>0</v>
      </c>
      <c r="P644" s="6"/>
      <c r="Q644" s="7">
        <v>0</v>
      </c>
      <c r="R644" s="6"/>
      <c r="S644" s="1">
        <v>0</v>
      </c>
      <c r="U644" s="1">
        <v>0</v>
      </c>
      <c r="W644" s="1" t="str">
        <f t="shared" si="10"/>
        <v>No</v>
      </c>
    </row>
    <row r="645" spans="1:23" s="1" customFormat="1" ht="11.25">
      <c r="A645" s="2" t="s">
        <v>1263</v>
      </c>
      <c r="B645" s="21" t="s">
        <v>1264</v>
      </c>
      <c r="C645" s="26" t="s">
        <v>75</v>
      </c>
      <c r="D645" s="163">
        <v>3055</v>
      </c>
      <c r="E645" s="166">
        <v>30055</v>
      </c>
      <c r="F645" s="92" t="s">
        <v>152</v>
      </c>
      <c r="G645" s="20" t="s">
        <v>1490</v>
      </c>
      <c r="H645" s="18">
        <v>387550</v>
      </c>
      <c r="I645" s="18">
        <v>27</v>
      </c>
      <c r="J645" s="4" t="s">
        <v>12</v>
      </c>
      <c r="K645" s="26" t="s">
        <v>11</v>
      </c>
      <c r="L645" s="172">
        <v>5</v>
      </c>
      <c r="M645" s="6">
        <v>1</v>
      </c>
      <c r="N645" s="6"/>
      <c r="O645" s="6">
        <v>0</v>
      </c>
      <c r="P645" s="6"/>
      <c r="Q645" s="7">
        <v>1</v>
      </c>
      <c r="R645" s="6"/>
      <c r="S645" s="1">
        <v>0</v>
      </c>
      <c r="U645" s="1">
        <v>0</v>
      </c>
      <c r="W645" s="1" t="str">
        <f t="shared" si="10"/>
        <v>No</v>
      </c>
    </row>
    <row r="646" spans="1:23" s="1" customFormat="1" ht="11.25">
      <c r="A646" s="2" t="s">
        <v>1141</v>
      </c>
      <c r="B646" s="21" t="s">
        <v>1142</v>
      </c>
      <c r="C646" s="26" t="s">
        <v>13</v>
      </c>
      <c r="D646" s="163">
        <v>4044</v>
      </c>
      <c r="E646" s="166">
        <v>40044</v>
      </c>
      <c r="F646" s="92" t="s">
        <v>152</v>
      </c>
      <c r="G646" s="20" t="s">
        <v>149</v>
      </c>
      <c r="H646" s="18">
        <v>263907</v>
      </c>
      <c r="I646" s="18">
        <v>27</v>
      </c>
      <c r="J646" s="4" t="s">
        <v>12</v>
      </c>
      <c r="K646" s="26" t="s">
        <v>11</v>
      </c>
      <c r="L646" s="172">
        <v>19</v>
      </c>
      <c r="M646" s="6">
        <v>3</v>
      </c>
      <c r="N646" s="6"/>
      <c r="O646" s="6">
        <v>0</v>
      </c>
      <c r="P646" s="6"/>
      <c r="Q646" s="7">
        <v>3</v>
      </c>
      <c r="R646" s="6"/>
      <c r="S646" s="1">
        <v>3</v>
      </c>
      <c r="U646" s="1">
        <v>0</v>
      </c>
      <c r="W646" s="1" t="str">
        <f t="shared" si="10"/>
        <v>No</v>
      </c>
    </row>
    <row r="647" spans="1:23" s="1" customFormat="1" ht="11.25">
      <c r="A647" s="2" t="s">
        <v>1691</v>
      </c>
      <c r="B647" s="21" t="s">
        <v>1692</v>
      </c>
      <c r="C647" s="26" t="s">
        <v>68</v>
      </c>
      <c r="D647" s="163" t="s">
        <v>1693</v>
      </c>
      <c r="E647" s="166">
        <v>91092</v>
      </c>
      <c r="F647" s="92" t="s">
        <v>160</v>
      </c>
      <c r="G647" s="20" t="s">
        <v>149</v>
      </c>
      <c r="H647" s="18">
        <v>210000</v>
      </c>
      <c r="I647" s="18">
        <v>27</v>
      </c>
      <c r="J647" s="4" t="s">
        <v>21</v>
      </c>
      <c r="K647" s="26" t="s">
        <v>11</v>
      </c>
      <c r="L647" s="172">
        <v>6</v>
      </c>
      <c r="M647" s="6">
        <v>2</v>
      </c>
      <c r="N647" s="6"/>
      <c r="O647" s="6">
        <v>0</v>
      </c>
      <c r="P647" s="6"/>
      <c r="Q647" s="7">
        <v>2</v>
      </c>
      <c r="R647" s="6"/>
      <c r="S647" s="1">
        <v>2</v>
      </c>
      <c r="U647" s="1">
        <v>0</v>
      </c>
      <c r="W647" s="1" t="str">
        <f t="shared" si="10"/>
        <v>No</v>
      </c>
    </row>
    <row r="648" spans="1:23" s="1" customFormat="1" ht="11.25">
      <c r="A648" s="2" t="s">
        <v>182</v>
      </c>
      <c r="B648" s="21" t="s">
        <v>183</v>
      </c>
      <c r="C648" s="26" t="s">
        <v>73</v>
      </c>
      <c r="D648" s="163">
        <v>6096</v>
      </c>
      <c r="E648" s="166">
        <v>60096</v>
      </c>
      <c r="F648" s="92" t="s">
        <v>152</v>
      </c>
      <c r="G648" s="20" t="s">
        <v>1490</v>
      </c>
      <c r="H648" s="18">
        <v>103898</v>
      </c>
      <c r="I648" s="18">
        <v>27</v>
      </c>
      <c r="J648" s="4" t="s">
        <v>12</v>
      </c>
      <c r="K648" s="26" t="s">
        <v>11</v>
      </c>
      <c r="L648" s="172">
        <v>17</v>
      </c>
      <c r="M648" s="6">
        <v>2</v>
      </c>
      <c r="N648" s="6"/>
      <c r="O648" s="6">
        <v>0</v>
      </c>
      <c r="P648" s="6"/>
      <c r="Q648" s="7">
        <v>2</v>
      </c>
      <c r="R648" s="6"/>
      <c r="S648" s="1">
        <v>0</v>
      </c>
      <c r="U648" s="1">
        <v>0</v>
      </c>
      <c r="W648" s="1" t="str">
        <f t="shared" si="10"/>
        <v>No</v>
      </c>
    </row>
    <row r="649" spans="1:23" s="1" customFormat="1" ht="11.25">
      <c r="A649" s="2" t="s">
        <v>1448</v>
      </c>
      <c r="B649" s="21" t="s">
        <v>1449</v>
      </c>
      <c r="C649" s="26" t="s">
        <v>69</v>
      </c>
      <c r="D649" s="163">
        <v>2177</v>
      </c>
      <c r="E649" s="166">
        <v>20177</v>
      </c>
      <c r="F649" s="92" t="s">
        <v>148</v>
      </c>
      <c r="G649" s="20" t="s">
        <v>149</v>
      </c>
      <c r="H649" s="18">
        <v>18351295</v>
      </c>
      <c r="I649" s="18">
        <v>26</v>
      </c>
      <c r="J649" s="4" t="s">
        <v>21</v>
      </c>
      <c r="K649" s="26" t="s">
        <v>11</v>
      </c>
      <c r="L649" s="172">
        <v>26</v>
      </c>
      <c r="M649" s="6">
        <v>10</v>
      </c>
      <c r="N649" s="6"/>
      <c r="O649" s="6">
        <v>0</v>
      </c>
      <c r="P649" s="6"/>
      <c r="Q649" s="7">
        <v>10</v>
      </c>
      <c r="R649" s="6"/>
      <c r="S649" s="1">
        <v>0</v>
      </c>
      <c r="U649" s="1">
        <v>0</v>
      </c>
      <c r="W649" s="1" t="str">
        <f t="shared" si="10"/>
        <v>No</v>
      </c>
    </row>
    <row r="650" spans="1:23" s="1" customFormat="1" ht="11.25">
      <c r="A650" s="2" t="s">
        <v>463</v>
      </c>
      <c r="B650" s="21" t="s">
        <v>288</v>
      </c>
      <c r="C650" s="26" t="s">
        <v>84</v>
      </c>
      <c r="D650" s="163">
        <v>6108</v>
      </c>
      <c r="E650" s="166">
        <v>60108</v>
      </c>
      <c r="F650" s="92" t="s">
        <v>152</v>
      </c>
      <c r="G650" s="20" t="s">
        <v>1490</v>
      </c>
      <c r="H650" s="18">
        <v>4944332</v>
      </c>
      <c r="I650" s="18">
        <v>26</v>
      </c>
      <c r="J650" s="4" t="s">
        <v>12</v>
      </c>
      <c r="K650" s="26" t="s">
        <v>15</v>
      </c>
      <c r="L650" s="172">
        <v>6</v>
      </c>
      <c r="M650" s="6">
        <v>0</v>
      </c>
      <c r="N650" s="6"/>
      <c r="O650" s="6">
        <v>0</v>
      </c>
      <c r="P650" s="6"/>
      <c r="Q650" s="7">
        <v>0</v>
      </c>
      <c r="R650" s="6"/>
      <c r="S650" s="1">
        <v>0</v>
      </c>
      <c r="U650" s="1">
        <v>0</v>
      </c>
      <c r="W650" s="1" t="str">
        <f t="shared" si="10"/>
        <v>No</v>
      </c>
    </row>
    <row r="651" spans="1:23" s="1" customFormat="1" ht="11.25">
      <c r="A651" s="2" t="s">
        <v>1354</v>
      </c>
      <c r="B651" s="21" t="s">
        <v>1355</v>
      </c>
      <c r="C651" s="26" t="s">
        <v>84</v>
      </c>
      <c r="D651" s="163">
        <v>6012</v>
      </c>
      <c r="E651" s="166">
        <v>60012</v>
      </c>
      <c r="F651" s="92" t="s">
        <v>152</v>
      </c>
      <c r="G651" s="20" t="s">
        <v>149</v>
      </c>
      <c r="H651" s="18">
        <v>172378</v>
      </c>
      <c r="I651" s="18">
        <v>26</v>
      </c>
      <c r="J651" s="4" t="s">
        <v>12</v>
      </c>
      <c r="K651" s="26" t="s">
        <v>11</v>
      </c>
      <c r="L651" s="172">
        <v>17</v>
      </c>
      <c r="M651" s="6">
        <v>1</v>
      </c>
      <c r="N651" s="6"/>
      <c r="O651" s="6">
        <v>0</v>
      </c>
      <c r="P651" s="6"/>
      <c r="Q651" s="7">
        <v>1</v>
      </c>
      <c r="R651" s="6"/>
      <c r="S651" s="1">
        <v>0</v>
      </c>
      <c r="U651" s="1">
        <v>0</v>
      </c>
      <c r="W651" s="1" t="str">
        <f t="shared" si="10"/>
        <v>No</v>
      </c>
    </row>
    <row r="652" spans="1:23" s="1" customFormat="1" ht="11.25">
      <c r="A652" s="2" t="s">
        <v>1232</v>
      </c>
      <c r="B652" s="21" t="s">
        <v>1233</v>
      </c>
      <c r="C652" s="26" t="s">
        <v>57</v>
      </c>
      <c r="D652" s="163">
        <v>4096</v>
      </c>
      <c r="E652" s="166">
        <v>40096</v>
      </c>
      <c r="F652" s="92" t="s">
        <v>152</v>
      </c>
      <c r="G652" s="20" t="s">
        <v>1490</v>
      </c>
      <c r="H652" s="18">
        <v>68243</v>
      </c>
      <c r="I652" s="18">
        <v>26</v>
      </c>
      <c r="J652" s="4" t="s">
        <v>12</v>
      </c>
      <c r="K652" s="26" t="s">
        <v>15</v>
      </c>
      <c r="L652" s="172">
        <v>7</v>
      </c>
      <c r="M652" s="6">
        <v>1</v>
      </c>
      <c r="N652" s="6"/>
      <c r="O652" s="6">
        <v>0</v>
      </c>
      <c r="P652" s="6"/>
      <c r="Q652" s="7">
        <v>1</v>
      </c>
      <c r="R652" s="6"/>
      <c r="S652" s="1">
        <v>1</v>
      </c>
      <c r="U652" s="1">
        <v>0</v>
      </c>
      <c r="W652" s="1" t="str">
        <f t="shared" si="10"/>
        <v>No</v>
      </c>
    </row>
    <row r="653" spans="1:23" s="1" customFormat="1" ht="11.25">
      <c r="A653" s="2" t="s">
        <v>568</v>
      </c>
      <c r="B653" s="21" t="s">
        <v>200</v>
      </c>
      <c r="C653" s="26" t="s">
        <v>62</v>
      </c>
      <c r="D653" s="163">
        <v>2200</v>
      </c>
      <c r="E653" s="166">
        <v>20200</v>
      </c>
      <c r="F653" s="92" t="s">
        <v>160</v>
      </c>
      <c r="G653" s="20" t="s">
        <v>1490</v>
      </c>
      <c r="H653" s="18">
        <v>248402</v>
      </c>
      <c r="I653" s="18">
        <v>26</v>
      </c>
      <c r="J653" s="4" t="s">
        <v>12</v>
      </c>
      <c r="K653" s="26" t="s">
        <v>11</v>
      </c>
      <c r="L653" s="172">
        <v>26</v>
      </c>
      <c r="M653" s="6">
        <v>0</v>
      </c>
      <c r="N653" s="6"/>
      <c r="O653" s="6">
        <v>0</v>
      </c>
      <c r="P653" s="6"/>
      <c r="Q653" s="7">
        <v>0</v>
      </c>
      <c r="R653" s="6"/>
      <c r="S653" s="1">
        <v>0</v>
      </c>
      <c r="U653" s="1">
        <v>0</v>
      </c>
      <c r="W653" s="1" t="str">
        <f t="shared" si="10"/>
        <v>No</v>
      </c>
    </row>
    <row r="654" spans="1:23" s="1" customFormat="1" ht="11.25">
      <c r="A654" s="2" t="s">
        <v>1378</v>
      </c>
      <c r="B654" s="21" t="s">
        <v>1379</v>
      </c>
      <c r="C654" s="26" t="s">
        <v>75</v>
      </c>
      <c r="D654" s="163">
        <v>3026</v>
      </c>
      <c r="E654" s="166">
        <v>30026</v>
      </c>
      <c r="F654" s="92" t="s">
        <v>152</v>
      </c>
      <c r="G654" s="20" t="s">
        <v>149</v>
      </c>
      <c r="H654" s="18">
        <v>56142</v>
      </c>
      <c r="I654" s="18">
        <v>26</v>
      </c>
      <c r="J654" s="4" t="s">
        <v>12</v>
      </c>
      <c r="K654" s="26" t="s">
        <v>11</v>
      </c>
      <c r="L654" s="172">
        <v>23</v>
      </c>
      <c r="M654" s="6">
        <v>1</v>
      </c>
      <c r="N654" s="6"/>
      <c r="O654" s="6">
        <v>0</v>
      </c>
      <c r="P654" s="6"/>
      <c r="Q654" s="7">
        <v>1</v>
      </c>
      <c r="R654" s="6"/>
      <c r="S654" s="1">
        <v>0</v>
      </c>
      <c r="U654" s="1">
        <v>0</v>
      </c>
      <c r="W654" s="1" t="str">
        <f t="shared" si="10"/>
        <v>No</v>
      </c>
    </row>
    <row r="655" spans="1:23" s="1" customFormat="1" ht="11.25">
      <c r="A655" s="2" t="s">
        <v>637</v>
      </c>
      <c r="B655" s="21" t="s">
        <v>638</v>
      </c>
      <c r="C655" s="26" t="s">
        <v>19</v>
      </c>
      <c r="D655" s="163">
        <v>9226</v>
      </c>
      <c r="E655" s="166">
        <v>90226</v>
      </c>
      <c r="F655" s="92" t="s">
        <v>160</v>
      </c>
      <c r="G655" s="20" t="s">
        <v>149</v>
      </c>
      <c r="H655" s="18">
        <v>107672</v>
      </c>
      <c r="I655" s="18">
        <v>26</v>
      </c>
      <c r="J655" s="4" t="s">
        <v>12</v>
      </c>
      <c r="K655" s="26" t="s">
        <v>15</v>
      </c>
      <c r="L655" s="172">
        <v>18</v>
      </c>
      <c r="M655" s="6">
        <v>3</v>
      </c>
      <c r="N655" s="6"/>
      <c r="O655" s="6">
        <v>0</v>
      </c>
      <c r="P655" s="6"/>
      <c r="Q655" s="7">
        <v>3</v>
      </c>
      <c r="R655" s="6"/>
      <c r="S655" s="1">
        <v>0</v>
      </c>
      <c r="U655" s="1">
        <v>0</v>
      </c>
      <c r="W655" s="1" t="str">
        <f t="shared" si="10"/>
        <v>No</v>
      </c>
    </row>
    <row r="656" spans="1:23" s="1" customFormat="1" ht="11.25">
      <c r="A656" s="2" t="s">
        <v>1395</v>
      </c>
      <c r="B656" s="21" t="s">
        <v>1396</v>
      </c>
      <c r="C656" s="26" t="s">
        <v>77</v>
      </c>
      <c r="D656" s="163">
        <v>4125</v>
      </c>
      <c r="E656" s="166">
        <v>40125</v>
      </c>
      <c r="F656" s="92" t="s">
        <v>152</v>
      </c>
      <c r="G656" s="20" t="s">
        <v>1490</v>
      </c>
      <c r="H656" s="18">
        <v>2148346</v>
      </c>
      <c r="I656" s="18">
        <v>26</v>
      </c>
      <c r="J656" s="4" t="s">
        <v>12</v>
      </c>
      <c r="K656" s="26" t="s">
        <v>11</v>
      </c>
      <c r="L656" s="172">
        <v>24</v>
      </c>
      <c r="M656" s="6">
        <v>2</v>
      </c>
      <c r="N656" s="6"/>
      <c r="O656" s="6">
        <v>0</v>
      </c>
      <c r="P656" s="6"/>
      <c r="Q656" s="7">
        <v>2</v>
      </c>
      <c r="R656" s="6"/>
      <c r="S656" s="1">
        <v>0</v>
      </c>
      <c r="U656" s="1">
        <v>0</v>
      </c>
      <c r="W656" s="1" t="str">
        <f t="shared" si="10"/>
        <v>No</v>
      </c>
    </row>
    <row r="657" spans="1:23" s="1" customFormat="1" ht="11.25">
      <c r="A657" s="2" t="s">
        <v>910</v>
      </c>
      <c r="B657" s="21" t="s">
        <v>911</v>
      </c>
      <c r="C657" s="26" t="s">
        <v>83</v>
      </c>
      <c r="D657" s="163">
        <v>4092</v>
      </c>
      <c r="E657" s="166">
        <v>40092</v>
      </c>
      <c r="F657" s="92" t="s">
        <v>152</v>
      </c>
      <c r="G657" s="20" t="s">
        <v>1490</v>
      </c>
      <c r="H657" s="18">
        <v>158655</v>
      </c>
      <c r="I657" s="18">
        <v>26</v>
      </c>
      <c r="J657" s="4" t="s">
        <v>12</v>
      </c>
      <c r="K657" s="26" t="s">
        <v>11</v>
      </c>
      <c r="L657" s="172">
        <v>16</v>
      </c>
      <c r="M657" s="6">
        <v>1</v>
      </c>
      <c r="N657" s="6"/>
      <c r="O657" s="6">
        <v>0</v>
      </c>
      <c r="P657" s="6"/>
      <c r="Q657" s="7">
        <v>1</v>
      </c>
      <c r="R657" s="6"/>
      <c r="S657" s="1">
        <v>0</v>
      </c>
      <c r="U657" s="1">
        <v>0</v>
      </c>
      <c r="W657" s="1" t="str">
        <f t="shared" si="10"/>
        <v>No</v>
      </c>
    </row>
    <row r="658" spans="1:23" s="1" customFormat="1" ht="11.25">
      <c r="A658" s="2" t="s">
        <v>463</v>
      </c>
      <c r="B658" s="21" t="s">
        <v>288</v>
      </c>
      <c r="C658" s="26" t="s">
        <v>84</v>
      </c>
      <c r="D658" s="163">
        <v>6108</v>
      </c>
      <c r="E658" s="166">
        <v>60108</v>
      </c>
      <c r="F658" s="92" t="s">
        <v>152</v>
      </c>
      <c r="G658" s="20" t="s">
        <v>1490</v>
      </c>
      <c r="H658" s="18">
        <v>4944332</v>
      </c>
      <c r="I658" s="18">
        <v>26</v>
      </c>
      <c r="J658" s="4" t="s">
        <v>21</v>
      </c>
      <c r="K658" s="26" t="s">
        <v>15</v>
      </c>
      <c r="L658" s="172">
        <v>5</v>
      </c>
      <c r="M658" s="6">
        <v>0</v>
      </c>
      <c r="N658" s="6"/>
      <c r="O658" s="6">
        <v>0</v>
      </c>
      <c r="P658" s="6"/>
      <c r="Q658" s="7">
        <v>0</v>
      </c>
      <c r="R658" s="6"/>
      <c r="S658" s="1">
        <v>0</v>
      </c>
      <c r="U658" s="1">
        <v>0</v>
      </c>
      <c r="W658" s="1" t="str">
        <f t="shared" si="10"/>
        <v>No</v>
      </c>
    </row>
    <row r="659" spans="1:23" s="1" customFormat="1" ht="11.25">
      <c r="A659" s="2" t="s">
        <v>1849</v>
      </c>
      <c r="B659" s="21" t="s">
        <v>467</v>
      </c>
      <c r="C659" s="26" t="s">
        <v>37</v>
      </c>
      <c r="D659" s="163">
        <v>7045</v>
      </c>
      <c r="E659" s="166">
        <v>70045</v>
      </c>
      <c r="F659" s="92" t="s">
        <v>152</v>
      </c>
      <c r="G659" s="20" t="s">
        <v>149</v>
      </c>
      <c r="H659" s="18">
        <v>106621</v>
      </c>
      <c r="I659" s="18">
        <v>26</v>
      </c>
      <c r="J659" s="4" t="s">
        <v>12</v>
      </c>
      <c r="K659" s="26" t="s">
        <v>11</v>
      </c>
      <c r="L659" s="172">
        <v>1</v>
      </c>
      <c r="M659" s="6">
        <v>0</v>
      </c>
      <c r="N659" s="6"/>
      <c r="O659" s="6">
        <v>0</v>
      </c>
      <c r="P659" s="6"/>
      <c r="Q659" s="7">
        <v>0</v>
      </c>
      <c r="R659" s="6"/>
      <c r="S659" s="1">
        <v>0</v>
      </c>
      <c r="U659" s="1">
        <v>0</v>
      </c>
      <c r="W659" s="1" t="str">
        <f t="shared" si="10"/>
        <v>No</v>
      </c>
    </row>
    <row r="660" spans="1:23" s="1" customFormat="1" ht="11.25">
      <c r="A660" s="2" t="s">
        <v>855</v>
      </c>
      <c r="B660" s="21" t="s">
        <v>313</v>
      </c>
      <c r="C660" s="26" t="s">
        <v>61</v>
      </c>
      <c r="D660" s="163">
        <v>1133</v>
      </c>
      <c r="E660" s="166">
        <v>10133</v>
      </c>
      <c r="F660" s="92" t="s">
        <v>148</v>
      </c>
      <c r="G660" s="20" t="s">
        <v>1490</v>
      </c>
      <c r="H660" s="18">
        <v>4181019</v>
      </c>
      <c r="I660" s="18">
        <v>25</v>
      </c>
      <c r="J660" s="4" t="s">
        <v>21</v>
      </c>
      <c r="K660" s="26" t="s">
        <v>11</v>
      </c>
      <c r="L660" s="172">
        <v>25</v>
      </c>
      <c r="M660" s="6">
        <v>6</v>
      </c>
      <c r="N660" s="6"/>
      <c r="O660" s="6">
        <v>0</v>
      </c>
      <c r="P660" s="6"/>
      <c r="Q660" s="7">
        <v>6</v>
      </c>
      <c r="R660" s="6"/>
      <c r="S660" s="1">
        <v>0</v>
      </c>
      <c r="U660" s="1">
        <v>0</v>
      </c>
      <c r="W660" s="1" t="str">
        <f t="shared" si="10"/>
        <v>No</v>
      </c>
    </row>
    <row r="661" spans="1:23" s="1" customFormat="1" ht="11.25">
      <c r="A661" s="2" t="s">
        <v>1851</v>
      </c>
      <c r="B661" s="21" t="s">
        <v>192</v>
      </c>
      <c r="C661" s="26" t="s">
        <v>51</v>
      </c>
      <c r="D661" s="163"/>
      <c r="E661" s="166">
        <v>50522</v>
      </c>
      <c r="F661" s="92" t="s">
        <v>152</v>
      </c>
      <c r="G661" s="20" t="s">
        <v>149</v>
      </c>
      <c r="H661" s="18">
        <v>3734090</v>
      </c>
      <c r="I661" s="18">
        <v>25</v>
      </c>
      <c r="J661" s="4" t="s">
        <v>12</v>
      </c>
      <c r="K661" s="26" t="s">
        <v>11</v>
      </c>
      <c r="L661" s="172">
        <v>8</v>
      </c>
      <c r="M661" s="6">
        <v>1</v>
      </c>
      <c r="N661" s="6"/>
      <c r="O661" s="6">
        <v>0</v>
      </c>
      <c r="P661" s="6"/>
      <c r="Q661" s="7">
        <v>1</v>
      </c>
      <c r="R661" s="6"/>
      <c r="S661" s="1">
        <v>0</v>
      </c>
      <c r="U661" s="1">
        <v>0</v>
      </c>
      <c r="W661" s="1" t="str">
        <f t="shared" si="10"/>
        <v>No</v>
      </c>
    </row>
    <row r="662" spans="1:23" s="1" customFormat="1" ht="11.25">
      <c r="A662" s="2" t="s">
        <v>610</v>
      </c>
      <c r="B662" s="21" t="s">
        <v>611</v>
      </c>
      <c r="C662" s="26" t="s">
        <v>45</v>
      </c>
      <c r="D662" s="163">
        <v>1007</v>
      </c>
      <c r="E662" s="166">
        <v>10007</v>
      </c>
      <c r="F662" s="92" t="s">
        <v>326</v>
      </c>
      <c r="G662" s="20" t="s">
        <v>149</v>
      </c>
      <c r="H662" s="18">
        <v>59124</v>
      </c>
      <c r="I662" s="18">
        <v>25</v>
      </c>
      <c r="J662" s="4" t="s">
        <v>12</v>
      </c>
      <c r="K662" s="26" t="s">
        <v>15</v>
      </c>
      <c r="L662" s="172">
        <v>16</v>
      </c>
      <c r="M662" s="6">
        <v>1</v>
      </c>
      <c r="N662" s="6"/>
      <c r="O662" s="6">
        <v>0</v>
      </c>
      <c r="P662" s="6"/>
      <c r="Q662" s="7">
        <v>1</v>
      </c>
      <c r="R662" s="6"/>
      <c r="S662" s="1">
        <v>2</v>
      </c>
      <c r="U662" s="1">
        <v>0</v>
      </c>
      <c r="W662" s="1" t="str">
        <f t="shared" si="10"/>
        <v>No</v>
      </c>
    </row>
    <row r="663" spans="1:23" s="1" customFormat="1" ht="11.25">
      <c r="A663" s="2" t="s">
        <v>581</v>
      </c>
      <c r="B663" s="21" t="s">
        <v>327</v>
      </c>
      <c r="C663" s="26" t="s">
        <v>35</v>
      </c>
      <c r="D663" s="163">
        <v>4047</v>
      </c>
      <c r="E663" s="166">
        <v>40047</v>
      </c>
      <c r="F663" s="92" t="s">
        <v>152</v>
      </c>
      <c r="G663" s="20" t="s">
        <v>149</v>
      </c>
      <c r="H663" s="18">
        <v>128754</v>
      </c>
      <c r="I663" s="18">
        <v>25</v>
      </c>
      <c r="J663" s="4" t="s">
        <v>12</v>
      </c>
      <c r="K663" s="26" t="s">
        <v>11</v>
      </c>
      <c r="L663" s="172">
        <v>22</v>
      </c>
      <c r="M663" s="6">
        <v>2</v>
      </c>
      <c r="N663" s="6"/>
      <c r="O663" s="6">
        <v>0</v>
      </c>
      <c r="P663" s="6"/>
      <c r="Q663" s="7">
        <v>2</v>
      </c>
      <c r="R663" s="6"/>
      <c r="S663" s="1">
        <v>2</v>
      </c>
      <c r="U663" s="1">
        <v>0</v>
      </c>
      <c r="W663" s="1" t="str">
        <f t="shared" si="10"/>
        <v>No</v>
      </c>
    </row>
    <row r="664" spans="1:23" s="1" customFormat="1" ht="11.25">
      <c r="A664" s="2" t="s">
        <v>530</v>
      </c>
      <c r="B664" s="21" t="s">
        <v>261</v>
      </c>
      <c r="C664" s="26" t="s">
        <v>84</v>
      </c>
      <c r="D664" s="163">
        <v>6040</v>
      </c>
      <c r="E664" s="166">
        <v>60040</v>
      </c>
      <c r="F664" s="92" t="s">
        <v>152</v>
      </c>
      <c r="G664" s="20" t="s">
        <v>1490</v>
      </c>
      <c r="H664" s="18">
        <v>110421</v>
      </c>
      <c r="I664" s="18">
        <v>25</v>
      </c>
      <c r="J664" s="4" t="s">
        <v>12</v>
      </c>
      <c r="K664" s="26" t="s">
        <v>11</v>
      </c>
      <c r="L664" s="172">
        <v>10</v>
      </c>
      <c r="M664" s="6">
        <v>1</v>
      </c>
      <c r="N664" s="6"/>
      <c r="O664" s="6">
        <v>0</v>
      </c>
      <c r="P664" s="6"/>
      <c r="Q664" s="7">
        <v>1</v>
      </c>
      <c r="R664" s="6"/>
      <c r="S664" s="1">
        <v>0</v>
      </c>
      <c r="U664" s="1">
        <v>0</v>
      </c>
      <c r="W664" s="1" t="str">
        <f t="shared" si="10"/>
        <v>No</v>
      </c>
    </row>
    <row r="665" spans="1:23" s="1" customFormat="1" ht="11.25">
      <c r="A665" s="2" t="s">
        <v>1340</v>
      </c>
      <c r="B665" s="21" t="s">
        <v>1341</v>
      </c>
      <c r="C665" s="26" t="s">
        <v>51</v>
      </c>
      <c r="D665" s="163">
        <v>5132</v>
      </c>
      <c r="E665" s="166">
        <v>50132</v>
      </c>
      <c r="F665" s="92" t="s">
        <v>160</v>
      </c>
      <c r="G665" s="20" t="s">
        <v>1490</v>
      </c>
      <c r="H665" s="18">
        <v>61022</v>
      </c>
      <c r="I665" s="18">
        <v>25</v>
      </c>
      <c r="J665" s="4" t="s">
        <v>12</v>
      </c>
      <c r="K665" s="26" t="s">
        <v>11</v>
      </c>
      <c r="L665" s="172">
        <v>4</v>
      </c>
      <c r="M665" s="6">
        <v>1</v>
      </c>
      <c r="N665" s="6"/>
      <c r="O665" s="6">
        <v>0</v>
      </c>
      <c r="P665" s="6"/>
      <c r="Q665" s="7">
        <v>1</v>
      </c>
      <c r="R665" s="6"/>
      <c r="S665" s="1">
        <v>0</v>
      </c>
      <c r="U665" s="1">
        <v>0</v>
      </c>
      <c r="W665" s="1" t="str">
        <f t="shared" si="10"/>
        <v>No</v>
      </c>
    </row>
    <row r="666" spans="1:23" s="1" customFormat="1" ht="11.25">
      <c r="A666" s="2" t="s">
        <v>1430</v>
      </c>
      <c r="B666" s="21" t="s">
        <v>289</v>
      </c>
      <c r="C666" s="26" t="s">
        <v>35</v>
      </c>
      <c r="D666" s="163">
        <v>4130</v>
      </c>
      <c r="E666" s="166">
        <v>40130</v>
      </c>
      <c r="F666" s="92" t="s">
        <v>160</v>
      </c>
      <c r="G666" s="20" t="s">
        <v>1490</v>
      </c>
      <c r="H666" s="18">
        <v>137570</v>
      </c>
      <c r="I666" s="18">
        <v>25</v>
      </c>
      <c r="J666" s="4" t="s">
        <v>12</v>
      </c>
      <c r="K666" s="26" t="s">
        <v>11</v>
      </c>
      <c r="L666" s="172">
        <v>19</v>
      </c>
      <c r="M666" s="6">
        <v>1</v>
      </c>
      <c r="N666" s="6"/>
      <c r="O666" s="6">
        <v>0</v>
      </c>
      <c r="P666" s="6"/>
      <c r="Q666" s="7">
        <v>1</v>
      </c>
      <c r="R666" s="6"/>
      <c r="S666" s="1">
        <v>2</v>
      </c>
      <c r="U666" s="1">
        <v>0</v>
      </c>
      <c r="W666" s="1" t="str">
        <f t="shared" si="10"/>
        <v>No</v>
      </c>
    </row>
    <row r="667" spans="1:23" s="1" customFormat="1" ht="11.25">
      <c r="A667" s="2" t="s">
        <v>1018</v>
      </c>
      <c r="B667" s="21" t="s">
        <v>1019</v>
      </c>
      <c r="C667" s="26" t="s">
        <v>47</v>
      </c>
      <c r="D667" s="163">
        <v>3074</v>
      </c>
      <c r="E667" s="166">
        <v>30074</v>
      </c>
      <c r="F667" s="92" t="s">
        <v>152</v>
      </c>
      <c r="G667" s="20" t="s">
        <v>1490</v>
      </c>
      <c r="H667" s="18">
        <v>213751</v>
      </c>
      <c r="I667" s="18">
        <v>25</v>
      </c>
      <c r="J667" s="4" t="s">
        <v>12</v>
      </c>
      <c r="K667" s="26" t="s">
        <v>11</v>
      </c>
      <c r="L667" s="172">
        <v>12</v>
      </c>
      <c r="M667" s="6">
        <v>1</v>
      </c>
      <c r="N667" s="6"/>
      <c r="O667" s="6">
        <v>0</v>
      </c>
      <c r="P667" s="6"/>
      <c r="Q667" s="7">
        <v>1</v>
      </c>
      <c r="R667" s="6"/>
      <c r="S667" s="1">
        <v>0</v>
      </c>
      <c r="U667" s="1">
        <v>0</v>
      </c>
      <c r="W667" s="1" t="str">
        <f t="shared" si="10"/>
        <v>No</v>
      </c>
    </row>
    <row r="668" spans="1:23" s="1" customFormat="1" ht="11.25">
      <c r="A668" s="2" t="s">
        <v>927</v>
      </c>
      <c r="B668" s="21" t="s">
        <v>359</v>
      </c>
      <c r="C668" s="26" t="s">
        <v>88</v>
      </c>
      <c r="D668" s="163">
        <v>16</v>
      </c>
      <c r="E668" s="166">
        <v>16</v>
      </c>
      <c r="F668" s="92" t="s">
        <v>152</v>
      </c>
      <c r="G668" s="20" t="s">
        <v>149</v>
      </c>
      <c r="H668" s="18">
        <v>63952</v>
      </c>
      <c r="I668" s="18">
        <v>25</v>
      </c>
      <c r="J668" s="4" t="s">
        <v>12</v>
      </c>
      <c r="K668" s="26" t="s">
        <v>11</v>
      </c>
      <c r="L668" s="172">
        <v>9</v>
      </c>
      <c r="M668" s="6">
        <v>1</v>
      </c>
      <c r="N668" s="6"/>
      <c r="O668" s="6">
        <v>0</v>
      </c>
      <c r="P668" s="6"/>
      <c r="Q668" s="7">
        <v>1</v>
      </c>
      <c r="R668" s="6"/>
      <c r="S668" s="1">
        <v>0</v>
      </c>
      <c r="U668" s="1">
        <v>0</v>
      </c>
      <c r="W668" s="1" t="str">
        <f t="shared" si="10"/>
        <v>No</v>
      </c>
    </row>
    <row r="669" spans="1:23" s="1" customFormat="1" ht="11.25">
      <c r="A669" s="2" t="s">
        <v>494</v>
      </c>
      <c r="B669" s="21" t="s">
        <v>495</v>
      </c>
      <c r="C669" s="26" t="s">
        <v>61</v>
      </c>
      <c r="D669" s="163">
        <v>1119</v>
      </c>
      <c r="E669" s="166">
        <v>10119</v>
      </c>
      <c r="F669" s="92" t="s">
        <v>98</v>
      </c>
      <c r="G669" s="20" t="s">
        <v>1490</v>
      </c>
      <c r="H669" s="18">
        <v>88087</v>
      </c>
      <c r="I669" s="18">
        <v>25</v>
      </c>
      <c r="J669" s="4" t="s">
        <v>12</v>
      </c>
      <c r="K669" s="26" t="s">
        <v>11</v>
      </c>
      <c r="L669" s="172">
        <v>25</v>
      </c>
      <c r="M669" s="6">
        <v>2</v>
      </c>
      <c r="N669" s="6"/>
      <c r="O669" s="6">
        <v>0</v>
      </c>
      <c r="P669" s="6"/>
      <c r="Q669" s="7">
        <v>2</v>
      </c>
      <c r="R669" s="6"/>
      <c r="S669" s="1">
        <v>0</v>
      </c>
      <c r="U669" s="1">
        <v>0</v>
      </c>
      <c r="W669" s="1" t="str">
        <f t="shared" si="10"/>
        <v>No</v>
      </c>
    </row>
    <row r="670" spans="1:23" s="1" customFormat="1" ht="11.25">
      <c r="A670" s="2" t="s">
        <v>1256</v>
      </c>
      <c r="B670" s="21" t="s">
        <v>1257</v>
      </c>
      <c r="C670" s="26" t="s">
        <v>19</v>
      </c>
      <c r="D670" s="163">
        <v>9087</v>
      </c>
      <c r="E670" s="166">
        <v>90087</v>
      </c>
      <c r="F670" s="92" t="s">
        <v>152</v>
      </c>
      <c r="G670" s="20" t="s">
        <v>149</v>
      </c>
      <c r="H670" s="18">
        <v>130447</v>
      </c>
      <c r="I670" s="18">
        <v>25</v>
      </c>
      <c r="J670" s="4" t="s">
        <v>12</v>
      </c>
      <c r="K670" s="26" t="s">
        <v>15</v>
      </c>
      <c r="L670" s="172">
        <v>19</v>
      </c>
      <c r="M670" s="6">
        <v>1</v>
      </c>
      <c r="N670" s="6"/>
      <c r="O670" s="6">
        <v>0</v>
      </c>
      <c r="P670" s="6"/>
      <c r="Q670" s="7">
        <v>1</v>
      </c>
      <c r="R670" s="6"/>
      <c r="S670" s="1">
        <v>0</v>
      </c>
      <c r="U670" s="1">
        <v>0</v>
      </c>
      <c r="W670" s="1" t="str">
        <f t="shared" si="10"/>
        <v>No</v>
      </c>
    </row>
    <row r="671" spans="1:23" s="1" customFormat="1" ht="11.25">
      <c r="A671" s="2" t="s">
        <v>1850</v>
      </c>
      <c r="B671" s="21" t="s">
        <v>807</v>
      </c>
      <c r="C671" s="26" t="s">
        <v>42</v>
      </c>
      <c r="D671" s="163">
        <v>7053</v>
      </c>
      <c r="E671" s="166">
        <v>70053</v>
      </c>
      <c r="F671" s="92" t="s">
        <v>197</v>
      </c>
      <c r="G671" s="20" t="s">
        <v>1490</v>
      </c>
      <c r="H671" s="18">
        <v>54622</v>
      </c>
      <c r="I671" s="18">
        <v>25</v>
      </c>
      <c r="J671" s="4" t="s">
        <v>12</v>
      </c>
      <c r="K671" s="26" t="s">
        <v>11</v>
      </c>
      <c r="L671" s="172">
        <v>14</v>
      </c>
      <c r="M671" s="6">
        <v>0</v>
      </c>
      <c r="N671" s="6"/>
      <c r="O671" s="6">
        <v>0</v>
      </c>
      <c r="P671" s="6"/>
      <c r="Q671" s="7">
        <v>0</v>
      </c>
      <c r="R671" s="6"/>
      <c r="S671" s="1">
        <v>0</v>
      </c>
      <c r="U671" s="1">
        <v>0</v>
      </c>
      <c r="W671" s="1" t="str">
        <f t="shared" si="10"/>
        <v>No</v>
      </c>
    </row>
    <row r="672" spans="1:23" s="1" customFormat="1" ht="11.25">
      <c r="A672" s="2" t="s">
        <v>552</v>
      </c>
      <c r="B672" s="21" t="s">
        <v>553</v>
      </c>
      <c r="C672" s="26" t="s">
        <v>19</v>
      </c>
      <c r="D672" s="163">
        <v>9182</v>
      </c>
      <c r="E672" s="166">
        <v>90182</v>
      </c>
      <c r="F672" s="92" t="s">
        <v>160</v>
      </c>
      <c r="G672" s="20" t="s">
        <v>149</v>
      </c>
      <c r="H672" s="18">
        <v>370583</v>
      </c>
      <c r="I672" s="18">
        <v>25</v>
      </c>
      <c r="J672" s="4" t="s">
        <v>20</v>
      </c>
      <c r="K672" s="26" t="s">
        <v>15</v>
      </c>
      <c r="L672" s="172">
        <v>25</v>
      </c>
      <c r="M672" s="6">
        <v>10</v>
      </c>
      <c r="N672" s="6"/>
      <c r="O672" s="6">
        <v>0</v>
      </c>
      <c r="P672" s="6"/>
      <c r="Q672" s="7">
        <v>10</v>
      </c>
      <c r="R672" s="6"/>
      <c r="S672" s="1">
        <v>0</v>
      </c>
      <c r="U672" s="1">
        <v>0</v>
      </c>
      <c r="W672" s="1" t="str">
        <f t="shared" si="10"/>
        <v>No</v>
      </c>
    </row>
    <row r="673" spans="1:23" s="1" customFormat="1" ht="11.25">
      <c r="A673" s="2" t="s">
        <v>717</v>
      </c>
      <c r="B673" s="21" t="s">
        <v>718</v>
      </c>
      <c r="C673" s="26" t="s">
        <v>69</v>
      </c>
      <c r="D673" s="163">
        <v>2005</v>
      </c>
      <c r="E673" s="166">
        <v>20005</v>
      </c>
      <c r="F673" s="92" t="s">
        <v>152</v>
      </c>
      <c r="G673" s="20" t="s">
        <v>1490</v>
      </c>
      <c r="H673" s="18">
        <v>67983</v>
      </c>
      <c r="I673" s="18">
        <v>24</v>
      </c>
      <c r="J673" s="4" t="s">
        <v>12</v>
      </c>
      <c r="K673" s="26" t="s">
        <v>15</v>
      </c>
      <c r="L673" s="172">
        <v>16</v>
      </c>
      <c r="M673" s="6">
        <v>1</v>
      </c>
      <c r="N673" s="6"/>
      <c r="O673" s="6">
        <v>0</v>
      </c>
      <c r="P673" s="6"/>
      <c r="Q673" s="7">
        <v>1</v>
      </c>
      <c r="R673" s="6"/>
      <c r="S673" s="1">
        <v>0</v>
      </c>
      <c r="U673" s="1">
        <v>0</v>
      </c>
      <c r="W673" s="1" t="str">
        <f t="shared" si="10"/>
        <v>No</v>
      </c>
    </row>
    <row r="674" spans="1:23" s="1" customFormat="1" ht="11.25">
      <c r="A674" s="2" t="s">
        <v>170</v>
      </c>
      <c r="B674" s="21" t="s">
        <v>171</v>
      </c>
      <c r="C674" s="26" t="s">
        <v>75</v>
      </c>
      <c r="D674" s="163">
        <v>3095</v>
      </c>
      <c r="E674" s="166">
        <v>30095</v>
      </c>
      <c r="F674" s="92" t="s">
        <v>160</v>
      </c>
      <c r="G674" s="20" t="s">
        <v>149</v>
      </c>
      <c r="H674" s="18">
        <v>77086</v>
      </c>
      <c r="I674" s="18">
        <v>24</v>
      </c>
      <c r="J674" s="4" t="s">
        <v>12</v>
      </c>
      <c r="K674" s="26" t="s">
        <v>11</v>
      </c>
      <c r="L674" s="172">
        <v>8</v>
      </c>
      <c r="M674" s="6">
        <v>1</v>
      </c>
      <c r="N674" s="6"/>
      <c r="O674" s="6">
        <v>0</v>
      </c>
      <c r="P674" s="6"/>
      <c r="Q674" s="7">
        <v>1</v>
      </c>
      <c r="R674" s="6"/>
      <c r="S674" s="1">
        <v>0</v>
      </c>
      <c r="U674" s="1">
        <v>0</v>
      </c>
      <c r="W674" s="1" t="str">
        <f t="shared" si="10"/>
        <v>No</v>
      </c>
    </row>
    <row r="675" spans="1:23" s="1" customFormat="1" ht="11.25">
      <c r="A675" s="2" t="s">
        <v>27</v>
      </c>
      <c r="B675" s="21" t="s">
        <v>1236</v>
      </c>
      <c r="C675" s="26" t="s">
        <v>19</v>
      </c>
      <c r="D675" s="163">
        <v>9168</v>
      </c>
      <c r="E675" s="166">
        <v>90168</v>
      </c>
      <c r="F675" s="92" t="s">
        <v>152</v>
      </c>
      <c r="G675" s="20" t="s">
        <v>1490</v>
      </c>
      <c r="H675" s="18">
        <v>1723634</v>
      </c>
      <c r="I675" s="18">
        <v>24</v>
      </c>
      <c r="J675" s="4" t="s">
        <v>21</v>
      </c>
      <c r="K675" s="26" t="s">
        <v>15</v>
      </c>
      <c r="L675" s="172">
        <v>8</v>
      </c>
      <c r="M675" s="6">
        <v>1</v>
      </c>
      <c r="N675" s="6"/>
      <c r="O675" s="6">
        <v>0</v>
      </c>
      <c r="P675" s="6"/>
      <c r="Q675" s="7">
        <v>1</v>
      </c>
      <c r="R675" s="6"/>
      <c r="S675" s="1">
        <v>0</v>
      </c>
      <c r="U675" s="1">
        <v>0</v>
      </c>
      <c r="W675" s="1" t="str">
        <f t="shared" si="10"/>
        <v>No</v>
      </c>
    </row>
    <row r="676" spans="1:23" s="1" customFormat="1" ht="11.25">
      <c r="A676" s="2" t="s">
        <v>164</v>
      </c>
      <c r="B676" s="21" t="s">
        <v>165</v>
      </c>
      <c r="C676" s="26" t="s">
        <v>95</v>
      </c>
      <c r="D676" s="163">
        <v>3089</v>
      </c>
      <c r="E676" s="166">
        <v>30089</v>
      </c>
      <c r="F676" s="92" t="s">
        <v>160</v>
      </c>
      <c r="G676" s="20" t="s">
        <v>1490</v>
      </c>
      <c r="H676" s="18">
        <v>70350</v>
      </c>
      <c r="I676" s="18">
        <v>24</v>
      </c>
      <c r="J676" s="4" t="s">
        <v>12</v>
      </c>
      <c r="K676" s="26" t="s">
        <v>11</v>
      </c>
      <c r="L676" s="172">
        <v>23</v>
      </c>
      <c r="M676" s="6">
        <v>2</v>
      </c>
      <c r="N676" s="6"/>
      <c r="O676" s="6">
        <v>0</v>
      </c>
      <c r="P676" s="6"/>
      <c r="Q676" s="7">
        <v>2</v>
      </c>
      <c r="R676" s="6"/>
      <c r="S676" s="1">
        <v>0</v>
      </c>
      <c r="U676" s="1">
        <v>0</v>
      </c>
      <c r="W676" s="1" t="str">
        <f t="shared" si="10"/>
        <v>No</v>
      </c>
    </row>
    <row r="677" spans="1:23" s="1" customFormat="1" ht="11.25">
      <c r="A677" s="2" t="s">
        <v>1649</v>
      </c>
      <c r="B677" s="21" t="s">
        <v>262</v>
      </c>
      <c r="C677" s="26" t="s">
        <v>52</v>
      </c>
      <c r="D677" s="163">
        <v>5218</v>
      </c>
      <c r="E677" s="166">
        <v>50515</v>
      </c>
      <c r="F677" s="92" t="s">
        <v>98</v>
      </c>
      <c r="G677" s="20" t="s">
        <v>149</v>
      </c>
      <c r="H677" s="18">
        <v>2650890</v>
      </c>
      <c r="I677" s="18">
        <v>24</v>
      </c>
      <c r="J677" s="4" t="s">
        <v>12</v>
      </c>
      <c r="K677" s="26" t="s">
        <v>15</v>
      </c>
      <c r="L677" s="172">
        <v>21</v>
      </c>
      <c r="M677" s="6">
        <v>0</v>
      </c>
      <c r="N677" s="6"/>
      <c r="O677" s="6">
        <v>0</v>
      </c>
      <c r="P677" s="6"/>
      <c r="Q677" s="7">
        <v>0</v>
      </c>
      <c r="R677" s="6"/>
      <c r="S677" s="1">
        <v>0</v>
      </c>
      <c r="U677" s="1">
        <v>0</v>
      </c>
      <c r="W677" s="1" t="str">
        <f t="shared" si="10"/>
        <v>No</v>
      </c>
    </row>
    <row r="678" spans="1:23" s="1" customFormat="1" ht="11.25">
      <c r="A678" s="2" t="s">
        <v>337</v>
      </c>
      <c r="B678" s="21" t="s">
        <v>319</v>
      </c>
      <c r="C678" s="26" t="s">
        <v>68</v>
      </c>
      <c r="D678" s="163">
        <v>9242</v>
      </c>
      <c r="E678" s="166">
        <v>90242</v>
      </c>
      <c r="F678" s="92" t="s">
        <v>197</v>
      </c>
      <c r="G678" s="20" t="s">
        <v>149</v>
      </c>
      <c r="H678" s="18">
        <v>1886011</v>
      </c>
      <c r="I678" s="18">
        <v>24</v>
      </c>
      <c r="J678" s="4" t="s">
        <v>34</v>
      </c>
      <c r="K678" s="26" t="s">
        <v>11</v>
      </c>
      <c r="L678" s="172">
        <v>24</v>
      </c>
      <c r="M678" s="6">
        <v>7</v>
      </c>
      <c r="N678" s="6"/>
      <c r="O678" s="6">
        <v>0</v>
      </c>
      <c r="P678" s="6"/>
      <c r="Q678" s="7">
        <v>7</v>
      </c>
      <c r="R678" s="6"/>
      <c r="S678" s="1">
        <v>11</v>
      </c>
      <c r="U678" s="1">
        <v>22</v>
      </c>
      <c r="W678" s="1" t="str">
        <f t="shared" si="10"/>
        <v>No</v>
      </c>
    </row>
    <row r="679" spans="1:23" s="1" customFormat="1" ht="11.25">
      <c r="A679" s="2" t="s">
        <v>1210</v>
      </c>
      <c r="B679" s="21" t="s">
        <v>214</v>
      </c>
      <c r="C679" s="26" t="s">
        <v>28</v>
      </c>
      <c r="D679" s="163">
        <v>8007</v>
      </c>
      <c r="E679" s="166">
        <v>80007</v>
      </c>
      <c r="F679" s="92" t="s">
        <v>152</v>
      </c>
      <c r="G679" s="20" t="s">
        <v>149</v>
      </c>
      <c r="H679" s="18">
        <v>136550</v>
      </c>
      <c r="I679" s="18">
        <v>24</v>
      </c>
      <c r="J679" s="4" t="s">
        <v>12</v>
      </c>
      <c r="K679" s="26" t="s">
        <v>11</v>
      </c>
      <c r="L679" s="172">
        <v>13</v>
      </c>
      <c r="M679" s="6">
        <v>1</v>
      </c>
      <c r="N679" s="6"/>
      <c r="O679" s="6">
        <v>0</v>
      </c>
      <c r="P679" s="6"/>
      <c r="Q679" s="7">
        <v>1</v>
      </c>
      <c r="R679" s="6"/>
      <c r="S679" s="1">
        <v>0</v>
      </c>
      <c r="U679" s="1">
        <v>0</v>
      </c>
      <c r="W679" s="1" t="str">
        <f t="shared" si="10"/>
        <v>No</v>
      </c>
    </row>
    <row r="680" spans="1:23" s="1" customFormat="1" ht="11.25">
      <c r="A680" s="2" t="s">
        <v>27</v>
      </c>
      <c r="B680" s="21" t="s">
        <v>1236</v>
      </c>
      <c r="C680" s="26" t="s">
        <v>19</v>
      </c>
      <c r="D680" s="163">
        <v>9168</v>
      </c>
      <c r="E680" s="166">
        <v>90168</v>
      </c>
      <c r="F680" s="92" t="s">
        <v>152</v>
      </c>
      <c r="G680" s="20" t="s">
        <v>1490</v>
      </c>
      <c r="H680" s="18">
        <v>1723634</v>
      </c>
      <c r="I680" s="18">
        <v>24</v>
      </c>
      <c r="J680" s="4" t="s">
        <v>12</v>
      </c>
      <c r="K680" s="26" t="s">
        <v>15</v>
      </c>
      <c r="L680" s="172">
        <v>10</v>
      </c>
      <c r="M680" s="6">
        <v>0</v>
      </c>
      <c r="N680" s="6"/>
      <c r="O680" s="6">
        <v>0</v>
      </c>
      <c r="P680" s="6"/>
      <c r="Q680" s="7">
        <v>0</v>
      </c>
      <c r="R680" s="6"/>
      <c r="S680" s="1">
        <v>0</v>
      </c>
      <c r="U680" s="1">
        <v>0</v>
      </c>
      <c r="W680" s="1" t="str">
        <f t="shared" si="10"/>
        <v>No</v>
      </c>
    </row>
    <row r="681" spans="1:23" s="1" customFormat="1" ht="11.25">
      <c r="A681" s="2" t="s">
        <v>176</v>
      </c>
      <c r="B681" s="21" t="s">
        <v>177</v>
      </c>
      <c r="C681" s="26" t="s">
        <v>95</v>
      </c>
      <c r="D681" s="163">
        <v>3090</v>
      </c>
      <c r="E681" s="166">
        <v>30090</v>
      </c>
      <c r="F681" s="92" t="s">
        <v>160</v>
      </c>
      <c r="G681" s="20" t="s">
        <v>1490</v>
      </c>
      <c r="H681" s="18">
        <v>182696</v>
      </c>
      <c r="I681" s="18">
        <v>24</v>
      </c>
      <c r="J681" s="4" t="s">
        <v>12</v>
      </c>
      <c r="K681" s="26" t="s">
        <v>11</v>
      </c>
      <c r="L681" s="172">
        <v>19</v>
      </c>
      <c r="M681" s="6">
        <v>0</v>
      </c>
      <c r="N681" s="6"/>
      <c r="O681" s="6">
        <v>0</v>
      </c>
      <c r="P681" s="6"/>
      <c r="Q681" s="7">
        <v>0</v>
      </c>
      <c r="R681" s="6"/>
      <c r="S681" s="1">
        <v>0</v>
      </c>
      <c r="U681" s="1">
        <v>0</v>
      </c>
      <c r="W681" s="1" t="str">
        <f t="shared" si="10"/>
        <v>No</v>
      </c>
    </row>
    <row r="682" spans="1:23" s="1" customFormat="1" ht="11.25">
      <c r="A682" s="2" t="s">
        <v>168</v>
      </c>
      <c r="B682" s="21" t="s">
        <v>169</v>
      </c>
      <c r="C682" s="26" t="s">
        <v>57</v>
      </c>
      <c r="D682" s="163">
        <v>4143</v>
      </c>
      <c r="E682" s="166">
        <v>40143</v>
      </c>
      <c r="F682" s="92" t="s">
        <v>152</v>
      </c>
      <c r="G682" s="20" t="s">
        <v>1490</v>
      </c>
      <c r="H682" s="18">
        <v>884891</v>
      </c>
      <c r="I682" s="18">
        <v>24</v>
      </c>
      <c r="J682" s="4" t="s">
        <v>12</v>
      </c>
      <c r="K682" s="26" t="s">
        <v>15</v>
      </c>
      <c r="L682" s="172">
        <v>9</v>
      </c>
      <c r="M682" s="6">
        <v>1</v>
      </c>
      <c r="N682" s="6"/>
      <c r="O682" s="6">
        <v>0</v>
      </c>
      <c r="P682" s="6"/>
      <c r="Q682" s="7">
        <v>1</v>
      </c>
      <c r="R682" s="6"/>
      <c r="S682" s="1">
        <v>0</v>
      </c>
      <c r="U682" s="1">
        <v>0</v>
      </c>
      <c r="W682" s="1" t="str">
        <f t="shared" si="10"/>
        <v>No</v>
      </c>
    </row>
    <row r="683" spans="1:23" s="1" customFormat="1" ht="11.25">
      <c r="A683" s="2" t="s">
        <v>624</v>
      </c>
      <c r="B683" s="21" t="s">
        <v>308</v>
      </c>
      <c r="C683" s="26" t="s">
        <v>58</v>
      </c>
      <c r="D683" s="163">
        <v>8019</v>
      </c>
      <c r="E683" s="166">
        <v>80019</v>
      </c>
      <c r="F683" s="92" t="s">
        <v>160</v>
      </c>
      <c r="G683" s="20" t="s">
        <v>1490</v>
      </c>
      <c r="H683" s="18">
        <v>81955</v>
      </c>
      <c r="I683" s="18">
        <v>24</v>
      </c>
      <c r="J683" s="4" t="s">
        <v>12</v>
      </c>
      <c r="K683" s="26" t="s">
        <v>15</v>
      </c>
      <c r="L683" s="172">
        <v>7</v>
      </c>
      <c r="M683" s="6">
        <v>1</v>
      </c>
      <c r="N683" s="6"/>
      <c r="O683" s="6">
        <v>0</v>
      </c>
      <c r="P683" s="6"/>
      <c r="Q683" s="7">
        <v>1</v>
      </c>
      <c r="R683" s="6"/>
      <c r="S683" s="1">
        <v>0</v>
      </c>
      <c r="U683" s="1">
        <v>0</v>
      </c>
      <c r="W683" s="1" t="str">
        <f t="shared" si="10"/>
        <v>No</v>
      </c>
    </row>
    <row r="684" spans="1:23" s="1" customFormat="1" ht="11.25">
      <c r="A684" s="2" t="s">
        <v>550</v>
      </c>
      <c r="B684" s="21" t="s">
        <v>551</v>
      </c>
      <c r="C684" s="26" t="s">
        <v>71</v>
      </c>
      <c r="D684" s="163">
        <v>5093</v>
      </c>
      <c r="E684" s="166">
        <v>50093</v>
      </c>
      <c r="F684" s="92" t="s">
        <v>160</v>
      </c>
      <c r="G684" s="20" t="s">
        <v>1490</v>
      </c>
      <c r="H684" s="18">
        <v>72852</v>
      </c>
      <c r="I684" s="18">
        <v>24</v>
      </c>
      <c r="J684" s="4" t="s">
        <v>12</v>
      </c>
      <c r="K684" s="26" t="s">
        <v>11</v>
      </c>
      <c r="L684" s="172">
        <v>9</v>
      </c>
      <c r="M684" s="6">
        <v>1</v>
      </c>
      <c r="N684" s="6"/>
      <c r="O684" s="6">
        <v>0</v>
      </c>
      <c r="P684" s="6"/>
      <c r="Q684" s="7">
        <v>1</v>
      </c>
      <c r="R684" s="6"/>
      <c r="S684" s="1">
        <v>0</v>
      </c>
      <c r="U684" s="1">
        <v>0</v>
      </c>
      <c r="W684" s="1" t="str">
        <f t="shared" si="10"/>
        <v>No</v>
      </c>
    </row>
    <row r="685" spans="1:23" s="1" customFormat="1" ht="11.25">
      <c r="A685" s="2" t="s">
        <v>1702</v>
      </c>
      <c r="B685" s="21" t="s">
        <v>264</v>
      </c>
      <c r="C685" s="26" t="s">
        <v>42</v>
      </c>
      <c r="D685" s="163"/>
      <c r="E685" s="166">
        <v>70044</v>
      </c>
      <c r="F685" s="92" t="s">
        <v>98</v>
      </c>
      <c r="G685" s="20" t="s">
        <v>149</v>
      </c>
      <c r="H685" s="18">
        <v>88053</v>
      </c>
      <c r="I685" s="18">
        <v>24</v>
      </c>
      <c r="J685" s="4" t="s">
        <v>12</v>
      </c>
      <c r="K685" s="26" t="s">
        <v>15</v>
      </c>
      <c r="L685" s="172">
        <v>24</v>
      </c>
      <c r="M685" s="6">
        <v>0</v>
      </c>
      <c r="N685" s="6"/>
      <c r="O685" s="6">
        <v>0</v>
      </c>
      <c r="P685" s="6"/>
      <c r="Q685" s="7">
        <v>0</v>
      </c>
      <c r="R685" s="6"/>
      <c r="S685" s="1">
        <v>0</v>
      </c>
      <c r="U685" s="1">
        <v>0</v>
      </c>
      <c r="W685" s="1" t="str">
        <f t="shared" si="10"/>
        <v>No</v>
      </c>
    </row>
    <row r="686" spans="1:23" s="1" customFormat="1" ht="11.25">
      <c r="A686" s="2" t="s">
        <v>170</v>
      </c>
      <c r="B686" s="21" t="s">
        <v>171</v>
      </c>
      <c r="C686" s="26" t="s">
        <v>75</v>
      </c>
      <c r="D686" s="163">
        <v>3095</v>
      </c>
      <c r="E686" s="166">
        <v>30095</v>
      </c>
      <c r="F686" s="92" t="s">
        <v>160</v>
      </c>
      <c r="G686" s="20" t="s">
        <v>149</v>
      </c>
      <c r="H686" s="18">
        <v>77086</v>
      </c>
      <c r="I686" s="18">
        <v>24</v>
      </c>
      <c r="J686" s="4" t="s">
        <v>21</v>
      </c>
      <c r="K686" s="26" t="s">
        <v>11</v>
      </c>
      <c r="L686" s="172">
        <v>4</v>
      </c>
      <c r="M686" s="6">
        <v>1</v>
      </c>
      <c r="N686" s="6"/>
      <c r="O686" s="6">
        <v>0</v>
      </c>
      <c r="P686" s="6"/>
      <c r="Q686" s="7">
        <v>1</v>
      </c>
      <c r="R686" s="6"/>
      <c r="S686" s="1">
        <v>0</v>
      </c>
      <c r="U686" s="1">
        <v>0</v>
      </c>
      <c r="W686" s="1" t="str">
        <f t="shared" si="10"/>
        <v>No</v>
      </c>
    </row>
    <row r="687" spans="1:23" s="1" customFormat="1" ht="11.25">
      <c r="A687" s="2" t="s">
        <v>1707</v>
      </c>
      <c r="B687" s="21" t="s">
        <v>1708</v>
      </c>
      <c r="C687" s="26" t="s">
        <v>57</v>
      </c>
      <c r="D687" s="163">
        <v>4210</v>
      </c>
      <c r="E687" s="166">
        <v>40210</v>
      </c>
      <c r="F687" s="92" t="s">
        <v>152</v>
      </c>
      <c r="G687" s="20" t="s">
        <v>1490</v>
      </c>
      <c r="H687" s="18">
        <v>50503</v>
      </c>
      <c r="I687" s="18">
        <v>24</v>
      </c>
      <c r="J687" s="4" t="s">
        <v>12</v>
      </c>
      <c r="K687" s="26" t="s">
        <v>11</v>
      </c>
      <c r="L687" s="172">
        <v>2</v>
      </c>
      <c r="M687" s="6">
        <v>0</v>
      </c>
      <c r="N687" s="6"/>
      <c r="O687" s="6">
        <v>0</v>
      </c>
      <c r="P687" s="6"/>
      <c r="Q687" s="7">
        <v>0</v>
      </c>
      <c r="R687" s="6"/>
      <c r="S687" s="1">
        <v>0</v>
      </c>
      <c r="U687" s="1">
        <v>0</v>
      </c>
      <c r="W687" s="1" t="str">
        <f t="shared" si="10"/>
        <v>No</v>
      </c>
    </row>
    <row r="688" spans="1:23" s="1" customFormat="1" ht="11.25">
      <c r="A688" s="2" t="s">
        <v>1852</v>
      </c>
      <c r="B688" s="21" t="s">
        <v>924</v>
      </c>
      <c r="C688" s="26" t="s">
        <v>62</v>
      </c>
      <c r="D688" s="163">
        <v>2160</v>
      </c>
      <c r="E688" s="166">
        <v>20160</v>
      </c>
      <c r="F688" s="92" t="s">
        <v>148</v>
      </c>
      <c r="G688" s="20" t="s">
        <v>1490</v>
      </c>
      <c r="H688" s="18">
        <v>18351295</v>
      </c>
      <c r="I688" s="18">
        <v>23</v>
      </c>
      <c r="J688" s="4" t="s">
        <v>21</v>
      </c>
      <c r="K688" s="26" t="s">
        <v>11</v>
      </c>
      <c r="L688" s="172">
        <v>23</v>
      </c>
      <c r="M688" s="6">
        <v>2</v>
      </c>
      <c r="N688" s="6"/>
      <c r="O688" s="6">
        <v>0</v>
      </c>
      <c r="P688" s="6"/>
      <c r="Q688" s="7">
        <v>2</v>
      </c>
      <c r="R688" s="6"/>
      <c r="S688" s="1">
        <v>0</v>
      </c>
      <c r="U688" s="1">
        <v>0</v>
      </c>
      <c r="W688" s="1" t="str">
        <f t="shared" si="10"/>
        <v>No</v>
      </c>
    </row>
    <row r="689" spans="1:23" s="1" customFormat="1" ht="11.25">
      <c r="A689" s="2" t="s">
        <v>849</v>
      </c>
      <c r="B689" s="21" t="s">
        <v>850</v>
      </c>
      <c r="C689" s="26" t="s">
        <v>19</v>
      </c>
      <c r="D689" s="163">
        <v>9149</v>
      </c>
      <c r="E689" s="166">
        <v>90149</v>
      </c>
      <c r="F689" s="92" t="s">
        <v>152</v>
      </c>
      <c r="G689" s="20" t="s">
        <v>1490</v>
      </c>
      <c r="H689" s="18">
        <v>51509</v>
      </c>
      <c r="I689" s="18">
        <v>23</v>
      </c>
      <c r="J689" s="4" t="s">
        <v>12</v>
      </c>
      <c r="K689" s="26" t="s">
        <v>15</v>
      </c>
      <c r="L689" s="172">
        <v>8</v>
      </c>
      <c r="M689" s="6">
        <v>0</v>
      </c>
      <c r="N689" s="6"/>
      <c r="O689" s="6">
        <v>0</v>
      </c>
      <c r="P689" s="6"/>
      <c r="Q689" s="7">
        <v>0</v>
      </c>
      <c r="R689" s="6"/>
      <c r="S689" s="1">
        <v>0</v>
      </c>
      <c r="U689" s="1">
        <v>0</v>
      </c>
      <c r="W689" s="1" t="str">
        <f t="shared" si="10"/>
        <v>No</v>
      </c>
    </row>
    <row r="690" spans="1:23" s="1" customFormat="1" ht="11.25">
      <c r="A690" s="2" t="s">
        <v>950</v>
      </c>
      <c r="B690" s="21" t="s">
        <v>951</v>
      </c>
      <c r="C690" s="26" t="s">
        <v>29</v>
      </c>
      <c r="D690" s="163">
        <v>1045</v>
      </c>
      <c r="E690" s="166">
        <v>10045</v>
      </c>
      <c r="F690" s="92" t="s">
        <v>323</v>
      </c>
      <c r="G690" s="20" t="s">
        <v>149</v>
      </c>
      <c r="H690" s="18">
        <v>924859</v>
      </c>
      <c r="I690" s="18">
        <v>23</v>
      </c>
      <c r="J690" s="4" t="s">
        <v>21</v>
      </c>
      <c r="K690" s="26" t="s">
        <v>15</v>
      </c>
      <c r="L690" s="172">
        <v>18</v>
      </c>
      <c r="M690" s="6">
        <v>0</v>
      </c>
      <c r="N690" s="6"/>
      <c r="O690" s="6">
        <v>0</v>
      </c>
      <c r="P690" s="6"/>
      <c r="Q690" s="7">
        <v>0</v>
      </c>
      <c r="R690" s="6"/>
      <c r="S690" s="1">
        <v>0</v>
      </c>
      <c r="U690" s="1">
        <v>0</v>
      </c>
      <c r="W690" s="1" t="str">
        <f t="shared" si="10"/>
        <v>No</v>
      </c>
    </row>
    <row r="691" spans="1:23" s="1" customFormat="1" ht="11.25">
      <c r="A691" s="2" t="s">
        <v>712</v>
      </c>
      <c r="B691" s="21" t="s">
        <v>466</v>
      </c>
      <c r="C691" s="26" t="s">
        <v>86</v>
      </c>
      <c r="D691" s="163">
        <v>3036</v>
      </c>
      <c r="E691" s="166">
        <v>30036</v>
      </c>
      <c r="F691" s="92" t="s">
        <v>152</v>
      </c>
      <c r="G691" s="20" t="s">
        <v>1490</v>
      </c>
      <c r="H691" s="18">
        <v>92359</v>
      </c>
      <c r="I691" s="18">
        <v>23</v>
      </c>
      <c r="J691" s="4" t="s">
        <v>12</v>
      </c>
      <c r="K691" s="26" t="s">
        <v>11</v>
      </c>
      <c r="L691" s="172">
        <v>23</v>
      </c>
      <c r="M691" s="6">
        <v>1</v>
      </c>
      <c r="N691" s="6"/>
      <c r="O691" s="6">
        <v>0</v>
      </c>
      <c r="P691" s="6"/>
      <c r="Q691" s="7">
        <v>1</v>
      </c>
      <c r="R691" s="6"/>
      <c r="S691" s="1">
        <v>1</v>
      </c>
      <c r="U691" s="1">
        <v>0</v>
      </c>
      <c r="W691" s="1" t="str">
        <f t="shared" si="10"/>
        <v>No</v>
      </c>
    </row>
    <row r="692" spans="1:23" s="1" customFormat="1" ht="11.25">
      <c r="A692" s="2" t="s">
        <v>1343</v>
      </c>
      <c r="B692" s="21" t="s">
        <v>867</v>
      </c>
      <c r="C692" s="26" t="s">
        <v>10</v>
      </c>
      <c r="D692" s="163">
        <v>6062</v>
      </c>
      <c r="E692" s="166">
        <v>60062</v>
      </c>
      <c r="F692" s="92" t="s">
        <v>98</v>
      </c>
      <c r="G692" s="20" t="s">
        <v>1490</v>
      </c>
      <c r="H692" s="18">
        <v>295083</v>
      </c>
      <c r="I692" s="18">
        <v>23</v>
      </c>
      <c r="J692" s="4" t="s">
        <v>12</v>
      </c>
      <c r="K692" s="26" t="s">
        <v>11</v>
      </c>
      <c r="L692" s="172">
        <v>19</v>
      </c>
      <c r="M692" s="6">
        <v>1</v>
      </c>
      <c r="N692" s="6"/>
      <c r="O692" s="6">
        <v>0</v>
      </c>
      <c r="P692" s="6"/>
      <c r="Q692" s="7">
        <v>1</v>
      </c>
      <c r="R692" s="6"/>
      <c r="S692" s="1">
        <v>2</v>
      </c>
      <c r="U692" s="1">
        <v>0</v>
      </c>
      <c r="W692" s="1" t="str">
        <f t="shared" si="10"/>
        <v>No</v>
      </c>
    </row>
    <row r="693" spans="1:23" s="1" customFormat="1" ht="11.25">
      <c r="A693" s="2" t="s">
        <v>1120</v>
      </c>
      <c r="B693" s="21" t="s">
        <v>1121</v>
      </c>
      <c r="C693" s="26" t="s">
        <v>75</v>
      </c>
      <c r="D693" s="163">
        <v>3061</v>
      </c>
      <c r="E693" s="166">
        <v>30061</v>
      </c>
      <c r="F693" s="92" t="s">
        <v>160</v>
      </c>
      <c r="G693" s="20" t="s">
        <v>149</v>
      </c>
      <c r="H693" s="18">
        <v>66086</v>
      </c>
      <c r="I693" s="18">
        <v>23</v>
      </c>
      <c r="J693" s="4" t="s">
        <v>12</v>
      </c>
      <c r="K693" s="26" t="s">
        <v>15</v>
      </c>
      <c r="L693" s="172">
        <v>22</v>
      </c>
      <c r="M693" s="6">
        <v>3</v>
      </c>
      <c r="N693" s="6"/>
      <c r="O693" s="6">
        <v>0</v>
      </c>
      <c r="P693" s="6"/>
      <c r="Q693" s="7">
        <v>3</v>
      </c>
      <c r="R693" s="6"/>
      <c r="S693" s="1">
        <v>0</v>
      </c>
      <c r="U693" s="1">
        <v>0</v>
      </c>
      <c r="W693" s="1" t="str">
        <f t="shared" si="10"/>
        <v>No</v>
      </c>
    </row>
    <row r="694" spans="1:23" s="1" customFormat="1" ht="11.25">
      <c r="A694" s="2" t="s">
        <v>849</v>
      </c>
      <c r="B694" s="21" t="s">
        <v>850</v>
      </c>
      <c r="C694" s="26" t="s">
        <v>19</v>
      </c>
      <c r="D694" s="163">
        <v>9149</v>
      </c>
      <c r="E694" s="166">
        <v>90149</v>
      </c>
      <c r="F694" s="92" t="s">
        <v>152</v>
      </c>
      <c r="G694" s="20" t="s">
        <v>1490</v>
      </c>
      <c r="H694" s="18">
        <v>51509</v>
      </c>
      <c r="I694" s="18">
        <v>23</v>
      </c>
      <c r="J694" s="4" t="s">
        <v>21</v>
      </c>
      <c r="K694" s="26" t="s">
        <v>15</v>
      </c>
      <c r="L694" s="172">
        <v>13</v>
      </c>
      <c r="M694" s="6">
        <v>0</v>
      </c>
      <c r="N694" s="6"/>
      <c r="O694" s="6">
        <v>0</v>
      </c>
      <c r="P694" s="6"/>
      <c r="Q694" s="7">
        <v>0</v>
      </c>
      <c r="R694" s="6"/>
      <c r="S694" s="1">
        <v>0</v>
      </c>
      <c r="U694" s="1">
        <v>0</v>
      </c>
      <c r="W694" s="1" t="str">
        <f t="shared" si="10"/>
        <v>No</v>
      </c>
    </row>
    <row r="695" spans="1:23" s="1" customFormat="1" ht="11.25">
      <c r="A695" s="2" t="s">
        <v>950</v>
      </c>
      <c r="B695" s="21" t="s">
        <v>951</v>
      </c>
      <c r="C695" s="26" t="s">
        <v>29</v>
      </c>
      <c r="D695" s="163">
        <v>1045</v>
      </c>
      <c r="E695" s="166">
        <v>10045</v>
      </c>
      <c r="F695" s="92" t="s">
        <v>323</v>
      </c>
      <c r="G695" s="20" t="s">
        <v>149</v>
      </c>
      <c r="H695" s="18">
        <v>924859</v>
      </c>
      <c r="I695" s="18">
        <v>23</v>
      </c>
      <c r="J695" s="4" t="s">
        <v>12</v>
      </c>
      <c r="K695" s="26" t="s">
        <v>15</v>
      </c>
      <c r="L695" s="172">
        <v>5</v>
      </c>
      <c r="M695" s="6">
        <v>0</v>
      </c>
      <c r="N695" s="6"/>
      <c r="O695" s="6">
        <v>0</v>
      </c>
      <c r="P695" s="6"/>
      <c r="Q695" s="7">
        <v>0</v>
      </c>
      <c r="R695" s="6"/>
      <c r="S695" s="1">
        <v>0</v>
      </c>
      <c r="U695" s="1">
        <v>0</v>
      </c>
      <c r="W695" s="1" t="str">
        <f t="shared" si="10"/>
        <v>No</v>
      </c>
    </row>
    <row r="696" spans="1:23" s="1" customFormat="1" ht="11.25">
      <c r="A696" s="2" t="s">
        <v>1186</v>
      </c>
      <c r="B696" s="21" t="s">
        <v>338</v>
      </c>
      <c r="C696" s="26" t="s">
        <v>81</v>
      </c>
      <c r="D696" s="163">
        <v>4056</v>
      </c>
      <c r="E696" s="166">
        <v>40056</v>
      </c>
      <c r="F696" s="92" t="s">
        <v>160</v>
      </c>
      <c r="G696" s="20" t="s">
        <v>1490</v>
      </c>
      <c r="H696" s="18">
        <v>89557</v>
      </c>
      <c r="I696" s="18">
        <v>23</v>
      </c>
      <c r="J696" s="4" t="s">
        <v>12</v>
      </c>
      <c r="K696" s="26" t="s">
        <v>11</v>
      </c>
      <c r="L696" s="172">
        <v>19</v>
      </c>
      <c r="M696" s="6">
        <v>0</v>
      </c>
      <c r="N696" s="6"/>
      <c r="O696" s="6">
        <v>0</v>
      </c>
      <c r="P696" s="6"/>
      <c r="Q696" s="7">
        <v>0</v>
      </c>
      <c r="R696" s="6"/>
      <c r="S696" s="1">
        <v>0</v>
      </c>
      <c r="U696" s="1">
        <v>0</v>
      </c>
      <c r="W696" s="1" t="str">
        <f t="shared" si="10"/>
        <v>No</v>
      </c>
    </row>
    <row r="697" spans="1:23" s="1" customFormat="1" ht="11.25">
      <c r="A697" s="2" t="s">
        <v>1154</v>
      </c>
      <c r="B697" s="21" t="s">
        <v>1155</v>
      </c>
      <c r="C697" s="26" t="s">
        <v>51</v>
      </c>
      <c r="D697" s="163">
        <v>5037</v>
      </c>
      <c r="E697" s="166">
        <v>50037</v>
      </c>
      <c r="F697" s="92" t="s">
        <v>152</v>
      </c>
      <c r="G697" s="20" t="s">
        <v>1490</v>
      </c>
      <c r="H697" s="18">
        <v>161280</v>
      </c>
      <c r="I697" s="18">
        <v>23</v>
      </c>
      <c r="J697" s="4" t="s">
        <v>12</v>
      </c>
      <c r="K697" s="26" t="s">
        <v>11</v>
      </c>
      <c r="L697" s="172">
        <v>15</v>
      </c>
      <c r="M697" s="6">
        <v>1</v>
      </c>
      <c r="N697" s="6"/>
      <c r="O697" s="6">
        <v>0</v>
      </c>
      <c r="P697" s="6"/>
      <c r="Q697" s="7">
        <v>1</v>
      </c>
      <c r="R697" s="6"/>
      <c r="S697" s="1">
        <v>0</v>
      </c>
      <c r="U697" s="1">
        <v>0</v>
      </c>
      <c r="W697" s="1" t="str">
        <f t="shared" si="10"/>
        <v>No</v>
      </c>
    </row>
    <row r="698" spans="1:23" s="1" customFormat="1" ht="11.25">
      <c r="A698" s="2" t="s">
        <v>461</v>
      </c>
      <c r="B698" s="21" t="s">
        <v>462</v>
      </c>
      <c r="C698" s="26" t="s">
        <v>51</v>
      </c>
      <c r="D698" s="163">
        <v>5184</v>
      </c>
      <c r="E698" s="166">
        <v>50184</v>
      </c>
      <c r="F698" s="92" t="s">
        <v>160</v>
      </c>
      <c r="G698" s="20" t="s">
        <v>149</v>
      </c>
      <c r="H698" s="18">
        <v>99941</v>
      </c>
      <c r="I698" s="18">
        <v>22</v>
      </c>
      <c r="J698" s="4" t="s">
        <v>12</v>
      </c>
      <c r="K698" s="26" t="s">
        <v>11</v>
      </c>
      <c r="L698" s="172">
        <v>8</v>
      </c>
      <c r="M698" s="6">
        <v>1</v>
      </c>
      <c r="N698" s="6"/>
      <c r="O698" s="6">
        <v>0</v>
      </c>
      <c r="P698" s="6"/>
      <c r="Q698" s="7">
        <v>1</v>
      </c>
      <c r="R698" s="6"/>
      <c r="S698" s="1">
        <v>0</v>
      </c>
      <c r="U698" s="1">
        <v>0</v>
      </c>
      <c r="W698" s="1" t="str">
        <f t="shared" si="10"/>
        <v>No</v>
      </c>
    </row>
    <row r="699" spans="1:23" s="1" customFormat="1" ht="11.25">
      <c r="A699" s="2" t="s">
        <v>1417</v>
      </c>
      <c r="B699" s="21" t="s">
        <v>244</v>
      </c>
      <c r="C699" s="26" t="s">
        <v>29</v>
      </c>
      <c r="D699" s="163">
        <v>1040</v>
      </c>
      <c r="E699" s="166">
        <v>10040</v>
      </c>
      <c r="F699" s="92" t="s">
        <v>160</v>
      </c>
      <c r="G699" s="20" t="s">
        <v>149</v>
      </c>
      <c r="H699" s="18">
        <v>209190</v>
      </c>
      <c r="I699" s="18">
        <v>22</v>
      </c>
      <c r="J699" s="4" t="s">
        <v>12</v>
      </c>
      <c r="K699" s="26" t="s">
        <v>11</v>
      </c>
      <c r="L699" s="172">
        <v>18</v>
      </c>
      <c r="M699" s="6">
        <v>1</v>
      </c>
      <c r="N699" s="6"/>
      <c r="O699" s="6">
        <v>0</v>
      </c>
      <c r="P699" s="6"/>
      <c r="Q699" s="7">
        <v>1</v>
      </c>
      <c r="R699" s="6"/>
      <c r="S699" s="1">
        <v>0</v>
      </c>
      <c r="U699" s="1">
        <v>0</v>
      </c>
      <c r="W699" s="1" t="str">
        <f t="shared" si="10"/>
        <v>No</v>
      </c>
    </row>
    <row r="700" spans="1:23" s="1" customFormat="1" ht="11.25">
      <c r="A700" s="2" t="s">
        <v>889</v>
      </c>
      <c r="B700" s="21" t="s">
        <v>154</v>
      </c>
      <c r="C700" s="26" t="s">
        <v>74</v>
      </c>
      <c r="D700" s="163">
        <v>65</v>
      </c>
      <c r="E700" s="166">
        <v>65</v>
      </c>
      <c r="F700" s="92" t="s">
        <v>152</v>
      </c>
      <c r="G700" s="20" t="s">
        <v>1490</v>
      </c>
      <c r="H700" s="18">
        <v>62433</v>
      </c>
      <c r="I700" s="18">
        <v>22</v>
      </c>
      <c r="J700" s="4" t="s">
        <v>21</v>
      </c>
      <c r="K700" s="26" t="s">
        <v>15</v>
      </c>
      <c r="L700" s="172">
        <v>7</v>
      </c>
      <c r="M700" s="6">
        <v>0</v>
      </c>
      <c r="N700" s="6"/>
      <c r="O700" s="6">
        <v>0</v>
      </c>
      <c r="P700" s="6"/>
      <c r="Q700" s="7">
        <v>0</v>
      </c>
      <c r="R700" s="6"/>
      <c r="S700" s="1">
        <v>0</v>
      </c>
      <c r="U700" s="1">
        <v>0</v>
      </c>
      <c r="W700" s="1" t="str">
        <f t="shared" si="10"/>
        <v>No</v>
      </c>
    </row>
    <row r="701" spans="1:23" s="1" customFormat="1" ht="11.25">
      <c r="A701" s="2" t="s">
        <v>216</v>
      </c>
      <c r="B701" s="21" t="s">
        <v>217</v>
      </c>
      <c r="C701" s="26" t="s">
        <v>84</v>
      </c>
      <c r="D701" s="163">
        <v>6097</v>
      </c>
      <c r="E701" s="166">
        <v>60097</v>
      </c>
      <c r="F701" s="92" t="s">
        <v>152</v>
      </c>
      <c r="G701" s="20" t="s">
        <v>1490</v>
      </c>
      <c r="H701" s="18">
        <v>126405</v>
      </c>
      <c r="I701" s="18">
        <v>22</v>
      </c>
      <c r="J701" s="4" t="s">
        <v>21</v>
      </c>
      <c r="K701" s="26" t="s">
        <v>11</v>
      </c>
      <c r="L701" s="172">
        <v>2</v>
      </c>
      <c r="M701" s="6">
        <v>1</v>
      </c>
      <c r="N701" s="6"/>
      <c r="O701" s="6">
        <v>0</v>
      </c>
      <c r="P701" s="6"/>
      <c r="Q701" s="7">
        <v>1</v>
      </c>
      <c r="R701" s="6"/>
      <c r="S701" s="1">
        <v>0</v>
      </c>
      <c r="U701" s="1">
        <v>0</v>
      </c>
      <c r="W701" s="1" t="str">
        <f t="shared" si="10"/>
        <v>No</v>
      </c>
    </row>
    <row r="702" spans="1:23" s="1" customFormat="1" ht="11.25">
      <c r="A702" s="2" t="s">
        <v>1450</v>
      </c>
      <c r="B702" s="21" t="s">
        <v>539</v>
      </c>
      <c r="C702" s="26" t="s">
        <v>69</v>
      </c>
      <c r="D702" s="163">
        <v>2178</v>
      </c>
      <c r="E702" s="166">
        <v>20178</v>
      </c>
      <c r="F702" s="92" t="s">
        <v>152</v>
      </c>
      <c r="G702" s="20" t="s">
        <v>149</v>
      </c>
      <c r="H702" s="18">
        <v>423566</v>
      </c>
      <c r="I702" s="18">
        <v>22</v>
      </c>
      <c r="J702" s="4" t="s">
        <v>12</v>
      </c>
      <c r="K702" s="26" t="s">
        <v>11</v>
      </c>
      <c r="L702" s="172">
        <v>18</v>
      </c>
      <c r="M702" s="6">
        <v>3</v>
      </c>
      <c r="N702" s="6"/>
      <c r="O702" s="6">
        <v>0</v>
      </c>
      <c r="P702" s="6"/>
      <c r="Q702" s="7">
        <v>3</v>
      </c>
      <c r="R702" s="6"/>
      <c r="S702" s="1">
        <v>2</v>
      </c>
      <c r="U702" s="1">
        <v>0</v>
      </c>
      <c r="W702" s="1" t="str">
        <f t="shared" si="10"/>
        <v>No</v>
      </c>
    </row>
    <row r="703" spans="1:23" s="1" customFormat="1" ht="11.25">
      <c r="A703" s="2" t="s">
        <v>216</v>
      </c>
      <c r="B703" s="21" t="s">
        <v>217</v>
      </c>
      <c r="C703" s="26" t="s">
        <v>84</v>
      </c>
      <c r="D703" s="163">
        <v>6097</v>
      </c>
      <c r="E703" s="166">
        <v>60097</v>
      </c>
      <c r="F703" s="92" t="s">
        <v>152</v>
      </c>
      <c r="G703" s="20" t="s">
        <v>1490</v>
      </c>
      <c r="H703" s="18">
        <v>126405</v>
      </c>
      <c r="I703" s="18">
        <v>22</v>
      </c>
      <c r="J703" s="4" t="s">
        <v>12</v>
      </c>
      <c r="K703" s="26" t="s">
        <v>11</v>
      </c>
      <c r="L703" s="172">
        <v>12</v>
      </c>
      <c r="M703" s="6">
        <v>1</v>
      </c>
      <c r="N703" s="6"/>
      <c r="O703" s="6">
        <v>0</v>
      </c>
      <c r="P703" s="6"/>
      <c r="Q703" s="7">
        <v>1</v>
      </c>
      <c r="R703" s="6"/>
      <c r="S703" s="1">
        <v>0</v>
      </c>
      <c r="U703" s="1">
        <v>0</v>
      </c>
      <c r="W703" s="1" t="str">
        <f t="shared" si="10"/>
        <v>No</v>
      </c>
    </row>
    <row r="704" spans="1:23" s="1" customFormat="1" ht="11.25">
      <c r="A704" s="2" t="s">
        <v>1703</v>
      </c>
      <c r="B704" s="21" t="s">
        <v>1704</v>
      </c>
      <c r="C704" s="26" t="s">
        <v>32</v>
      </c>
      <c r="D704" s="163" t="s">
        <v>1705</v>
      </c>
      <c r="E704" s="166">
        <v>41157</v>
      </c>
      <c r="F704" s="92" t="s">
        <v>152</v>
      </c>
      <c r="G704" s="20" t="s">
        <v>1490</v>
      </c>
      <c r="H704" s="18">
        <v>80962</v>
      </c>
      <c r="I704" s="18">
        <v>22</v>
      </c>
      <c r="J704" s="4" t="s">
        <v>12</v>
      </c>
      <c r="K704" s="26" t="s">
        <v>11</v>
      </c>
      <c r="L704" s="172">
        <v>8</v>
      </c>
      <c r="M704" s="6">
        <v>1</v>
      </c>
      <c r="N704" s="6"/>
      <c r="O704" s="6">
        <v>0</v>
      </c>
      <c r="P704" s="6"/>
      <c r="Q704" s="7">
        <v>1</v>
      </c>
      <c r="R704" s="6"/>
      <c r="S704" s="1">
        <v>0</v>
      </c>
      <c r="U704" s="1">
        <v>0</v>
      </c>
      <c r="W704" s="1" t="str">
        <f t="shared" si="10"/>
        <v>No</v>
      </c>
    </row>
    <row r="705" spans="1:23" s="1" customFormat="1" ht="11.25">
      <c r="A705" s="2" t="s">
        <v>442</v>
      </c>
      <c r="B705" s="21" t="s">
        <v>333</v>
      </c>
      <c r="C705" s="26" t="s">
        <v>85</v>
      </c>
      <c r="D705" s="163">
        <v>8028</v>
      </c>
      <c r="E705" s="166">
        <v>80028</v>
      </c>
      <c r="F705" s="92" t="s">
        <v>160</v>
      </c>
      <c r="G705" s="20" t="s">
        <v>149</v>
      </c>
      <c r="H705" s="18">
        <v>94983</v>
      </c>
      <c r="I705" s="18">
        <v>22</v>
      </c>
      <c r="J705" s="4" t="s">
        <v>12</v>
      </c>
      <c r="K705" s="26" t="s">
        <v>11</v>
      </c>
      <c r="L705" s="172">
        <v>17</v>
      </c>
      <c r="M705" s="6">
        <v>1</v>
      </c>
      <c r="N705" s="6"/>
      <c r="O705" s="6">
        <v>0</v>
      </c>
      <c r="P705" s="6"/>
      <c r="Q705" s="7">
        <v>1</v>
      </c>
      <c r="R705" s="6"/>
      <c r="S705" s="1">
        <v>0</v>
      </c>
      <c r="U705" s="1">
        <v>0</v>
      </c>
      <c r="W705" s="1" t="str">
        <f t="shared" si="10"/>
        <v>No</v>
      </c>
    </row>
    <row r="706" spans="1:23" s="1" customFormat="1" ht="11.25">
      <c r="A706" s="2" t="s">
        <v>1699</v>
      </c>
      <c r="B706" s="21" t="s">
        <v>1700</v>
      </c>
      <c r="C706" s="26" t="s">
        <v>73</v>
      </c>
      <c r="D706" s="163" t="s">
        <v>1701</v>
      </c>
      <c r="E706" s="166">
        <v>66170</v>
      </c>
      <c r="F706" s="92" t="s">
        <v>397</v>
      </c>
      <c r="G706" s="20" t="s">
        <v>1490</v>
      </c>
      <c r="H706" s="18">
        <v>0</v>
      </c>
      <c r="I706" s="18">
        <v>22</v>
      </c>
      <c r="J706" s="4" t="s">
        <v>12</v>
      </c>
      <c r="K706" s="26" t="s">
        <v>11</v>
      </c>
      <c r="L706" s="172">
        <v>1</v>
      </c>
      <c r="M706" s="6">
        <v>0</v>
      </c>
      <c r="N706" s="6"/>
      <c r="O706" s="6">
        <v>0</v>
      </c>
      <c r="P706" s="6"/>
      <c r="Q706" s="7">
        <v>0</v>
      </c>
      <c r="R706" s="6"/>
      <c r="S706" s="1">
        <v>0</v>
      </c>
      <c r="U706" s="1">
        <v>0</v>
      </c>
      <c r="W706" s="1" t="str">
        <f t="shared" ref="W706:W769" si="11">IF(V706&amp;T706&amp;R706&amp;P706&amp;N706&lt;&gt;"","Yes","No")</f>
        <v>No</v>
      </c>
    </row>
    <row r="707" spans="1:23" s="1" customFormat="1" ht="11.25">
      <c r="A707" s="2" t="s">
        <v>1031</v>
      </c>
      <c r="B707" s="21" t="s">
        <v>1032</v>
      </c>
      <c r="C707" s="26" t="s">
        <v>69</v>
      </c>
      <c r="D707" s="163">
        <v>2071</v>
      </c>
      <c r="E707" s="166">
        <v>20071</v>
      </c>
      <c r="F707" s="92" t="s">
        <v>152</v>
      </c>
      <c r="G707" s="20" t="s">
        <v>149</v>
      </c>
      <c r="H707" s="18">
        <v>18351295</v>
      </c>
      <c r="I707" s="18">
        <v>22</v>
      </c>
      <c r="J707" s="4" t="s">
        <v>12</v>
      </c>
      <c r="K707" s="26" t="s">
        <v>11</v>
      </c>
      <c r="L707" s="172">
        <v>8</v>
      </c>
      <c r="M707" s="6">
        <v>0</v>
      </c>
      <c r="N707" s="6"/>
      <c r="O707" s="6">
        <v>0</v>
      </c>
      <c r="P707" s="6"/>
      <c r="Q707" s="7">
        <v>0</v>
      </c>
      <c r="R707" s="6"/>
      <c r="S707" s="1">
        <v>0</v>
      </c>
      <c r="U707" s="1">
        <v>0</v>
      </c>
      <c r="W707" s="1" t="str">
        <f t="shared" si="11"/>
        <v>No</v>
      </c>
    </row>
    <row r="708" spans="1:23" s="1" customFormat="1" ht="11.25">
      <c r="A708" s="2" t="s">
        <v>1853</v>
      </c>
      <c r="B708" s="21" t="s">
        <v>732</v>
      </c>
      <c r="C708" s="26" t="s">
        <v>54</v>
      </c>
      <c r="D708" s="163">
        <v>7003</v>
      </c>
      <c r="E708" s="166">
        <v>70003</v>
      </c>
      <c r="F708" s="92" t="s">
        <v>152</v>
      </c>
      <c r="G708" s="20" t="s">
        <v>149</v>
      </c>
      <c r="H708" s="18">
        <v>273724</v>
      </c>
      <c r="I708" s="18">
        <v>22</v>
      </c>
      <c r="J708" s="4" t="s">
        <v>12</v>
      </c>
      <c r="K708" s="26" t="s">
        <v>11</v>
      </c>
      <c r="L708" s="172">
        <v>18</v>
      </c>
      <c r="M708" s="6">
        <v>2</v>
      </c>
      <c r="N708" s="6"/>
      <c r="O708" s="6">
        <v>0</v>
      </c>
      <c r="P708" s="6"/>
      <c r="Q708" s="7">
        <v>2</v>
      </c>
      <c r="R708" s="6"/>
      <c r="S708" s="1">
        <v>0</v>
      </c>
      <c r="U708" s="1">
        <v>0</v>
      </c>
      <c r="W708" s="1" t="str">
        <f t="shared" si="11"/>
        <v>No</v>
      </c>
    </row>
    <row r="709" spans="1:23" s="1" customFormat="1" ht="11.25">
      <c r="A709" s="2" t="s">
        <v>290</v>
      </c>
      <c r="B709" s="21" t="s">
        <v>291</v>
      </c>
      <c r="C709" s="26" t="s">
        <v>50</v>
      </c>
      <c r="D709" s="163">
        <v>1115</v>
      </c>
      <c r="E709" s="166">
        <v>10115</v>
      </c>
      <c r="F709" s="92" t="s">
        <v>160</v>
      </c>
      <c r="G709" s="20" t="s">
        <v>149</v>
      </c>
      <c r="H709" s="18">
        <v>203914</v>
      </c>
      <c r="I709" s="18">
        <v>21</v>
      </c>
      <c r="J709" s="4" t="s">
        <v>20</v>
      </c>
      <c r="K709" s="26" t="s">
        <v>15</v>
      </c>
      <c r="L709" s="172">
        <v>21</v>
      </c>
      <c r="M709" s="6">
        <v>12</v>
      </c>
      <c r="N709" s="6"/>
      <c r="O709" s="6">
        <v>0</v>
      </c>
      <c r="P709" s="6"/>
      <c r="Q709" s="7">
        <v>12</v>
      </c>
      <c r="R709" s="6"/>
      <c r="S709" s="1">
        <v>2</v>
      </c>
      <c r="U709" s="1">
        <v>1</v>
      </c>
      <c r="W709" s="1" t="str">
        <f t="shared" si="11"/>
        <v>No</v>
      </c>
    </row>
    <row r="710" spans="1:23" s="1" customFormat="1" ht="11.25">
      <c r="A710" s="2" t="s">
        <v>739</v>
      </c>
      <c r="B710" s="21" t="s">
        <v>740</v>
      </c>
      <c r="C710" s="26" t="s">
        <v>62</v>
      </c>
      <c r="D710" s="163">
        <v>2212</v>
      </c>
      <c r="E710" s="166">
        <v>20212</v>
      </c>
      <c r="F710" s="92" t="s">
        <v>152</v>
      </c>
      <c r="G710" s="20" t="s">
        <v>1490</v>
      </c>
      <c r="H710" s="18">
        <v>18351295</v>
      </c>
      <c r="I710" s="18">
        <v>21</v>
      </c>
      <c r="J710" s="4" t="s">
        <v>12</v>
      </c>
      <c r="K710" s="26" t="s">
        <v>15</v>
      </c>
      <c r="L710" s="172">
        <v>7</v>
      </c>
      <c r="M710" s="6">
        <v>0</v>
      </c>
      <c r="N710" s="6"/>
      <c r="O710" s="6">
        <v>0</v>
      </c>
      <c r="P710" s="6"/>
      <c r="Q710" s="7">
        <v>0</v>
      </c>
      <c r="R710" s="6"/>
      <c r="S710" s="1">
        <v>0</v>
      </c>
      <c r="U710" s="1">
        <v>0</v>
      </c>
      <c r="W710" s="1" t="str">
        <f t="shared" si="11"/>
        <v>No</v>
      </c>
    </row>
    <row r="711" spans="1:23" s="1" customFormat="1" ht="11.25">
      <c r="A711" s="2" t="s">
        <v>1362</v>
      </c>
      <c r="B711" s="21" t="s">
        <v>1363</v>
      </c>
      <c r="C711" s="26" t="s">
        <v>92</v>
      </c>
      <c r="D711" s="163">
        <v>5091</v>
      </c>
      <c r="E711" s="166">
        <v>50091</v>
      </c>
      <c r="F711" s="92" t="s">
        <v>152</v>
      </c>
      <c r="G711" s="20" t="s">
        <v>1490</v>
      </c>
      <c r="H711" s="18">
        <v>74632</v>
      </c>
      <c r="I711" s="18">
        <v>21</v>
      </c>
      <c r="J711" s="4" t="s">
        <v>12</v>
      </c>
      <c r="K711" s="26" t="s">
        <v>11</v>
      </c>
      <c r="L711" s="172">
        <v>18</v>
      </c>
      <c r="M711" s="6">
        <v>1</v>
      </c>
      <c r="N711" s="6"/>
      <c r="O711" s="6">
        <v>0</v>
      </c>
      <c r="P711" s="6"/>
      <c r="Q711" s="7">
        <v>1</v>
      </c>
      <c r="R711" s="6"/>
      <c r="S711" s="1">
        <v>0</v>
      </c>
      <c r="U711" s="1">
        <v>0</v>
      </c>
      <c r="W711" s="1" t="str">
        <f t="shared" si="11"/>
        <v>No</v>
      </c>
    </row>
    <row r="712" spans="1:23" s="1" customFormat="1" ht="11.25">
      <c r="A712" s="2" t="s">
        <v>1418</v>
      </c>
      <c r="B712" s="21" t="s">
        <v>1419</v>
      </c>
      <c r="C712" s="26" t="s">
        <v>2</v>
      </c>
      <c r="D712" s="163">
        <v>42</v>
      </c>
      <c r="E712" s="166">
        <v>42</v>
      </c>
      <c r="F712" s="92" t="s">
        <v>160</v>
      </c>
      <c r="G712" s="20" t="s">
        <v>1490</v>
      </c>
      <c r="H712" s="18">
        <v>90733</v>
      </c>
      <c r="I712" s="18">
        <v>21</v>
      </c>
      <c r="J712" s="4" t="s">
        <v>12</v>
      </c>
      <c r="K712" s="26" t="s">
        <v>11</v>
      </c>
      <c r="L712" s="172">
        <v>5</v>
      </c>
      <c r="M712" s="6">
        <v>1</v>
      </c>
      <c r="N712" s="6"/>
      <c r="O712" s="6">
        <v>0</v>
      </c>
      <c r="P712" s="6"/>
      <c r="Q712" s="7">
        <v>1</v>
      </c>
      <c r="R712" s="6"/>
      <c r="S712" s="1">
        <v>0</v>
      </c>
      <c r="U712" s="1">
        <v>0</v>
      </c>
      <c r="W712" s="1" t="str">
        <f t="shared" si="11"/>
        <v>No</v>
      </c>
    </row>
    <row r="713" spans="1:23" s="1" customFormat="1" ht="11.25">
      <c r="A713" s="2" t="s">
        <v>1037</v>
      </c>
      <c r="B713" s="21" t="s">
        <v>467</v>
      </c>
      <c r="C713" s="26" t="s">
        <v>37</v>
      </c>
      <c r="D713" s="163">
        <v>7018</v>
      </c>
      <c r="E713" s="166">
        <v>70018</v>
      </c>
      <c r="F713" s="92" t="s">
        <v>152</v>
      </c>
      <c r="G713" s="20" t="s">
        <v>149</v>
      </c>
      <c r="H713" s="18">
        <v>106621</v>
      </c>
      <c r="I713" s="18">
        <v>21</v>
      </c>
      <c r="J713" s="4" t="s">
        <v>12</v>
      </c>
      <c r="K713" s="26" t="s">
        <v>11</v>
      </c>
      <c r="L713" s="172">
        <v>21</v>
      </c>
      <c r="M713" s="6">
        <v>2</v>
      </c>
      <c r="N713" s="6"/>
      <c r="O713" s="6">
        <v>0</v>
      </c>
      <c r="P713" s="6"/>
      <c r="Q713" s="7">
        <v>2</v>
      </c>
      <c r="R713" s="6"/>
      <c r="S713" s="1">
        <v>2</v>
      </c>
      <c r="U713" s="1">
        <v>0</v>
      </c>
      <c r="W713" s="1" t="str">
        <f t="shared" si="11"/>
        <v>No</v>
      </c>
    </row>
    <row r="714" spans="1:23" s="1" customFormat="1" ht="11.25">
      <c r="A714" s="2" t="s">
        <v>161</v>
      </c>
      <c r="B714" s="21" t="s">
        <v>162</v>
      </c>
      <c r="C714" s="26" t="s">
        <v>73</v>
      </c>
      <c r="D714" s="163">
        <v>6094</v>
      </c>
      <c r="E714" s="166">
        <v>60094</v>
      </c>
      <c r="F714" s="92" t="s">
        <v>152</v>
      </c>
      <c r="G714" s="20" t="s">
        <v>1490</v>
      </c>
      <c r="H714" s="18">
        <v>94457</v>
      </c>
      <c r="I714" s="18">
        <v>21</v>
      </c>
      <c r="J714" s="4" t="s">
        <v>12</v>
      </c>
      <c r="K714" s="26" t="s">
        <v>11</v>
      </c>
      <c r="L714" s="172">
        <v>15</v>
      </c>
      <c r="M714" s="6">
        <v>1</v>
      </c>
      <c r="N714" s="6"/>
      <c r="O714" s="6">
        <v>0</v>
      </c>
      <c r="P714" s="6"/>
      <c r="Q714" s="7">
        <v>1</v>
      </c>
      <c r="R714" s="6"/>
      <c r="S714" s="1">
        <v>0</v>
      </c>
      <c r="U714" s="1">
        <v>0</v>
      </c>
      <c r="W714" s="1" t="str">
        <f t="shared" si="11"/>
        <v>No</v>
      </c>
    </row>
    <row r="715" spans="1:23" s="1" customFormat="1" ht="11.25">
      <c r="A715" s="2" t="s">
        <v>804</v>
      </c>
      <c r="B715" s="21" t="s">
        <v>805</v>
      </c>
      <c r="C715" s="26" t="s">
        <v>28</v>
      </c>
      <c r="D715" s="163">
        <v>8010</v>
      </c>
      <c r="E715" s="166">
        <v>80010</v>
      </c>
      <c r="F715" s="92" t="s">
        <v>152</v>
      </c>
      <c r="G715" s="20" t="s">
        <v>1490</v>
      </c>
      <c r="H715" s="18">
        <v>117825</v>
      </c>
      <c r="I715" s="18">
        <v>21</v>
      </c>
      <c r="J715" s="4" t="s">
        <v>12</v>
      </c>
      <c r="K715" s="26" t="s">
        <v>11</v>
      </c>
      <c r="L715" s="172">
        <v>14</v>
      </c>
      <c r="M715" s="6">
        <v>0</v>
      </c>
      <c r="N715" s="6"/>
      <c r="O715" s="6">
        <v>0</v>
      </c>
      <c r="P715" s="6"/>
      <c r="Q715" s="7">
        <v>0</v>
      </c>
      <c r="R715" s="6"/>
      <c r="S715" s="1">
        <v>0</v>
      </c>
      <c r="U715" s="1">
        <v>0</v>
      </c>
      <c r="W715" s="1" t="str">
        <f t="shared" si="11"/>
        <v>No</v>
      </c>
    </row>
    <row r="716" spans="1:23" s="1" customFormat="1" ht="11.25">
      <c r="A716" s="2" t="s">
        <v>936</v>
      </c>
      <c r="B716" s="21" t="s">
        <v>242</v>
      </c>
      <c r="C716" s="26" t="s">
        <v>61</v>
      </c>
      <c r="D716" s="163">
        <v>1086</v>
      </c>
      <c r="E716" s="166">
        <v>10086</v>
      </c>
      <c r="F716" s="92" t="s">
        <v>160</v>
      </c>
      <c r="G716" s="20" t="s">
        <v>149</v>
      </c>
      <c r="H716" s="18">
        <v>88087</v>
      </c>
      <c r="I716" s="18">
        <v>21</v>
      </c>
      <c r="J716" s="4" t="s">
        <v>12</v>
      </c>
      <c r="K716" s="26" t="s">
        <v>11</v>
      </c>
      <c r="L716" s="172">
        <v>14</v>
      </c>
      <c r="M716" s="6">
        <v>3</v>
      </c>
      <c r="N716" s="6"/>
      <c r="O716" s="6">
        <v>0</v>
      </c>
      <c r="P716" s="6"/>
      <c r="Q716" s="7">
        <v>3</v>
      </c>
      <c r="R716" s="6"/>
      <c r="S716" s="1">
        <v>0</v>
      </c>
      <c r="U716" s="1">
        <v>0</v>
      </c>
      <c r="W716" s="1" t="str">
        <f t="shared" si="11"/>
        <v>No</v>
      </c>
    </row>
    <row r="717" spans="1:23" s="1" customFormat="1" ht="11.25">
      <c r="A717" s="2" t="s">
        <v>473</v>
      </c>
      <c r="B717" s="21" t="s">
        <v>474</v>
      </c>
      <c r="C717" s="26" t="s">
        <v>77</v>
      </c>
      <c r="D717" s="163">
        <v>4174</v>
      </c>
      <c r="E717" s="166">
        <v>40174</v>
      </c>
      <c r="F717" s="92" t="s">
        <v>152</v>
      </c>
      <c r="G717" s="20" t="s">
        <v>1490</v>
      </c>
      <c r="H717" s="18">
        <v>90899</v>
      </c>
      <c r="I717" s="18">
        <v>21</v>
      </c>
      <c r="J717" s="4" t="s">
        <v>12</v>
      </c>
      <c r="K717" s="26" t="s">
        <v>11</v>
      </c>
      <c r="L717" s="172">
        <v>17</v>
      </c>
      <c r="M717" s="6">
        <v>1</v>
      </c>
      <c r="N717" s="6"/>
      <c r="O717" s="6">
        <v>0</v>
      </c>
      <c r="P717" s="6"/>
      <c r="Q717" s="7">
        <v>1</v>
      </c>
      <c r="R717" s="6"/>
      <c r="S717" s="1">
        <v>0</v>
      </c>
      <c r="U717" s="1">
        <v>0</v>
      </c>
      <c r="W717" s="1" t="str">
        <f t="shared" si="11"/>
        <v>No</v>
      </c>
    </row>
    <row r="718" spans="1:23" s="1" customFormat="1" ht="11.25">
      <c r="A718" s="2" t="s">
        <v>278</v>
      </c>
      <c r="B718" s="21" t="s">
        <v>279</v>
      </c>
      <c r="C718" s="26" t="s">
        <v>19</v>
      </c>
      <c r="D718" s="163">
        <v>9200</v>
      </c>
      <c r="E718" s="166">
        <v>90200</v>
      </c>
      <c r="F718" s="92" t="s">
        <v>160</v>
      </c>
      <c r="G718" s="20" t="s">
        <v>149</v>
      </c>
      <c r="H718" s="18">
        <v>87941</v>
      </c>
      <c r="I718" s="18">
        <v>21</v>
      </c>
      <c r="J718" s="4" t="s">
        <v>12</v>
      </c>
      <c r="K718" s="26" t="s">
        <v>15</v>
      </c>
      <c r="L718" s="172">
        <v>16</v>
      </c>
      <c r="M718" s="6">
        <v>1</v>
      </c>
      <c r="N718" s="6"/>
      <c r="O718" s="6">
        <v>0</v>
      </c>
      <c r="P718" s="6"/>
      <c r="Q718" s="7">
        <v>1</v>
      </c>
      <c r="R718" s="6"/>
      <c r="S718" s="1">
        <v>0</v>
      </c>
      <c r="U718" s="1">
        <v>0</v>
      </c>
      <c r="W718" s="1" t="str">
        <f t="shared" si="11"/>
        <v>No</v>
      </c>
    </row>
    <row r="719" spans="1:23" s="1" customFormat="1" ht="11.25">
      <c r="A719" s="2" t="s">
        <v>430</v>
      </c>
      <c r="B719" s="21" t="s">
        <v>431</v>
      </c>
      <c r="C719" s="26" t="s">
        <v>56</v>
      </c>
      <c r="D719" s="163" t="s">
        <v>432</v>
      </c>
      <c r="E719" s="166">
        <v>88134</v>
      </c>
      <c r="F719" s="92" t="s">
        <v>397</v>
      </c>
      <c r="G719" s="20" t="s">
        <v>1490</v>
      </c>
      <c r="H719" s="18">
        <v>0</v>
      </c>
      <c r="I719" s="18">
        <v>21</v>
      </c>
      <c r="J719" s="4" t="s">
        <v>21</v>
      </c>
      <c r="K719" s="26" t="s">
        <v>11</v>
      </c>
      <c r="L719" s="172">
        <v>2</v>
      </c>
      <c r="M719" s="6">
        <v>0</v>
      </c>
      <c r="N719" s="6"/>
      <c r="O719" s="6">
        <v>0</v>
      </c>
      <c r="P719" s="6"/>
      <c r="Q719" s="7">
        <v>0</v>
      </c>
      <c r="R719" s="6"/>
      <c r="S719" s="1">
        <v>0</v>
      </c>
      <c r="U719" s="1">
        <v>0</v>
      </c>
      <c r="W719" s="1" t="str">
        <f t="shared" si="11"/>
        <v>No</v>
      </c>
    </row>
    <row r="720" spans="1:23" s="1" customFormat="1" ht="11.25">
      <c r="A720" s="2" t="s">
        <v>94</v>
      </c>
      <c r="B720" s="21" t="s">
        <v>1262</v>
      </c>
      <c r="C720" s="26" t="s">
        <v>92</v>
      </c>
      <c r="D720" s="163">
        <v>5088</v>
      </c>
      <c r="E720" s="166">
        <v>50088</v>
      </c>
      <c r="F720" s="92" t="s">
        <v>152</v>
      </c>
      <c r="G720" s="20" t="s">
        <v>1490</v>
      </c>
      <c r="H720" s="18">
        <v>71313</v>
      </c>
      <c r="I720" s="18">
        <v>21</v>
      </c>
      <c r="J720" s="4" t="s">
        <v>12</v>
      </c>
      <c r="K720" s="26" t="s">
        <v>11</v>
      </c>
      <c r="L720" s="172">
        <v>15</v>
      </c>
      <c r="M720" s="6">
        <v>1</v>
      </c>
      <c r="N720" s="6"/>
      <c r="O720" s="6">
        <v>0</v>
      </c>
      <c r="P720" s="6"/>
      <c r="Q720" s="7">
        <v>1</v>
      </c>
      <c r="R720" s="6"/>
      <c r="S720" s="1">
        <v>0</v>
      </c>
      <c r="U720" s="1">
        <v>0</v>
      </c>
      <c r="W720" s="1" t="str">
        <f t="shared" si="11"/>
        <v>No</v>
      </c>
    </row>
    <row r="721" spans="1:23" s="1" customFormat="1" ht="11.25">
      <c r="A721" s="2" t="s">
        <v>1437</v>
      </c>
      <c r="B721" s="21" t="s">
        <v>468</v>
      </c>
      <c r="C721" s="26" t="s">
        <v>86</v>
      </c>
      <c r="D721" s="163">
        <v>3079</v>
      </c>
      <c r="E721" s="166">
        <v>30079</v>
      </c>
      <c r="F721" s="92" t="s">
        <v>152</v>
      </c>
      <c r="G721" s="20" t="s">
        <v>1490</v>
      </c>
      <c r="H721" s="18">
        <v>141238</v>
      </c>
      <c r="I721" s="18">
        <v>21</v>
      </c>
      <c r="J721" s="4" t="s">
        <v>12</v>
      </c>
      <c r="K721" s="26" t="s">
        <v>11</v>
      </c>
      <c r="L721" s="172">
        <v>21</v>
      </c>
      <c r="M721" s="6">
        <v>1</v>
      </c>
      <c r="N721" s="6"/>
      <c r="O721" s="6">
        <v>0</v>
      </c>
      <c r="P721" s="6"/>
      <c r="Q721" s="7">
        <v>1</v>
      </c>
      <c r="R721" s="6"/>
      <c r="S721" s="1">
        <v>1</v>
      </c>
      <c r="U721" s="1">
        <v>0</v>
      </c>
      <c r="W721" s="1" t="str">
        <f t="shared" si="11"/>
        <v>No</v>
      </c>
    </row>
    <row r="722" spans="1:23" s="1" customFormat="1" ht="11.25">
      <c r="A722" s="2" t="s">
        <v>1149</v>
      </c>
      <c r="B722" s="21" t="s">
        <v>1150</v>
      </c>
      <c r="C722" s="26" t="s">
        <v>77</v>
      </c>
      <c r="D722" s="163">
        <v>4115</v>
      </c>
      <c r="E722" s="166">
        <v>40115</v>
      </c>
      <c r="F722" s="92" t="s">
        <v>152</v>
      </c>
      <c r="G722" s="20" t="s">
        <v>1490</v>
      </c>
      <c r="H722" s="18">
        <v>2148346</v>
      </c>
      <c r="I722" s="18">
        <v>21</v>
      </c>
      <c r="J722" s="4" t="s">
        <v>12</v>
      </c>
      <c r="K722" s="26" t="s">
        <v>11</v>
      </c>
      <c r="L722" s="172">
        <v>19</v>
      </c>
      <c r="M722" s="6">
        <v>0</v>
      </c>
      <c r="N722" s="6"/>
      <c r="O722" s="6">
        <v>0</v>
      </c>
      <c r="P722" s="6"/>
      <c r="Q722" s="7">
        <v>0</v>
      </c>
      <c r="R722" s="6"/>
      <c r="S722" s="1">
        <v>0</v>
      </c>
      <c r="U722" s="1">
        <v>0</v>
      </c>
      <c r="W722" s="1" t="str">
        <f t="shared" si="11"/>
        <v>No</v>
      </c>
    </row>
    <row r="723" spans="1:23" s="1" customFormat="1" ht="11.25">
      <c r="A723" s="2" t="s">
        <v>1854</v>
      </c>
      <c r="B723" s="21" t="s">
        <v>369</v>
      </c>
      <c r="C723" s="26" t="s">
        <v>32</v>
      </c>
      <c r="D723" s="163">
        <v>4155</v>
      </c>
      <c r="E723" s="166">
        <v>40155</v>
      </c>
      <c r="F723" s="92" t="s">
        <v>152</v>
      </c>
      <c r="G723" s="20" t="s">
        <v>1490</v>
      </c>
      <c r="H723" s="18">
        <v>69173</v>
      </c>
      <c r="I723" s="18">
        <v>21</v>
      </c>
      <c r="J723" s="4" t="s">
        <v>12</v>
      </c>
      <c r="K723" s="26" t="s">
        <v>15</v>
      </c>
      <c r="L723" s="172">
        <v>12</v>
      </c>
      <c r="M723" s="6">
        <v>0</v>
      </c>
      <c r="N723" s="6"/>
      <c r="O723" s="6">
        <v>0</v>
      </c>
      <c r="P723" s="6"/>
      <c r="Q723" s="7">
        <v>0</v>
      </c>
      <c r="R723" s="6"/>
      <c r="S723" s="1">
        <v>0</v>
      </c>
      <c r="U723" s="1">
        <v>0</v>
      </c>
      <c r="W723" s="1" t="str">
        <f t="shared" si="11"/>
        <v>No</v>
      </c>
    </row>
    <row r="724" spans="1:23" s="1" customFormat="1" ht="11.25">
      <c r="A724" s="2" t="s">
        <v>398</v>
      </c>
      <c r="B724" s="21" t="s">
        <v>399</v>
      </c>
      <c r="C724" s="26" t="s">
        <v>57</v>
      </c>
      <c r="D724" s="163" t="s">
        <v>400</v>
      </c>
      <c r="E724" s="166">
        <v>44913</v>
      </c>
      <c r="F724" s="92" t="s">
        <v>397</v>
      </c>
      <c r="G724" s="20" t="s">
        <v>1490</v>
      </c>
      <c r="H724" s="18">
        <v>0</v>
      </c>
      <c r="I724" s="18">
        <v>21</v>
      </c>
      <c r="J724" s="4" t="s">
        <v>12</v>
      </c>
      <c r="K724" s="26" t="s">
        <v>11</v>
      </c>
      <c r="L724" s="172">
        <v>21</v>
      </c>
      <c r="M724" s="6">
        <v>0</v>
      </c>
      <c r="N724" s="6"/>
      <c r="O724" s="6">
        <v>0</v>
      </c>
      <c r="P724" s="6"/>
      <c r="Q724" s="7">
        <v>0</v>
      </c>
      <c r="R724" s="6"/>
      <c r="S724" s="1">
        <v>0</v>
      </c>
      <c r="U724" s="1">
        <v>0</v>
      </c>
      <c r="W724" s="1" t="str">
        <f t="shared" si="11"/>
        <v>No</v>
      </c>
    </row>
    <row r="725" spans="1:23" s="1" customFormat="1" ht="11.25">
      <c r="A725" s="2" t="s">
        <v>832</v>
      </c>
      <c r="B725" s="21" t="s">
        <v>209</v>
      </c>
      <c r="C725" s="26" t="s">
        <v>51</v>
      </c>
      <c r="D725" s="163">
        <v>5034</v>
      </c>
      <c r="E725" s="166">
        <v>50034</v>
      </c>
      <c r="F725" s="92" t="s">
        <v>160</v>
      </c>
      <c r="G725" s="20" t="s">
        <v>149</v>
      </c>
      <c r="H725" s="18">
        <v>90057</v>
      </c>
      <c r="I725" s="18">
        <v>21</v>
      </c>
      <c r="J725" s="4" t="s">
        <v>12</v>
      </c>
      <c r="K725" s="26" t="s">
        <v>11</v>
      </c>
      <c r="L725" s="172">
        <v>11</v>
      </c>
      <c r="M725" s="6">
        <v>1</v>
      </c>
      <c r="N725" s="6"/>
      <c r="O725" s="6">
        <v>0</v>
      </c>
      <c r="P725" s="6"/>
      <c r="Q725" s="7">
        <v>1</v>
      </c>
      <c r="R725" s="6"/>
      <c r="S725" s="1">
        <v>0</v>
      </c>
      <c r="U725" s="1">
        <v>0</v>
      </c>
      <c r="W725" s="1" t="str">
        <f t="shared" si="11"/>
        <v>No</v>
      </c>
    </row>
    <row r="726" spans="1:23" s="1" customFormat="1" ht="11.25">
      <c r="A726" s="2" t="s">
        <v>912</v>
      </c>
      <c r="B726" s="21" t="s">
        <v>913</v>
      </c>
      <c r="C726" s="26" t="s">
        <v>81</v>
      </c>
      <c r="D726" s="163">
        <v>4102</v>
      </c>
      <c r="E726" s="166">
        <v>40102</v>
      </c>
      <c r="F726" s="92" t="s">
        <v>160</v>
      </c>
      <c r="G726" s="20" t="s">
        <v>1490</v>
      </c>
      <c r="H726" s="18">
        <v>215304</v>
      </c>
      <c r="I726" s="18">
        <v>21</v>
      </c>
      <c r="J726" s="4" t="s">
        <v>12</v>
      </c>
      <c r="K726" s="26" t="s">
        <v>11</v>
      </c>
      <c r="L726" s="172">
        <v>13</v>
      </c>
      <c r="M726" s="6">
        <v>2</v>
      </c>
      <c r="N726" s="6"/>
      <c r="O726" s="6">
        <v>0</v>
      </c>
      <c r="P726" s="6"/>
      <c r="Q726" s="7">
        <v>2</v>
      </c>
      <c r="R726" s="6"/>
      <c r="S726" s="1">
        <v>0</v>
      </c>
      <c r="U726" s="1">
        <v>0</v>
      </c>
      <c r="W726" s="1" t="str">
        <f t="shared" si="11"/>
        <v>No</v>
      </c>
    </row>
    <row r="727" spans="1:23" s="1" customFormat="1" ht="11.25">
      <c r="A727" s="2" t="s">
        <v>819</v>
      </c>
      <c r="B727" s="21" t="s">
        <v>820</v>
      </c>
      <c r="C727" s="26" t="s">
        <v>88</v>
      </c>
      <c r="D727" s="163">
        <v>64</v>
      </c>
      <c r="E727" s="166">
        <v>64</v>
      </c>
      <c r="F727" s="92" t="s">
        <v>160</v>
      </c>
      <c r="G727" s="20" t="s">
        <v>1490</v>
      </c>
      <c r="H727" s="18">
        <v>55805</v>
      </c>
      <c r="I727" s="18">
        <v>21</v>
      </c>
      <c r="J727" s="4" t="s">
        <v>12</v>
      </c>
      <c r="K727" s="26" t="s">
        <v>11</v>
      </c>
      <c r="L727" s="172">
        <v>11</v>
      </c>
      <c r="M727" s="6">
        <v>1</v>
      </c>
      <c r="N727" s="6"/>
      <c r="O727" s="6">
        <v>0</v>
      </c>
      <c r="P727" s="6"/>
      <c r="Q727" s="7">
        <v>1</v>
      </c>
      <c r="R727" s="6"/>
      <c r="S727" s="1">
        <v>0</v>
      </c>
      <c r="U727" s="1">
        <v>0</v>
      </c>
      <c r="W727" s="1" t="str">
        <f t="shared" si="11"/>
        <v>No</v>
      </c>
    </row>
    <row r="728" spans="1:23" s="1" customFormat="1" ht="11.25">
      <c r="A728" s="2" t="s">
        <v>1642</v>
      </c>
      <c r="B728" s="21" t="s">
        <v>1670</v>
      </c>
      <c r="C728" s="26" t="s">
        <v>86</v>
      </c>
      <c r="D728" s="163"/>
      <c r="E728" s="166">
        <v>30200</v>
      </c>
      <c r="F728" s="92" t="s">
        <v>152</v>
      </c>
      <c r="G728" s="20" t="s">
        <v>1490</v>
      </c>
      <c r="H728" s="18">
        <v>88542</v>
      </c>
      <c r="I728" s="18">
        <v>20</v>
      </c>
      <c r="J728" s="4" t="s">
        <v>12</v>
      </c>
      <c r="K728" s="26" t="s">
        <v>11</v>
      </c>
      <c r="L728" s="172">
        <v>20</v>
      </c>
      <c r="M728" s="6">
        <v>1</v>
      </c>
      <c r="N728" s="6"/>
      <c r="O728" s="6">
        <v>0</v>
      </c>
      <c r="P728" s="6"/>
      <c r="Q728" s="7">
        <v>1</v>
      </c>
      <c r="R728" s="6"/>
      <c r="S728" s="1">
        <v>1</v>
      </c>
      <c r="U728" s="1">
        <v>0</v>
      </c>
      <c r="W728" s="1" t="str">
        <f t="shared" si="11"/>
        <v>No</v>
      </c>
    </row>
    <row r="729" spans="1:23" s="1" customFormat="1" ht="11.25">
      <c r="A729" s="2" t="s">
        <v>992</v>
      </c>
      <c r="B729" s="21" t="s">
        <v>993</v>
      </c>
      <c r="C729" s="26" t="s">
        <v>40</v>
      </c>
      <c r="D729" s="163">
        <v>5045</v>
      </c>
      <c r="E729" s="166">
        <v>50045</v>
      </c>
      <c r="F729" s="92" t="s">
        <v>152</v>
      </c>
      <c r="G729" s="20" t="s">
        <v>149</v>
      </c>
      <c r="H729" s="18">
        <v>8608208</v>
      </c>
      <c r="I729" s="18">
        <v>20</v>
      </c>
      <c r="J729" s="4" t="s">
        <v>12</v>
      </c>
      <c r="K729" s="26" t="s">
        <v>11</v>
      </c>
      <c r="L729" s="172">
        <v>16</v>
      </c>
      <c r="M729" s="6">
        <v>1</v>
      </c>
      <c r="N729" s="6"/>
      <c r="O729" s="6">
        <v>0</v>
      </c>
      <c r="P729" s="6"/>
      <c r="Q729" s="7">
        <v>1</v>
      </c>
      <c r="R729" s="6"/>
      <c r="S729" s="1">
        <v>1</v>
      </c>
      <c r="U729" s="1">
        <v>1</v>
      </c>
      <c r="W729" s="1" t="str">
        <f t="shared" si="11"/>
        <v>No</v>
      </c>
    </row>
    <row r="730" spans="1:23" s="1" customFormat="1" ht="11.25">
      <c r="A730" s="2" t="s">
        <v>559</v>
      </c>
      <c r="B730" s="21" t="s">
        <v>560</v>
      </c>
      <c r="C730" s="26" t="s">
        <v>84</v>
      </c>
      <c r="D730" s="163">
        <v>6001</v>
      </c>
      <c r="E730" s="166">
        <v>60001</v>
      </c>
      <c r="F730" s="92" t="s">
        <v>152</v>
      </c>
      <c r="G730" s="20" t="s">
        <v>1490</v>
      </c>
      <c r="H730" s="18">
        <v>196651</v>
      </c>
      <c r="I730" s="18">
        <v>20</v>
      </c>
      <c r="J730" s="4" t="s">
        <v>12</v>
      </c>
      <c r="K730" s="26" t="s">
        <v>11</v>
      </c>
      <c r="L730" s="172">
        <v>12</v>
      </c>
      <c r="M730" s="6">
        <v>1</v>
      </c>
      <c r="N730" s="6"/>
      <c r="O730" s="6">
        <v>0</v>
      </c>
      <c r="P730" s="6"/>
      <c r="Q730" s="7">
        <v>1</v>
      </c>
      <c r="R730" s="6"/>
      <c r="S730" s="1">
        <v>0</v>
      </c>
      <c r="U730" s="1">
        <v>0</v>
      </c>
      <c r="W730" s="1" t="str">
        <f t="shared" si="11"/>
        <v>No</v>
      </c>
    </row>
    <row r="731" spans="1:23" s="1" customFormat="1" ht="11.25">
      <c r="A731" s="2" t="s">
        <v>1388</v>
      </c>
      <c r="B731" s="21" t="s">
        <v>1389</v>
      </c>
      <c r="C731" s="26" t="s">
        <v>56</v>
      </c>
      <c r="D731" s="163">
        <v>8012</v>
      </c>
      <c r="E731" s="166">
        <v>80012</v>
      </c>
      <c r="F731" s="92" t="s">
        <v>160</v>
      </c>
      <c r="G731" s="20" t="s">
        <v>149</v>
      </c>
      <c r="H731" s="18">
        <v>65207</v>
      </c>
      <c r="I731" s="18">
        <v>20</v>
      </c>
      <c r="J731" s="4" t="s">
        <v>12</v>
      </c>
      <c r="K731" s="26" t="s">
        <v>11</v>
      </c>
      <c r="L731" s="172">
        <v>13</v>
      </c>
      <c r="M731" s="6">
        <v>1</v>
      </c>
      <c r="N731" s="6"/>
      <c r="O731" s="6">
        <v>0</v>
      </c>
      <c r="P731" s="6"/>
      <c r="Q731" s="7">
        <v>1</v>
      </c>
      <c r="R731" s="6"/>
      <c r="S731" s="1">
        <v>0</v>
      </c>
      <c r="U731" s="1">
        <v>0</v>
      </c>
      <c r="W731" s="1" t="str">
        <f t="shared" si="11"/>
        <v>No</v>
      </c>
    </row>
    <row r="732" spans="1:23" s="1" customFormat="1" ht="11.25">
      <c r="A732" s="2" t="s">
        <v>1706</v>
      </c>
      <c r="B732" s="21" t="s">
        <v>1092</v>
      </c>
      <c r="C732" s="26" t="s">
        <v>47</v>
      </c>
      <c r="D732" s="163"/>
      <c r="E732" s="166">
        <v>30201</v>
      </c>
      <c r="F732" s="92" t="s">
        <v>152</v>
      </c>
      <c r="G732" s="20" t="s">
        <v>149</v>
      </c>
      <c r="H732" s="18">
        <v>2203663</v>
      </c>
      <c r="I732" s="18">
        <v>20</v>
      </c>
      <c r="J732" s="4" t="s">
        <v>22</v>
      </c>
      <c r="K732" s="26" t="s">
        <v>15</v>
      </c>
      <c r="L732" s="172">
        <v>3</v>
      </c>
      <c r="M732" s="6">
        <v>0</v>
      </c>
      <c r="N732" s="6"/>
      <c r="O732" s="6">
        <v>5</v>
      </c>
      <c r="P732" s="6"/>
      <c r="Q732" s="7">
        <v>5</v>
      </c>
      <c r="R732" s="6"/>
      <c r="S732" s="1">
        <v>0</v>
      </c>
      <c r="U732" s="1">
        <v>0</v>
      </c>
      <c r="W732" s="1" t="str">
        <f t="shared" si="11"/>
        <v>No</v>
      </c>
    </row>
    <row r="733" spans="1:23" s="1" customFormat="1" ht="11.25">
      <c r="A733" s="2" t="s">
        <v>1706</v>
      </c>
      <c r="B733" s="21" t="s">
        <v>1092</v>
      </c>
      <c r="C733" s="26" t="s">
        <v>47</v>
      </c>
      <c r="D733" s="163"/>
      <c r="E733" s="166">
        <v>30201</v>
      </c>
      <c r="F733" s="92" t="s">
        <v>152</v>
      </c>
      <c r="G733" s="20" t="s">
        <v>149</v>
      </c>
      <c r="H733" s="18">
        <v>2203663</v>
      </c>
      <c r="I733" s="18">
        <v>20</v>
      </c>
      <c r="J733" s="4" t="s">
        <v>12</v>
      </c>
      <c r="K733" s="26" t="s">
        <v>15</v>
      </c>
      <c r="L733" s="172">
        <v>17</v>
      </c>
      <c r="M733" s="6">
        <v>0</v>
      </c>
      <c r="N733" s="6"/>
      <c r="O733" s="6">
        <v>0</v>
      </c>
      <c r="P733" s="6"/>
      <c r="Q733" s="7">
        <v>0</v>
      </c>
      <c r="R733" s="6"/>
      <c r="S733" s="1">
        <v>0</v>
      </c>
      <c r="U733" s="1">
        <v>0</v>
      </c>
      <c r="W733" s="1" t="str">
        <f t="shared" si="11"/>
        <v>No</v>
      </c>
    </row>
    <row r="734" spans="1:23" s="1" customFormat="1" ht="11.25">
      <c r="A734" s="2" t="s">
        <v>586</v>
      </c>
      <c r="B734" s="21" t="s">
        <v>587</v>
      </c>
      <c r="C734" s="26" t="s">
        <v>51</v>
      </c>
      <c r="D734" s="163">
        <v>5030</v>
      </c>
      <c r="E734" s="166">
        <v>50030</v>
      </c>
      <c r="F734" s="92" t="s">
        <v>152</v>
      </c>
      <c r="G734" s="20" t="s">
        <v>1490</v>
      </c>
      <c r="H734" s="18">
        <v>78393</v>
      </c>
      <c r="I734" s="18">
        <v>20</v>
      </c>
      <c r="J734" s="4" t="s">
        <v>12</v>
      </c>
      <c r="K734" s="26" t="s">
        <v>11</v>
      </c>
      <c r="L734" s="172">
        <v>13</v>
      </c>
      <c r="M734" s="6">
        <v>1</v>
      </c>
      <c r="N734" s="6"/>
      <c r="O734" s="6">
        <v>0</v>
      </c>
      <c r="P734" s="6"/>
      <c r="Q734" s="7">
        <v>1</v>
      </c>
      <c r="R734" s="6"/>
      <c r="S734" s="1">
        <v>0</v>
      </c>
      <c r="U734" s="1">
        <v>0</v>
      </c>
      <c r="W734" s="1" t="str">
        <f t="shared" si="11"/>
        <v>No</v>
      </c>
    </row>
    <row r="735" spans="1:23" s="1" customFormat="1" ht="11.25">
      <c r="A735" s="2" t="s">
        <v>252</v>
      </c>
      <c r="B735" s="21" t="s">
        <v>253</v>
      </c>
      <c r="C735" s="26" t="s">
        <v>50</v>
      </c>
      <c r="D735" s="163">
        <v>1114</v>
      </c>
      <c r="E735" s="166">
        <v>10114</v>
      </c>
      <c r="F735" s="92" t="s">
        <v>160</v>
      </c>
      <c r="G735" s="20" t="s">
        <v>1490</v>
      </c>
      <c r="H735" s="18">
        <v>203914</v>
      </c>
      <c r="I735" s="18">
        <v>20</v>
      </c>
      <c r="J735" s="4" t="s">
        <v>12</v>
      </c>
      <c r="K735" s="26" t="s">
        <v>11</v>
      </c>
      <c r="L735" s="172">
        <v>20</v>
      </c>
      <c r="M735" s="6">
        <v>0</v>
      </c>
      <c r="N735" s="6"/>
      <c r="O735" s="6">
        <v>0</v>
      </c>
      <c r="P735" s="6"/>
      <c r="Q735" s="7">
        <v>0</v>
      </c>
      <c r="R735" s="6"/>
      <c r="S735" s="1">
        <v>0</v>
      </c>
      <c r="U735" s="1">
        <v>0</v>
      </c>
      <c r="W735" s="1" t="str">
        <f t="shared" si="11"/>
        <v>No</v>
      </c>
    </row>
    <row r="736" spans="1:23" s="1" customFormat="1" ht="11.25">
      <c r="A736" s="2" t="s">
        <v>1399</v>
      </c>
      <c r="B736" s="21" t="s">
        <v>1400</v>
      </c>
      <c r="C736" s="26" t="s">
        <v>57</v>
      </c>
      <c r="D736" s="163">
        <v>4132</v>
      </c>
      <c r="E736" s="166">
        <v>40132</v>
      </c>
      <c r="F736" s="92" t="s">
        <v>160</v>
      </c>
      <c r="G736" s="20" t="s">
        <v>1490</v>
      </c>
      <c r="H736" s="18">
        <v>61054</v>
      </c>
      <c r="I736" s="18">
        <v>20</v>
      </c>
      <c r="J736" s="4" t="s">
        <v>12</v>
      </c>
      <c r="K736" s="26" t="s">
        <v>11</v>
      </c>
      <c r="L736" s="172">
        <v>5</v>
      </c>
      <c r="M736" s="6">
        <v>1</v>
      </c>
      <c r="N736" s="6"/>
      <c r="O736" s="6">
        <v>0</v>
      </c>
      <c r="P736" s="6"/>
      <c r="Q736" s="7">
        <v>1</v>
      </c>
      <c r="R736" s="6"/>
      <c r="S736" s="1">
        <v>0</v>
      </c>
      <c r="U736" s="1">
        <v>0</v>
      </c>
      <c r="W736" s="1" t="str">
        <f t="shared" si="11"/>
        <v>No</v>
      </c>
    </row>
    <row r="737" spans="1:23" s="1" customFormat="1" ht="11.25">
      <c r="A737" s="2" t="s">
        <v>1214</v>
      </c>
      <c r="B737" s="21" t="s">
        <v>1215</v>
      </c>
      <c r="C737" s="26" t="s">
        <v>82</v>
      </c>
      <c r="D737" s="163">
        <v>8014</v>
      </c>
      <c r="E737" s="166">
        <v>80014</v>
      </c>
      <c r="F737" s="92" t="s">
        <v>152</v>
      </c>
      <c r="G737" s="20" t="s">
        <v>1490</v>
      </c>
      <c r="H737" s="18">
        <v>81251</v>
      </c>
      <c r="I737" s="18">
        <v>20</v>
      </c>
      <c r="J737" s="4" t="s">
        <v>12</v>
      </c>
      <c r="K737" s="26" t="s">
        <v>11</v>
      </c>
      <c r="L737" s="172">
        <v>9</v>
      </c>
      <c r="M737" s="6">
        <v>0</v>
      </c>
      <c r="N737" s="6"/>
      <c r="O737" s="6">
        <v>0</v>
      </c>
      <c r="P737" s="6"/>
      <c r="Q737" s="7">
        <v>0</v>
      </c>
      <c r="R737" s="6"/>
      <c r="S737" s="1">
        <v>0</v>
      </c>
      <c r="U737" s="1">
        <v>0</v>
      </c>
      <c r="W737" s="1" t="str">
        <f t="shared" si="11"/>
        <v>No</v>
      </c>
    </row>
    <row r="738" spans="1:23" s="1" customFormat="1" ht="11.25">
      <c r="A738" s="2" t="s">
        <v>1359</v>
      </c>
      <c r="B738" s="21" t="s">
        <v>509</v>
      </c>
      <c r="C738" s="26" t="s">
        <v>88</v>
      </c>
      <c r="D738" s="163">
        <v>35</v>
      </c>
      <c r="E738" s="166">
        <v>35</v>
      </c>
      <c r="F738" s="92" t="s">
        <v>269</v>
      </c>
      <c r="G738" s="20" t="s">
        <v>149</v>
      </c>
      <c r="H738" s="18">
        <v>3059393</v>
      </c>
      <c r="I738" s="18">
        <v>19</v>
      </c>
      <c r="J738" s="4" t="s">
        <v>22</v>
      </c>
      <c r="K738" s="26" t="s">
        <v>11</v>
      </c>
      <c r="L738" s="172">
        <v>19</v>
      </c>
      <c r="M738" s="6">
        <v>20</v>
      </c>
      <c r="N738" s="6"/>
      <c r="O738" s="6">
        <v>0</v>
      </c>
      <c r="P738" s="6"/>
      <c r="Q738" s="7">
        <v>20</v>
      </c>
      <c r="R738" s="6"/>
      <c r="S738" s="1">
        <v>0</v>
      </c>
      <c r="U738" s="1">
        <v>0</v>
      </c>
      <c r="W738" s="1" t="str">
        <f t="shared" si="11"/>
        <v>No</v>
      </c>
    </row>
    <row r="739" spans="1:23" s="1" customFormat="1" ht="11.25">
      <c r="A739" s="2" t="s">
        <v>858</v>
      </c>
      <c r="B739" s="21" t="s">
        <v>300</v>
      </c>
      <c r="C739" s="26" t="s">
        <v>57</v>
      </c>
      <c r="D739" s="163">
        <v>4217</v>
      </c>
      <c r="E739" s="166">
        <v>40217</v>
      </c>
      <c r="F739" s="92" t="s">
        <v>152</v>
      </c>
      <c r="G739" s="20" t="s">
        <v>1490</v>
      </c>
      <c r="H739" s="18">
        <v>214881</v>
      </c>
      <c r="I739" s="18">
        <v>19</v>
      </c>
      <c r="J739" s="4" t="s">
        <v>12</v>
      </c>
      <c r="K739" s="26" t="s">
        <v>15</v>
      </c>
      <c r="L739" s="172">
        <v>2</v>
      </c>
      <c r="M739" s="6">
        <v>0</v>
      </c>
      <c r="N739" s="6"/>
      <c r="O739" s="6">
        <v>0</v>
      </c>
      <c r="P739" s="6"/>
      <c r="Q739" s="7">
        <v>0</v>
      </c>
      <c r="R739" s="6"/>
      <c r="S739" s="1">
        <v>0</v>
      </c>
      <c r="U739" s="1">
        <v>0</v>
      </c>
      <c r="W739" s="1" t="str">
        <f t="shared" si="11"/>
        <v>No</v>
      </c>
    </row>
    <row r="740" spans="1:23" s="1" customFormat="1" ht="11.25">
      <c r="A740" s="2" t="s">
        <v>1709</v>
      </c>
      <c r="B740" s="21" t="s">
        <v>1710</v>
      </c>
      <c r="C740" s="26" t="s">
        <v>75</v>
      </c>
      <c r="D740" s="163" t="s">
        <v>1711</v>
      </c>
      <c r="E740" s="166">
        <v>30167</v>
      </c>
      <c r="F740" s="92" t="s">
        <v>152</v>
      </c>
      <c r="G740" s="20" t="s">
        <v>1490</v>
      </c>
      <c r="H740" s="18">
        <v>664651</v>
      </c>
      <c r="I740" s="18">
        <v>19</v>
      </c>
      <c r="J740" s="4" t="s">
        <v>12</v>
      </c>
      <c r="K740" s="26" t="s">
        <v>15</v>
      </c>
      <c r="L740" s="172">
        <v>1</v>
      </c>
      <c r="M740" s="6">
        <v>0</v>
      </c>
      <c r="N740" s="6"/>
      <c r="O740" s="6">
        <v>1</v>
      </c>
      <c r="P740" s="6"/>
      <c r="Q740" s="7">
        <v>1</v>
      </c>
      <c r="R740" s="6"/>
      <c r="S740" s="1">
        <v>0</v>
      </c>
      <c r="U740" s="1">
        <v>0</v>
      </c>
      <c r="W740" s="1" t="str">
        <f t="shared" si="11"/>
        <v>No</v>
      </c>
    </row>
    <row r="741" spans="1:23" s="1" customFormat="1" ht="11.25">
      <c r="A741" s="2" t="s">
        <v>536</v>
      </c>
      <c r="B741" s="21" t="s">
        <v>537</v>
      </c>
      <c r="C741" s="26" t="s">
        <v>84</v>
      </c>
      <c r="D741" s="163">
        <v>6115</v>
      </c>
      <c r="E741" s="166">
        <v>60115</v>
      </c>
      <c r="F741" s="92" t="s">
        <v>152</v>
      </c>
      <c r="G741" s="20" t="s">
        <v>1490</v>
      </c>
      <c r="H741" s="18">
        <v>5121892</v>
      </c>
      <c r="I741" s="18">
        <v>19</v>
      </c>
      <c r="J741" s="4" t="s">
        <v>21</v>
      </c>
      <c r="K741" s="26" t="s">
        <v>11</v>
      </c>
      <c r="L741" s="172">
        <v>1</v>
      </c>
      <c r="M741" s="6">
        <v>1</v>
      </c>
      <c r="N741" s="6"/>
      <c r="O741" s="6">
        <v>0</v>
      </c>
      <c r="P741" s="6"/>
      <c r="Q741" s="7">
        <v>1</v>
      </c>
      <c r="R741" s="6"/>
      <c r="S741" s="1">
        <v>1</v>
      </c>
      <c r="U741" s="1">
        <v>0</v>
      </c>
      <c r="W741" s="1" t="str">
        <f t="shared" si="11"/>
        <v>No</v>
      </c>
    </row>
    <row r="742" spans="1:23" s="1" customFormat="1" ht="11.25">
      <c r="A742" s="2" t="s">
        <v>812</v>
      </c>
      <c r="B742" s="21" t="s">
        <v>1567</v>
      </c>
      <c r="C742" s="26" t="s">
        <v>47</v>
      </c>
      <c r="D742" s="163">
        <v>3109</v>
      </c>
      <c r="E742" s="166">
        <v>30109</v>
      </c>
      <c r="F742" s="92" t="s">
        <v>152</v>
      </c>
      <c r="G742" s="20" t="s">
        <v>1490</v>
      </c>
      <c r="H742" s="18">
        <v>58875</v>
      </c>
      <c r="I742" s="18">
        <v>19</v>
      </c>
      <c r="J742" s="4" t="s">
        <v>12</v>
      </c>
      <c r="K742" s="26" t="s">
        <v>11</v>
      </c>
      <c r="L742" s="172">
        <v>9</v>
      </c>
      <c r="M742" s="6">
        <v>0</v>
      </c>
      <c r="N742" s="6"/>
      <c r="O742" s="6">
        <v>0</v>
      </c>
      <c r="P742" s="6"/>
      <c r="Q742" s="7">
        <v>0</v>
      </c>
      <c r="R742" s="6"/>
      <c r="S742" s="1">
        <v>0</v>
      </c>
      <c r="U742" s="1">
        <v>0</v>
      </c>
      <c r="W742" s="1" t="str">
        <f t="shared" si="11"/>
        <v>No</v>
      </c>
    </row>
    <row r="743" spans="1:23" s="1" customFormat="1" ht="11.25">
      <c r="A743" s="2" t="s">
        <v>584</v>
      </c>
      <c r="B743" s="21" t="s">
        <v>585</v>
      </c>
      <c r="C743" s="26" t="s">
        <v>35</v>
      </c>
      <c r="D743" s="163">
        <v>4023</v>
      </c>
      <c r="E743" s="166">
        <v>40023</v>
      </c>
      <c r="F743" s="92" t="s">
        <v>152</v>
      </c>
      <c r="G743" s="20" t="s">
        <v>149</v>
      </c>
      <c r="H743" s="18">
        <v>386787</v>
      </c>
      <c r="I743" s="18">
        <v>19</v>
      </c>
      <c r="J743" s="4" t="s">
        <v>12</v>
      </c>
      <c r="K743" s="26" t="s">
        <v>15</v>
      </c>
      <c r="L743" s="172">
        <v>12</v>
      </c>
      <c r="M743" s="6">
        <v>1</v>
      </c>
      <c r="N743" s="6"/>
      <c r="O743" s="6">
        <v>0</v>
      </c>
      <c r="P743" s="6"/>
      <c r="Q743" s="7">
        <v>1</v>
      </c>
      <c r="R743" s="6"/>
      <c r="S743" s="1">
        <v>0</v>
      </c>
      <c r="U743" s="1">
        <v>0</v>
      </c>
      <c r="W743" s="1" t="str">
        <f t="shared" si="11"/>
        <v>No</v>
      </c>
    </row>
    <row r="744" spans="1:23" s="1" customFormat="1" ht="11.25">
      <c r="A744" s="2" t="s">
        <v>525</v>
      </c>
      <c r="B744" s="21" t="s">
        <v>526</v>
      </c>
      <c r="C744" s="26" t="s">
        <v>42</v>
      </c>
      <c r="D744" s="163">
        <v>7047</v>
      </c>
      <c r="E744" s="166">
        <v>70047</v>
      </c>
      <c r="F744" s="92" t="s">
        <v>152</v>
      </c>
      <c r="G744" s="20" t="s">
        <v>1490</v>
      </c>
      <c r="H744" s="18">
        <v>1519417</v>
      </c>
      <c r="I744" s="18">
        <v>19</v>
      </c>
      <c r="J744" s="4" t="s">
        <v>12</v>
      </c>
      <c r="K744" s="26" t="s">
        <v>11</v>
      </c>
      <c r="L744" s="172">
        <v>8</v>
      </c>
      <c r="M744" s="6">
        <v>1</v>
      </c>
      <c r="N744" s="6"/>
      <c r="O744" s="6">
        <v>0</v>
      </c>
      <c r="P744" s="6"/>
      <c r="Q744" s="7">
        <v>1</v>
      </c>
      <c r="R744" s="6"/>
      <c r="S744" s="1">
        <v>0</v>
      </c>
      <c r="U744" s="1">
        <v>0</v>
      </c>
      <c r="W744" s="1" t="str">
        <f t="shared" si="11"/>
        <v>No</v>
      </c>
    </row>
    <row r="745" spans="1:23" s="1" customFormat="1" ht="11.25">
      <c r="A745" s="2" t="s">
        <v>582</v>
      </c>
      <c r="B745" s="21" t="s">
        <v>583</v>
      </c>
      <c r="C745" s="26" t="s">
        <v>77</v>
      </c>
      <c r="D745" s="163">
        <v>4194</v>
      </c>
      <c r="E745" s="166">
        <v>40194</v>
      </c>
      <c r="F745" s="92" t="s">
        <v>152</v>
      </c>
      <c r="G745" s="20" t="s">
        <v>1490</v>
      </c>
      <c r="H745" s="18">
        <v>109572</v>
      </c>
      <c r="I745" s="18">
        <v>19</v>
      </c>
      <c r="J745" s="4" t="s">
        <v>12</v>
      </c>
      <c r="K745" s="26" t="s">
        <v>11</v>
      </c>
      <c r="L745" s="172">
        <v>8</v>
      </c>
      <c r="M745" s="6">
        <v>2</v>
      </c>
      <c r="N745" s="6"/>
      <c r="O745" s="6">
        <v>0</v>
      </c>
      <c r="P745" s="6"/>
      <c r="Q745" s="7">
        <v>2</v>
      </c>
      <c r="R745" s="6"/>
      <c r="S745" s="1">
        <v>0</v>
      </c>
      <c r="U745" s="1">
        <v>0</v>
      </c>
      <c r="W745" s="1" t="str">
        <f t="shared" si="11"/>
        <v>No</v>
      </c>
    </row>
    <row r="746" spans="1:23" s="1" customFormat="1" ht="11.25">
      <c r="A746" s="2" t="s">
        <v>1855</v>
      </c>
      <c r="B746" s="21" t="s">
        <v>1024</v>
      </c>
      <c r="C746" s="26" t="s">
        <v>57</v>
      </c>
      <c r="D746" s="163">
        <v>4011</v>
      </c>
      <c r="E746" s="166">
        <v>40011</v>
      </c>
      <c r="F746" s="92" t="s">
        <v>152</v>
      </c>
      <c r="G746" s="20" t="s">
        <v>1490</v>
      </c>
      <c r="H746" s="18">
        <v>166485</v>
      </c>
      <c r="I746" s="18">
        <v>19</v>
      </c>
      <c r="J746" s="4" t="s">
        <v>12</v>
      </c>
      <c r="K746" s="26" t="s">
        <v>11</v>
      </c>
      <c r="L746" s="172">
        <v>12</v>
      </c>
      <c r="M746" s="6">
        <v>1</v>
      </c>
      <c r="N746" s="6"/>
      <c r="O746" s="6">
        <v>0</v>
      </c>
      <c r="P746" s="6"/>
      <c r="Q746" s="7">
        <v>1</v>
      </c>
      <c r="R746" s="6"/>
      <c r="S746" s="1">
        <v>0</v>
      </c>
      <c r="U746" s="1">
        <v>0</v>
      </c>
      <c r="W746" s="1" t="str">
        <f t="shared" si="11"/>
        <v>No</v>
      </c>
    </row>
    <row r="747" spans="1:23" s="1" customFormat="1" ht="11.25">
      <c r="A747" s="2" t="s">
        <v>778</v>
      </c>
      <c r="B747" s="21" t="s">
        <v>236</v>
      </c>
      <c r="C747" s="26" t="s">
        <v>37</v>
      </c>
      <c r="D747" s="163">
        <v>7011</v>
      </c>
      <c r="E747" s="166">
        <v>70011</v>
      </c>
      <c r="F747" s="92" t="s">
        <v>152</v>
      </c>
      <c r="G747" s="20" t="s">
        <v>1490</v>
      </c>
      <c r="H747" s="18">
        <v>67818</v>
      </c>
      <c r="I747" s="18">
        <v>19</v>
      </c>
      <c r="J747" s="4" t="s">
        <v>12</v>
      </c>
      <c r="K747" s="26" t="s">
        <v>11</v>
      </c>
      <c r="L747" s="172">
        <v>11</v>
      </c>
      <c r="M747" s="6">
        <v>1</v>
      </c>
      <c r="N747" s="6"/>
      <c r="O747" s="6">
        <v>0</v>
      </c>
      <c r="P747" s="6"/>
      <c r="Q747" s="7">
        <v>1</v>
      </c>
      <c r="R747" s="6"/>
      <c r="S747" s="1">
        <v>1</v>
      </c>
      <c r="U747" s="1">
        <v>0</v>
      </c>
      <c r="W747" s="1" t="str">
        <f t="shared" si="11"/>
        <v>No</v>
      </c>
    </row>
    <row r="748" spans="1:23" s="1" customFormat="1" ht="11.25">
      <c r="A748" s="2" t="s">
        <v>830</v>
      </c>
      <c r="B748" s="21" t="s">
        <v>831</v>
      </c>
      <c r="C748" s="26" t="s">
        <v>81</v>
      </c>
      <c r="D748" s="163">
        <v>4208</v>
      </c>
      <c r="E748" s="166">
        <v>40208</v>
      </c>
      <c r="F748" s="92" t="s">
        <v>152</v>
      </c>
      <c r="G748" s="20" t="s">
        <v>149</v>
      </c>
      <c r="H748" s="18">
        <v>400492</v>
      </c>
      <c r="I748" s="18">
        <v>19</v>
      </c>
      <c r="J748" s="4" t="s">
        <v>12</v>
      </c>
      <c r="K748" s="26" t="s">
        <v>11</v>
      </c>
      <c r="L748" s="172">
        <v>19</v>
      </c>
      <c r="M748" s="6">
        <v>1</v>
      </c>
      <c r="N748" s="6"/>
      <c r="O748" s="6">
        <v>0</v>
      </c>
      <c r="P748" s="6"/>
      <c r="Q748" s="7">
        <v>1</v>
      </c>
      <c r="R748" s="6"/>
      <c r="S748" s="1">
        <v>0</v>
      </c>
      <c r="U748" s="1">
        <v>0</v>
      </c>
      <c r="W748" s="1" t="str">
        <f t="shared" si="11"/>
        <v>No</v>
      </c>
    </row>
    <row r="749" spans="1:23" s="1" customFormat="1" ht="11.25">
      <c r="A749" s="2" t="s">
        <v>996</v>
      </c>
      <c r="B749" s="21" t="s">
        <v>997</v>
      </c>
      <c r="C749" s="26" t="s">
        <v>58</v>
      </c>
      <c r="D749" s="163">
        <v>8008</v>
      </c>
      <c r="E749" s="166">
        <v>80008</v>
      </c>
      <c r="F749" s="92" t="s">
        <v>152</v>
      </c>
      <c r="G749" s="20" t="s">
        <v>149</v>
      </c>
      <c r="H749" s="18">
        <v>61270</v>
      </c>
      <c r="I749" s="18">
        <v>19</v>
      </c>
      <c r="J749" s="4" t="s">
        <v>12</v>
      </c>
      <c r="K749" s="26" t="s">
        <v>11</v>
      </c>
      <c r="L749" s="172">
        <v>8</v>
      </c>
      <c r="M749" s="6">
        <v>1</v>
      </c>
      <c r="N749" s="6"/>
      <c r="O749" s="6">
        <v>0</v>
      </c>
      <c r="P749" s="6"/>
      <c r="Q749" s="7">
        <v>1</v>
      </c>
      <c r="R749" s="6"/>
      <c r="S749" s="1">
        <v>0</v>
      </c>
      <c r="U749" s="1">
        <v>0</v>
      </c>
      <c r="W749" s="1" t="str">
        <f t="shared" si="11"/>
        <v>No</v>
      </c>
    </row>
    <row r="750" spans="1:23" s="1" customFormat="1" ht="11.25">
      <c r="A750" s="2" t="s">
        <v>845</v>
      </c>
      <c r="B750" s="21" t="s">
        <v>257</v>
      </c>
      <c r="C750" s="26" t="s">
        <v>44</v>
      </c>
      <c r="D750" s="163">
        <v>6038</v>
      </c>
      <c r="E750" s="166">
        <v>60038</v>
      </c>
      <c r="F750" s="92" t="s">
        <v>152</v>
      </c>
      <c r="G750" s="20" t="s">
        <v>149</v>
      </c>
      <c r="H750" s="18">
        <v>252720</v>
      </c>
      <c r="I750" s="18">
        <v>19</v>
      </c>
      <c r="J750" s="4" t="s">
        <v>12</v>
      </c>
      <c r="K750" s="26" t="s">
        <v>11</v>
      </c>
      <c r="L750" s="172">
        <v>13</v>
      </c>
      <c r="M750" s="6">
        <v>1</v>
      </c>
      <c r="N750" s="6"/>
      <c r="O750" s="6">
        <v>0</v>
      </c>
      <c r="P750" s="6"/>
      <c r="Q750" s="7">
        <v>1</v>
      </c>
      <c r="R750" s="6"/>
      <c r="S750" s="1">
        <v>1</v>
      </c>
      <c r="U750" s="1">
        <v>0</v>
      </c>
      <c r="W750" s="1" t="str">
        <f t="shared" si="11"/>
        <v>No</v>
      </c>
    </row>
    <row r="751" spans="1:23" s="1" customFormat="1" ht="11.25">
      <c r="A751" s="2" t="s">
        <v>664</v>
      </c>
      <c r="B751" s="21" t="s">
        <v>665</v>
      </c>
      <c r="C751" s="26" t="s">
        <v>45</v>
      </c>
      <c r="D751" s="163">
        <v>1053</v>
      </c>
      <c r="E751" s="166">
        <v>10053</v>
      </c>
      <c r="F751" s="92" t="s">
        <v>160</v>
      </c>
      <c r="G751" s="20" t="s">
        <v>149</v>
      </c>
      <c r="H751" s="18">
        <v>4181019</v>
      </c>
      <c r="I751" s="18">
        <v>19</v>
      </c>
      <c r="J751" s="4" t="s">
        <v>12</v>
      </c>
      <c r="K751" s="26" t="s">
        <v>15</v>
      </c>
      <c r="L751" s="172">
        <v>11</v>
      </c>
      <c r="M751" s="6">
        <v>0</v>
      </c>
      <c r="N751" s="6"/>
      <c r="O751" s="6">
        <v>0</v>
      </c>
      <c r="P751" s="6"/>
      <c r="Q751" s="7">
        <v>0</v>
      </c>
      <c r="R751" s="6"/>
      <c r="S751" s="1">
        <v>0</v>
      </c>
      <c r="U751" s="1">
        <v>0</v>
      </c>
      <c r="W751" s="1" t="str">
        <f t="shared" si="11"/>
        <v>No</v>
      </c>
    </row>
    <row r="752" spans="1:23" s="1" customFormat="1" ht="11.25">
      <c r="A752" s="2" t="s">
        <v>1016</v>
      </c>
      <c r="B752" s="21" t="s">
        <v>245</v>
      </c>
      <c r="C752" s="26" t="s">
        <v>81</v>
      </c>
      <c r="D752" s="163">
        <v>4053</v>
      </c>
      <c r="E752" s="166">
        <v>40053</v>
      </c>
      <c r="F752" s="92" t="s">
        <v>160</v>
      </c>
      <c r="G752" s="20" t="s">
        <v>149</v>
      </c>
      <c r="H752" s="18">
        <v>400492</v>
      </c>
      <c r="I752" s="18">
        <v>19</v>
      </c>
      <c r="J752" s="4" t="s">
        <v>12</v>
      </c>
      <c r="K752" s="26" t="s">
        <v>11</v>
      </c>
      <c r="L752" s="172">
        <v>15</v>
      </c>
      <c r="M752" s="6">
        <v>1</v>
      </c>
      <c r="N752" s="6"/>
      <c r="O752" s="6">
        <v>0</v>
      </c>
      <c r="P752" s="6"/>
      <c r="Q752" s="7">
        <v>1</v>
      </c>
      <c r="R752" s="6"/>
      <c r="S752" s="1">
        <v>0</v>
      </c>
      <c r="U752" s="1">
        <v>0</v>
      </c>
      <c r="W752" s="1" t="str">
        <f t="shared" si="11"/>
        <v>No</v>
      </c>
    </row>
    <row r="753" spans="1:23" s="1" customFormat="1" ht="11.25">
      <c r="A753" s="2" t="s">
        <v>582</v>
      </c>
      <c r="B753" s="21" t="s">
        <v>583</v>
      </c>
      <c r="C753" s="26" t="s">
        <v>77</v>
      </c>
      <c r="D753" s="163">
        <v>4194</v>
      </c>
      <c r="E753" s="166">
        <v>40194</v>
      </c>
      <c r="F753" s="92" t="s">
        <v>152</v>
      </c>
      <c r="G753" s="20" t="s">
        <v>1490</v>
      </c>
      <c r="H753" s="18">
        <v>109572</v>
      </c>
      <c r="I753" s="18">
        <v>19</v>
      </c>
      <c r="J753" s="4" t="s">
        <v>12</v>
      </c>
      <c r="K753" s="26" t="s">
        <v>15</v>
      </c>
      <c r="L753" s="172">
        <v>8</v>
      </c>
      <c r="M753" s="6">
        <v>2</v>
      </c>
      <c r="N753" s="6"/>
      <c r="O753" s="6">
        <v>0</v>
      </c>
      <c r="P753" s="6"/>
      <c r="Q753" s="7">
        <v>2</v>
      </c>
      <c r="R753" s="6"/>
      <c r="S753" s="1">
        <v>0</v>
      </c>
      <c r="U753" s="1">
        <v>0</v>
      </c>
      <c r="W753" s="1" t="str">
        <f t="shared" si="11"/>
        <v>No</v>
      </c>
    </row>
    <row r="754" spans="1:23" s="1" customFormat="1" ht="11.25">
      <c r="A754" s="2" t="s">
        <v>1122</v>
      </c>
      <c r="B754" s="21" t="s">
        <v>1123</v>
      </c>
      <c r="C754" s="26" t="s">
        <v>95</v>
      </c>
      <c r="D754" s="163">
        <v>3003</v>
      </c>
      <c r="E754" s="166">
        <v>30003</v>
      </c>
      <c r="F754" s="92" t="s">
        <v>160</v>
      </c>
      <c r="G754" s="20" t="s">
        <v>1490</v>
      </c>
      <c r="H754" s="18">
        <v>67229</v>
      </c>
      <c r="I754" s="18">
        <v>19</v>
      </c>
      <c r="J754" s="4" t="s">
        <v>12</v>
      </c>
      <c r="K754" s="26" t="s">
        <v>11</v>
      </c>
      <c r="L754" s="172">
        <v>18</v>
      </c>
      <c r="M754" s="6">
        <v>1</v>
      </c>
      <c r="N754" s="6"/>
      <c r="O754" s="6">
        <v>0</v>
      </c>
      <c r="P754" s="6"/>
      <c r="Q754" s="7">
        <v>1</v>
      </c>
      <c r="R754" s="6"/>
      <c r="S754" s="1">
        <v>1</v>
      </c>
      <c r="U754" s="1">
        <v>0</v>
      </c>
      <c r="W754" s="1" t="str">
        <f t="shared" si="11"/>
        <v>No</v>
      </c>
    </row>
    <row r="755" spans="1:23" s="1" customFormat="1" ht="11.25">
      <c r="A755" s="2" t="s">
        <v>1441</v>
      </c>
      <c r="B755" s="21" t="s">
        <v>1442</v>
      </c>
      <c r="C755" s="26" t="s">
        <v>9</v>
      </c>
      <c r="D755" s="163">
        <v>45</v>
      </c>
      <c r="E755" s="166">
        <v>45</v>
      </c>
      <c r="F755" s="92" t="s">
        <v>152</v>
      </c>
      <c r="G755" s="20" t="s">
        <v>1490</v>
      </c>
      <c r="H755" s="18">
        <v>64513</v>
      </c>
      <c r="I755" s="18">
        <v>18</v>
      </c>
      <c r="J755" s="4" t="s">
        <v>21</v>
      </c>
      <c r="K755" s="26" t="s">
        <v>11</v>
      </c>
      <c r="L755" s="172">
        <v>1</v>
      </c>
      <c r="M755" s="6">
        <v>0</v>
      </c>
      <c r="N755" s="6"/>
      <c r="O755" s="6">
        <v>0</v>
      </c>
      <c r="P755" s="6"/>
      <c r="Q755" s="7">
        <v>0</v>
      </c>
      <c r="R755" s="6"/>
      <c r="S755" s="1">
        <v>0</v>
      </c>
      <c r="U755" s="1">
        <v>0</v>
      </c>
      <c r="W755" s="1" t="str">
        <f t="shared" si="11"/>
        <v>No</v>
      </c>
    </row>
    <row r="756" spans="1:23" s="1" customFormat="1" ht="11.25">
      <c r="A756" s="2" t="s">
        <v>1103</v>
      </c>
      <c r="B756" s="21" t="s">
        <v>1104</v>
      </c>
      <c r="C756" s="26" t="s">
        <v>28</v>
      </c>
      <c r="D756" s="163">
        <v>8016</v>
      </c>
      <c r="E756" s="166">
        <v>80016</v>
      </c>
      <c r="F756" s="92" t="s">
        <v>152</v>
      </c>
      <c r="G756" s="20" t="s">
        <v>1490</v>
      </c>
      <c r="H756" s="18">
        <v>128124</v>
      </c>
      <c r="I756" s="18">
        <v>18</v>
      </c>
      <c r="J756" s="4" t="s">
        <v>12</v>
      </c>
      <c r="K756" s="26" t="s">
        <v>15</v>
      </c>
      <c r="L756" s="172">
        <v>12</v>
      </c>
      <c r="M756" s="6">
        <v>2</v>
      </c>
      <c r="N756" s="6"/>
      <c r="O756" s="6">
        <v>0</v>
      </c>
      <c r="P756" s="6"/>
      <c r="Q756" s="7">
        <v>2</v>
      </c>
      <c r="R756" s="6"/>
      <c r="S756" s="1">
        <v>1</v>
      </c>
      <c r="U756" s="1">
        <v>0</v>
      </c>
      <c r="W756" s="1" t="str">
        <f t="shared" si="11"/>
        <v>No</v>
      </c>
    </row>
    <row r="757" spans="1:23" s="1" customFormat="1" ht="11.25">
      <c r="A757" s="2" t="s">
        <v>589</v>
      </c>
      <c r="B757" s="21" t="s">
        <v>590</v>
      </c>
      <c r="C757" s="26" t="s">
        <v>84</v>
      </c>
      <c r="D757" s="163">
        <v>6016</v>
      </c>
      <c r="E757" s="166">
        <v>60016</v>
      </c>
      <c r="F757" s="92" t="s">
        <v>152</v>
      </c>
      <c r="G757" s="20" t="s">
        <v>149</v>
      </c>
      <c r="H757" s="18">
        <v>147922</v>
      </c>
      <c r="I757" s="18">
        <v>18</v>
      </c>
      <c r="J757" s="4" t="s">
        <v>12</v>
      </c>
      <c r="K757" s="26" t="s">
        <v>15</v>
      </c>
      <c r="L757" s="172">
        <v>12</v>
      </c>
      <c r="M757" s="6">
        <v>0</v>
      </c>
      <c r="N757" s="6"/>
      <c r="O757" s="6">
        <v>0</v>
      </c>
      <c r="P757" s="6"/>
      <c r="Q757" s="7">
        <v>0</v>
      </c>
      <c r="R757" s="6"/>
      <c r="S757" s="1">
        <v>0</v>
      </c>
      <c r="U757" s="1">
        <v>0</v>
      </c>
      <c r="W757" s="1" t="str">
        <f t="shared" si="11"/>
        <v>No</v>
      </c>
    </row>
    <row r="758" spans="1:23" s="1" customFormat="1" ht="11.25">
      <c r="A758" s="2" t="s">
        <v>1190</v>
      </c>
      <c r="B758" s="21" t="s">
        <v>365</v>
      </c>
      <c r="C758" s="26" t="s">
        <v>86</v>
      </c>
      <c r="D758" s="163">
        <v>3009</v>
      </c>
      <c r="E758" s="166">
        <v>30009</v>
      </c>
      <c r="F758" s="92" t="s">
        <v>152</v>
      </c>
      <c r="G758" s="20" t="s">
        <v>1490</v>
      </c>
      <c r="H758" s="18">
        <v>953556</v>
      </c>
      <c r="I758" s="18">
        <v>18</v>
      </c>
      <c r="J758" s="4" t="s">
        <v>12</v>
      </c>
      <c r="K758" s="26" t="s">
        <v>11</v>
      </c>
      <c r="L758" s="172">
        <v>12</v>
      </c>
      <c r="M758" s="6">
        <v>1</v>
      </c>
      <c r="N758" s="6"/>
      <c r="O758" s="6">
        <v>0</v>
      </c>
      <c r="P758" s="6"/>
      <c r="Q758" s="7">
        <v>1</v>
      </c>
      <c r="R758" s="6"/>
      <c r="S758" s="1">
        <v>1</v>
      </c>
      <c r="U758" s="1">
        <v>0</v>
      </c>
      <c r="W758" s="1" t="str">
        <f t="shared" si="11"/>
        <v>No</v>
      </c>
    </row>
    <row r="759" spans="1:23" s="1" customFormat="1" ht="11.25">
      <c r="A759" s="2" t="s">
        <v>1441</v>
      </c>
      <c r="B759" s="21" t="s">
        <v>1442</v>
      </c>
      <c r="C759" s="26" t="s">
        <v>9</v>
      </c>
      <c r="D759" s="163">
        <v>45</v>
      </c>
      <c r="E759" s="166">
        <v>45</v>
      </c>
      <c r="F759" s="92" t="s">
        <v>152</v>
      </c>
      <c r="G759" s="20" t="s">
        <v>1490</v>
      </c>
      <c r="H759" s="18">
        <v>64513</v>
      </c>
      <c r="I759" s="18">
        <v>18</v>
      </c>
      <c r="J759" s="4" t="s">
        <v>12</v>
      </c>
      <c r="K759" s="26" t="s">
        <v>11</v>
      </c>
      <c r="L759" s="172">
        <v>10</v>
      </c>
      <c r="M759" s="6">
        <v>1</v>
      </c>
      <c r="N759" s="6"/>
      <c r="O759" s="6">
        <v>0</v>
      </c>
      <c r="P759" s="6"/>
      <c r="Q759" s="7">
        <v>1</v>
      </c>
      <c r="R759" s="6"/>
      <c r="S759" s="1">
        <v>0</v>
      </c>
      <c r="U759" s="1">
        <v>0</v>
      </c>
      <c r="W759" s="1" t="str">
        <f t="shared" si="11"/>
        <v>No</v>
      </c>
    </row>
    <row r="760" spans="1:23" s="1" customFormat="1" ht="11.25">
      <c r="A760" s="2" t="s">
        <v>723</v>
      </c>
      <c r="B760" s="21" t="s">
        <v>724</v>
      </c>
      <c r="C760" s="26" t="s">
        <v>71</v>
      </c>
      <c r="D760" s="163">
        <v>5198</v>
      </c>
      <c r="E760" s="166">
        <v>50198</v>
      </c>
      <c r="F760" s="92" t="s">
        <v>152</v>
      </c>
      <c r="G760" s="20" t="s">
        <v>149</v>
      </c>
      <c r="H760" s="18">
        <v>1780673</v>
      </c>
      <c r="I760" s="18">
        <v>18</v>
      </c>
      <c r="J760" s="4" t="s">
        <v>12</v>
      </c>
      <c r="K760" s="26" t="s">
        <v>11</v>
      </c>
      <c r="L760" s="172">
        <v>6</v>
      </c>
      <c r="M760" s="6">
        <v>0</v>
      </c>
      <c r="N760" s="6"/>
      <c r="O760" s="6">
        <v>0</v>
      </c>
      <c r="P760" s="6"/>
      <c r="Q760" s="7">
        <v>0</v>
      </c>
      <c r="R760" s="6"/>
      <c r="S760" s="1">
        <v>0</v>
      </c>
      <c r="U760" s="1">
        <v>0</v>
      </c>
      <c r="W760" s="1" t="str">
        <f t="shared" si="11"/>
        <v>No</v>
      </c>
    </row>
    <row r="761" spans="1:23" s="1" customFormat="1" ht="11.25">
      <c r="A761" s="2" t="s">
        <v>1453</v>
      </c>
      <c r="B761" s="21" t="s">
        <v>1454</v>
      </c>
      <c r="C761" s="26" t="s">
        <v>74</v>
      </c>
      <c r="D761" s="163">
        <v>46</v>
      </c>
      <c r="E761" s="166">
        <v>46</v>
      </c>
      <c r="F761" s="92" t="s">
        <v>152</v>
      </c>
      <c r="G761" s="20" t="s">
        <v>149</v>
      </c>
      <c r="H761" s="18">
        <v>1849898</v>
      </c>
      <c r="I761" s="18">
        <v>18</v>
      </c>
      <c r="J761" s="4" t="s">
        <v>12</v>
      </c>
      <c r="K761" s="26" t="s">
        <v>11</v>
      </c>
      <c r="L761" s="172">
        <v>12</v>
      </c>
      <c r="M761" s="6">
        <v>0</v>
      </c>
      <c r="N761" s="6"/>
      <c r="O761" s="6">
        <v>0</v>
      </c>
      <c r="P761" s="6"/>
      <c r="Q761" s="7">
        <v>0</v>
      </c>
      <c r="R761" s="6"/>
      <c r="S761" s="1">
        <v>0</v>
      </c>
      <c r="U761" s="1">
        <v>0</v>
      </c>
      <c r="W761" s="1" t="str">
        <f t="shared" si="11"/>
        <v>No</v>
      </c>
    </row>
    <row r="762" spans="1:23" s="1" customFormat="1" ht="11.25">
      <c r="A762" s="2" t="s">
        <v>795</v>
      </c>
      <c r="B762" s="21" t="s">
        <v>796</v>
      </c>
      <c r="C762" s="26" t="s">
        <v>16</v>
      </c>
      <c r="D762" s="163">
        <v>9034</v>
      </c>
      <c r="E762" s="166">
        <v>90034</v>
      </c>
      <c r="F762" s="92" t="s">
        <v>152</v>
      </c>
      <c r="G762" s="20" t="s">
        <v>149</v>
      </c>
      <c r="H762" s="18">
        <v>3629114</v>
      </c>
      <c r="I762" s="18">
        <v>18</v>
      </c>
      <c r="J762" s="4" t="s">
        <v>12</v>
      </c>
      <c r="K762" s="26" t="s">
        <v>11</v>
      </c>
      <c r="L762" s="172">
        <v>3</v>
      </c>
      <c r="M762" s="6">
        <v>1</v>
      </c>
      <c r="N762" s="6"/>
      <c r="O762" s="6">
        <v>0</v>
      </c>
      <c r="P762" s="6"/>
      <c r="Q762" s="7">
        <v>1</v>
      </c>
      <c r="R762" s="6"/>
      <c r="S762" s="1">
        <v>0</v>
      </c>
      <c r="U762" s="1">
        <v>0</v>
      </c>
      <c r="W762" s="1" t="str">
        <f t="shared" si="11"/>
        <v>No</v>
      </c>
    </row>
    <row r="763" spans="1:23" s="1" customFormat="1" ht="11.25">
      <c r="A763" s="2" t="s">
        <v>896</v>
      </c>
      <c r="B763" s="21" t="s">
        <v>897</v>
      </c>
      <c r="C763" s="26" t="s">
        <v>19</v>
      </c>
      <c r="D763" s="163">
        <v>9161</v>
      </c>
      <c r="E763" s="166">
        <v>90161</v>
      </c>
      <c r="F763" s="92" t="s">
        <v>152</v>
      </c>
      <c r="G763" s="20" t="s">
        <v>1490</v>
      </c>
      <c r="H763" s="18">
        <v>3281212</v>
      </c>
      <c r="I763" s="18">
        <v>18</v>
      </c>
      <c r="J763" s="4" t="s">
        <v>12</v>
      </c>
      <c r="K763" s="26" t="s">
        <v>15</v>
      </c>
      <c r="L763" s="172">
        <v>13</v>
      </c>
      <c r="M763" s="6">
        <v>1</v>
      </c>
      <c r="N763" s="6"/>
      <c r="O763" s="6">
        <v>0</v>
      </c>
      <c r="P763" s="6"/>
      <c r="Q763" s="7">
        <v>1</v>
      </c>
      <c r="R763" s="6"/>
      <c r="S763" s="1">
        <v>0</v>
      </c>
      <c r="U763" s="1">
        <v>0</v>
      </c>
      <c r="W763" s="1" t="str">
        <f t="shared" si="11"/>
        <v>No</v>
      </c>
    </row>
    <row r="764" spans="1:23" s="1" customFormat="1" ht="11.25">
      <c r="A764" s="2" t="s">
        <v>459</v>
      </c>
      <c r="B764" s="21" t="s">
        <v>294</v>
      </c>
      <c r="C764" s="26" t="s">
        <v>83</v>
      </c>
      <c r="D764" s="163">
        <v>4170</v>
      </c>
      <c r="E764" s="166">
        <v>40170</v>
      </c>
      <c r="F764" s="92" t="s">
        <v>348</v>
      </c>
      <c r="G764" s="20" t="s">
        <v>1490</v>
      </c>
      <c r="H764" s="18">
        <v>66777</v>
      </c>
      <c r="I764" s="18">
        <v>18</v>
      </c>
      <c r="J764" s="4" t="s">
        <v>12</v>
      </c>
      <c r="K764" s="26" t="s">
        <v>11</v>
      </c>
      <c r="L764" s="172">
        <v>7</v>
      </c>
      <c r="M764" s="6">
        <v>1</v>
      </c>
      <c r="N764" s="6"/>
      <c r="O764" s="6">
        <v>0</v>
      </c>
      <c r="P764" s="6"/>
      <c r="Q764" s="7">
        <v>1</v>
      </c>
      <c r="R764" s="6"/>
      <c r="S764" s="1">
        <v>0</v>
      </c>
      <c r="U764" s="1">
        <v>0</v>
      </c>
      <c r="W764" s="1" t="str">
        <f t="shared" si="11"/>
        <v>No</v>
      </c>
    </row>
    <row r="765" spans="1:23" s="1" customFormat="1" ht="11.25">
      <c r="A765" s="2" t="s">
        <v>577</v>
      </c>
      <c r="B765" s="21" t="s">
        <v>578</v>
      </c>
      <c r="C765" s="26" t="s">
        <v>57</v>
      </c>
      <c r="D765" s="163">
        <v>4005</v>
      </c>
      <c r="E765" s="166">
        <v>40005</v>
      </c>
      <c r="F765" s="92" t="s">
        <v>152</v>
      </c>
      <c r="G765" s="20" t="s">
        <v>149</v>
      </c>
      <c r="H765" s="18">
        <v>280648</v>
      </c>
      <c r="I765" s="18">
        <v>17</v>
      </c>
      <c r="J765" s="4" t="s">
        <v>12</v>
      </c>
      <c r="K765" s="26" t="s">
        <v>11</v>
      </c>
      <c r="L765" s="172">
        <v>17</v>
      </c>
      <c r="M765" s="6">
        <v>1</v>
      </c>
      <c r="N765" s="6"/>
      <c r="O765" s="6">
        <v>0</v>
      </c>
      <c r="P765" s="6"/>
      <c r="Q765" s="7">
        <v>1</v>
      </c>
      <c r="R765" s="6"/>
      <c r="S765" s="1">
        <v>0</v>
      </c>
      <c r="U765" s="1">
        <v>0</v>
      </c>
      <c r="W765" s="1" t="str">
        <f t="shared" si="11"/>
        <v>No</v>
      </c>
    </row>
    <row r="766" spans="1:23" s="1" customFormat="1" ht="11.25">
      <c r="A766" s="2" t="s">
        <v>1402</v>
      </c>
      <c r="B766" s="21" t="s">
        <v>1403</v>
      </c>
      <c r="C766" s="26" t="s">
        <v>39</v>
      </c>
      <c r="D766" s="163">
        <v>5159</v>
      </c>
      <c r="E766" s="166">
        <v>50159</v>
      </c>
      <c r="F766" s="92" t="s">
        <v>152</v>
      </c>
      <c r="G766" s="20" t="s">
        <v>149</v>
      </c>
      <c r="H766" s="18">
        <v>81926</v>
      </c>
      <c r="I766" s="18">
        <v>17</v>
      </c>
      <c r="J766" s="4" t="s">
        <v>21</v>
      </c>
      <c r="K766" s="26" t="s">
        <v>15</v>
      </c>
      <c r="L766" s="172">
        <v>2</v>
      </c>
      <c r="M766" s="6">
        <v>0</v>
      </c>
      <c r="N766" s="6"/>
      <c r="O766" s="6">
        <v>0</v>
      </c>
      <c r="P766" s="6"/>
      <c r="Q766" s="7">
        <v>0</v>
      </c>
      <c r="R766" s="6"/>
      <c r="S766" s="1">
        <v>0</v>
      </c>
      <c r="U766" s="1">
        <v>0</v>
      </c>
      <c r="W766" s="1" t="str">
        <f t="shared" si="11"/>
        <v>No</v>
      </c>
    </row>
    <row r="767" spans="1:23" s="1" customFormat="1" ht="11.25">
      <c r="A767" s="2" t="s">
        <v>1267</v>
      </c>
      <c r="B767" s="21" t="s">
        <v>1268</v>
      </c>
      <c r="C767" s="26" t="s">
        <v>19</v>
      </c>
      <c r="D767" s="163">
        <v>9050</v>
      </c>
      <c r="E767" s="166">
        <v>90050</v>
      </c>
      <c r="F767" s="92" t="s">
        <v>152</v>
      </c>
      <c r="G767" s="20" t="s">
        <v>1490</v>
      </c>
      <c r="H767" s="18">
        <v>125206</v>
      </c>
      <c r="I767" s="18">
        <v>17</v>
      </c>
      <c r="J767" s="4" t="s">
        <v>12</v>
      </c>
      <c r="K767" s="26" t="s">
        <v>11</v>
      </c>
      <c r="L767" s="172">
        <v>6</v>
      </c>
      <c r="M767" s="6">
        <v>0</v>
      </c>
      <c r="N767" s="6"/>
      <c r="O767" s="6">
        <v>0</v>
      </c>
      <c r="P767" s="6"/>
      <c r="Q767" s="7">
        <v>0</v>
      </c>
      <c r="R767" s="6"/>
      <c r="S767" s="1">
        <v>0</v>
      </c>
      <c r="U767" s="1">
        <v>0</v>
      </c>
      <c r="W767" s="1" t="str">
        <f t="shared" si="11"/>
        <v>No</v>
      </c>
    </row>
    <row r="768" spans="1:23" s="1" customFormat="1" ht="11.25">
      <c r="A768" s="2" t="s">
        <v>180</v>
      </c>
      <c r="B768" s="21" t="s">
        <v>181</v>
      </c>
      <c r="C768" s="26" t="s">
        <v>54</v>
      </c>
      <c r="D768" s="163">
        <v>7043</v>
      </c>
      <c r="E768" s="166">
        <v>70043</v>
      </c>
      <c r="F768" s="92" t="s">
        <v>152</v>
      </c>
      <c r="G768" s="20" t="s">
        <v>1490</v>
      </c>
      <c r="H768" s="18">
        <v>58533</v>
      </c>
      <c r="I768" s="18">
        <v>17</v>
      </c>
      <c r="J768" s="4" t="s">
        <v>12</v>
      </c>
      <c r="K768" s="26" t="s">
        <v>11</v>
      </c>
      <c r="L768" s="172">
        <v>9</v>
      </c>
      <c r="M768" s="6">
        <v>1</v>
      </c>
      <c r="N768" s="6"/>
      <c r="O768" s="6">
        <v>0</v>
      </c>
      <c r="P768" s="6"/>
      <c r="Q768" s="7">
        <v>1</v>
      </c>
      <c r="R768" s="6"/>
      <c r="S768" s="1">
        <v>0</v>
      </c>
      <c r="U768" s="1">
        <v>0</v>
      </c>
      <c r="W768" s="1" t="str">
        <f t="shared" si="11"/>
        <v>No</v>
      </c>
    </row>
    <row r="769" spans="1:23" s="1" customFormat="1" ht="11.25">
      <c r="A769" s="2" t="s">
        <v>1402</v>
      </c>
      <c r="B769" s="21" t="s">
        <v>1403</v>
      </c>
      <c r="C769" s="26" t="s">
        <v>39</v>
      </c>
      <c r="D769" s="163">
        <v>5159</v>
      </c>
      <c r="E769" s="166">
        <v>50159</v>
      </c>
      <c r="F769" s="92" t="s">
        <v>152</v>
      </c>
      <c r="G769" s="20" t="s">
        <v>149</v>
      </c>
      <c r="H769" s="18">
        <v>81926</v>
      </c>
      <c r="I769" s="18">
        <v>17</v>
      </c>
      <c r="J769" s="4" t="s">
        <v>12</v>
      </c>
      <c r="K769" s="26" t="s">
        <v>15</v>
      </c>
      <c r="L769" s="172">
        <v>13</v>
      </c>
      <c r="M769" s="6">
        <v>0</v>
      </c>
      <c r="N769" s="6"/>
      <c r="O769" s="6">
        <v>0</v>
      </c>
      <c r="P769" s="6"/>
      <c r="Q769" s="7">
        <v>0</v>
      </c>
      <c r="R769" s="6"/>
      <c r="S769" s="1">
        <v>0</v>
      </c>
      <c r="U769" s="1">
        <v>0</v>
      </c>
      <c r="W769" s="1" t="str">
        <f t="shared" si="11"/>
        <v>No</v>
      </c>
    </row>
    <row r="770" spans="1:23" s="1" customFormat="1" ht="11.25">
      <c r="A770" s="2" t="s">
        <v>531</v>
      </c>
      <c r="B770" s="21" t="s">
        <v>532</v>
      </c>
      <c r="C770" s="26" t="s">
        <v>84</v>
      </c>
      <c r="D770" s="163">
        <v>6113</v>
      </c>
      <c r="E770" s="166">
        <v>60113</v>
      </c>
      <c r="F770" s="92" t="s">
        <v>152</v>
      </c>
      <c r="G770" s="20" t="s">
        <v>1490</v>
      </c>
      <c r="H770" s="18">
        <v>5121892</v>
      </c>
      <c r="I770" s="18">
        <v>17</v>
      </c>
      <c r="J770" s="4" t="s">
        <v>21</v>
      </c>
      <c r="K770" s="26" t="s">
        <v>11</v>
      </c>
      <c r="L770" s="172">
        <v>3</v>
      </c>
      <c r="M770" s="6">
        <v>6</v>
      </c>
      <c r="N770" s="6"/>
      <c r="O770" s="6">
        <v>0</v>
      </c>
      <c r="P770" s="6"/>
      <c r="Q770" s="7">
        <v>6</v>
      </c>
      <c r="R770" s="6"/>
      <c r="S770" s="1">
        <v>1</v>
      </c>
      <c r="U770" s="1">
        <v>0</v>
      </c>
      <c r="W770" s="1" t="str">
        <f t="shared" ref="W770:W833" si="12">IF(V770&amp;T770&amp;R770&amp;P770&amp;N770&lt;&gt;"","Yes","No")</f>
        <v>No</v>
      </c>
    </row>
    <row r="771" spans="1:23" s="1" customFormat="1" ht="11.25">
      <c r="A771" s="2" t="s">
        <v>1090</v>
      </c>
      <c r="B771" s="21" t="s">
        <v>271</v>
      </c>
      <c r="C771" s="26" t="s">
        <v>61</v>
      </c>
      <c r="D771" s="163">
        <v>1002</v>
      </c>
      <c r="E771" s="166">
        <v>10002</v>
      </c>
      <c r="F771" s="92" t="s">
        <v>160</v>
      </c>
      <c r="G771" s="20" t="s">
        <v>1490</v>
      </c>
      <c r="H771" s="18">
        <v>158377</v>
      </c>
      <c r="I771" s="18">
        <v>17</v>
      </c>
      <c r="J771" s="4" t="s">
        <v>12</v>
      </c>
      <c r="K771" s="26" t="s">
        <v>11</v>
      </c>
      <c r="L771" s="172">
        <v>13</v>
      </c>
      <c r="M771" s="6">
        <v>0</v>
      </c>
      <c r="N771" s="6"/>
      <c r="O771" s="6">
        <v>0</v>
      </c>
      <c r="P771" s="6"/>
      <c r="Q771" s="7">
        <v>0</v>
      </c>
      <c r="R771" s="6"/>
      <c r="S771" s="1">
        <v>0</v>
      </c>
      <c r="U771" s="1">
        <v>0</v>
      </c>
      <c r="W771" s="1" t="str">
        <f t="shared" si="12"/>
        <v>No</v>
      </c>
    </row>
    <row r="772" spans="1:23" s="1" customFormat="1" ht="11.25">
      <c r="A772" s="2" t="s">
        <v>123</v>
      </c>
      <c r="B772" s="21" t="s">
        <v>652</v>
      </c>
      <c r="C772" s="26" t="s">
        <v>77</v>
      </c>
      <c r="D772" s="163">
        <v>4201</v>
      </c>
      <c r="E772" s="166">
        <v>40201</v>
      </c>
      <c r="F772" s="92" t="s">
        <v>152</v>
      </c>
      <c r="G772" s="20" t="s">
        <v>1490</v>
      </c>
      <c r="H772" s="18">
        <v>2148346</v>
      </c>
      <c r="I772" s="18">
        <v>17</v>
      </c>
      <c r="J772" s="4" t="s">
        <v>12</v>
      </c>
      <c r="K772" s="26" t="s">
        <v>11</v>
      </c>
      <c r="L772" s="172">
        <v>14</v>
      </c>
      <c r="M772" s="6">
        <v>1</v>
      </c>
      <c r="N772" s="6"/>
      <c r="O772" s="6">
        <v>0</v>
      </c>
      <c r="P772" s="6"/>
      <c r="Q772" s="7">
        <v>1</v>
      </c>
      <c r="R772" s="6"/>
      <c r="S772" s="1">
        <v>0</v>
      </c>
      <c r="U772" s="1">
        <v>0</v>
      </c>
      <c r="W772" s="1" t="str">
        <f t="shared" si="12"/>
        <v>No</v>
      </c>
    </row>
    <row r="773" spans="1:23" s="1" customFormat="1" ht="11.25">
      <c r="A773" s="2" t="s">
        <v>904</v>
      </c>
      <c r="B773" s="21" t="s">
        <v>306</v>
      </c>
      <c r="C773" s="26" t="s">
        <v>32</v>
      </c>
      <c r="D773" s="163">
        <v>4232</v>
      </c>
      <c r="E773" s="166">
        <v>40232</v>
      </c>
      <c r="F773" s="92" t="s">
        <v>269</v>
      </c>
      <c r="G773" s="20" t="s">
        <v>149</v>
      </c>
      <c r="H773" s="18">
        <v>1510516</v>
      </c>
      <c r="I773" s="18">
        <v>17</v>
      </c>
      <c r="J773" s="4" t="s">
        <v>20</v>
      </c>
      <c r="K773" s="26" t="s">
        <v>15</v>
      </c>
      <c r="L773" s="172">
        <v>17</v>
      </c>
      <c r="M773" s="6">
        <v>12</v>
      </c>
      <c r="N773" s="6"/>
      <c r="O773" s="6">
        <v>0</v>
      </c>
      <c r="P773" s="6"/>
      <c r="Q773" s="7">
        <v>12</v>
      </c>
      <c r="R773" s="6"/>
      <c r="S773" s="1">
        <v>0</v>
      </c>
      <c r="U773" s="1">
        <v>0</v>
      </c>
      <c r="W773" s="1" t="str">
        <f t="shared" si="12"/>
        <v>No</v>
      </c>
    </row>
    <row r="774" spans="1:23" s="1" customFormat="1" ht="11.25">
      <c r="A774" s="2" t="s">
        <v>1021</v>
      </c>
      <c r="B774" s="21" t="s">
        <v>1022</v>
      </c>
      <c r="C774" s="26" t="s">
        <v>40</v>
      </c>
      <c r="D774" s="163">
        <v>5149</v>
      </c>
      <c r="E774" s="166">
        <v>50149</v>
      </c>
      <c r="F774" s="92" t="s">
        <v>188</v>
      </c>
      <c r="G774" s="20" t="s">
        <v>149</v>
      </c>
      <c r="H774" s="18">
        <v>143592</v>
      </c>
      <c r="I774" s="18">
        <v>16</v>
      </c>
      <c r="J774" s="4" t="s">
        <v>12</v>
      </c>
      <c r="K774" s="26" t="s">
        <v>15</v>
      </c>
      <c r="L774" s="172">
        <v>8</v>
      </c>
      <c r="M774" s="6">
        <v>0</v>
      </c>
      <c r="N774" s="6"/>
      <c r="O774" s="6">
        <v>0</v>
      </c>
      <c r="P774" s="6"/>
      <c r="Q774" s="7">
        <v>0</v>
      </c>
      <c r="R774" s="6"/>
      <c r="S774" s="1">
        <v>0</v>
      </c>
      <c r="U774" s="1">
        <v>0</v>
      </c>
      <c r="W774" s="1" t="str">
        <f t="shared" si="12"/>
        <v>No</v>
      </c>
    </row>
    <row r="775" spans="1:23" s="1" customFormat="1" ht="11.25">
      <c r="A775" s="2" t="s">
        <v>393</v>
      </c>
      <c r="B775" s="21" t="s">
        <v>394</v>
      </c>
      <c r="C775" s="26" t="s">
        <v>19</v>
      </c>
      <c r="D775" s="163">
        <v>9213</v>
      </c>
      <c r="E775" s="166">
        <v>90213</v>
      </c>
      <c r="F775" s="92" t="s">
        <v>152</v>
      </c>
      <c r="G775" s="20" t="s">
        <v>149</v>
      </c>
      <c r="H775" s="18">
        <v>64078</v>
      </c>
      <c r="I775" s="18">
        <v>16</v>
      </c>
      <c r="J775" s="4" t="s">
        <v>12</v>
      </c>
      <c r="K775" s="26" t="s">
        <v>15</v>
      </c>
      <c r="L775" s="172">
        <v>9</v>
      </c>
      <c r="M775" s="6">
        <v>0</v>
      </c>
      <c r="N775" s="6"/>
      <c r="O775" s="6">
        <v>0</v>
      </c>
      <c r="P775" s="6"/>
      <c r="Q775" s="7">
        <v>0</v>
      </c>
      <c r="R775" s="6"/>
      <c r="S775" s="1">
        <v>0</v>
      </c>
      <c r="U775" s="1">
        <v>0</v>
      </c>
      <c r="W775" s="1" t="str">
        <f t="shared" si="12"/>
        <v>No</v>
      </c>
    </row>
    <row r="776" spans="1:23" s="1" customFormat="1" ht="11.25">
      <c r="A776" s="2" t="s">
        <v>799</v>
      </c>
      <c r="B776" s="21" t="s">
        <v>800</v>
      </c>
      <c r="C776" s="26" t="s">
        <v>39</v>
      </c>
      <c r="D776" s="163">
        <v>5204</v>
      </c>
      <c r="E776" s="166">
        <v>50204</v>
      </c>
      <c r="F776" s="92" t="s">
        <v>160</v>
      </c>
      <c r="G776" s="20" t="s">
        <v>149</v>
      </c>
      <c r="H776" s="18">
        <v>67821</v>
      </c>
      <c r="I776" s="18">
        <v>16</v>
      </c>
      <c r="J776" s="4" t="s">
        <v>12</v>
      </c>
      <c r="K776" s="26" t="s">
        <v>11</v>
      </c>
      <c r="L776" s="172">
        <v>16</v>
      </c>
      <c r="M776" s="6">
        <v>0</v>
      </c>
      <c r="N776" s="6"/>
      <c r="O776" s="6">
        <v>0</v>
      </c>
      <c r="P776" s="6"/>
      <c r="Q776" s="7">
        <v>0</v>
      </c>
      <c r="R776" s="6"/>
      <c r="S776" s="1">
        <v>0</v>
      </c>
      <c r="U776" s="1">
        <v>0</v>
      </c>
      <c r="W776" s="1" t="str">
        <f t="shared" si="12"/>
        <v>No</v>
      </c>
    </row>
    <row r="777" spans="1:23" s="1" customFormat="1" ht="11.25">
      <c r="A777" s="2" t="s">
        <v>1712</v>
      </c>
      <c r="B777" s="21" t="s">
        <v>1713</v>
      </c>
      <c r="C777" s="26" t="s">
        <v>19</v>
      </c>
      <c r="D777" s="163"/>
      <c r="E777" s="166">
        <v>90247</v>
      </c>
      <c r="F777" s="92" t="s">
        <v>152</v>
      </c>
      <c r="G777" s="20" t="s">
        <v>1490</v>
      </c>
      <c r="H777" s="18">
        <v>12150996</v>
      </c>
      <c r="I777" s="18">
        <v>16</v>
      </c>
      <c r="J777" s="4" t="s">
        <v>12</v>
      </c>
      <c r="K777" s="26" t="s">
        <v>15</v>
      </c>
      <c r="L777" s="172">
        <v>8</v>
      </c>
      <c r="M777" s="6">
        <v>0</v>
      </c>
      <c r="N777" s="6"/>
      <c r="O777" s="6">
        <v>0</v>
      </c>
      <c r="P777" s="6"/>
      <c r="Q777" s="7">
        <v>0</v>
      </c>
      <c r="R777" s="6"/>
      <c r="S777" s="1">
        <v>0</v>
      </c>
      <c r="U777" s="1">
        <v>0</v>
      </c>
      <c r="W777" s="1" t="str">
        <f t="shared" si="12"/>
        <v>No</v>
      </c>
    </row>
    <row r="778" spans="1:23" s="1" customFormat="1" ht="11.25">
      <c r="A778" s="2" t="s">
        <v>1172</v>
      </c>
      <c r="B778" s="21" t="s">
        <v>1173</v>
      </c>
      <c r="C778" s="26" t="s">
        <v>95</v>
      </c>
      <c r="D778" s="163">
        <v>3035</v>
      </c>
      <c r="E778" s="166">
        <v>30035</v>
      </c>
      <c r="F778" s="92" t="s">
        <v>160</v>
      </c>
      <c r="G778" s="20" t="s">
        <v>149</v>
      </c>
      <c r="H778" s="18">
        <v>81249</v>
      </c>
      <c r="I778" s="18">
        <v>16</v>
      </c>
      <c r="J778" s="4" t="s">
        <v>12</v>
      </c>
      <c r="K778" s="26" t="s">
        <v>11</v>
      </c>
      <c r="L778" s="172">
        <v>14</v>
      </c>
      <c r="M778" s="6">
        <v>1</v>
      </c>
      <c r="N778" s="6"/>
      <c r="O778" s="6">
        <v>0</v>
      </c>
      <c r="P778" s="6"/>
      <c r="Q778" s="7">
        <v>1</v>
      </c>
      <c r="R778" s="6"/>
      <c r="S778" s="1">
        <v>2</v>
      </c>
      <c r="U778" s="1">
        <v>0</v>
      </c>
      <c r="W778" s="1" t="str">
        <f t="shared" si="12"/>
        <v>No</v>
      </c>
    </row>
    <row r="779" spans="1:23" s="1" customFormat="1" ht="11.25">
      <c r="A779" s="2" t="s">
        <v>1212</v>
      </c>
      <c r="B779" s="21" t="s">
        <v>1213</v>
      </c>
      <c r="C779" s="26" t="s">
        <v>69</v>
      </c>
      <c r="D779" s="163">
        <v>2096</v>
      </c>
      <c r="E779" s="166">
        <v>20096</v>
      </c>
      <c r="F779" s="92" t="s">
        <v>152</v>
      </c>
      <c r="G779" s="20" t="s">
        <v>149</v>
      </c>
      <c r="H779" s="18">
        <v>18351295</v>
      </c>
      <c r="I779" s="18">
        <v>16</v>
      </c>
      <c r="J779" s="4" t="s">
        <v>12</v>
      </c>
      <c r="K779" s="26" t="s">
        <v>15</v>
      </c>
      <c r="L779" s="172">
        <v>8</v>
      </c>
      <c r="M779" s="6">
        <v>0</v>
      </c>
      <c r="N779" s="6"/>
      <c r="O779" s="6">
        <v>0</v>
      </c>
      <c r="P779" s="6"/>
      <c r="Q779" s="7">
        <v>0</v>
      </c>
      <c r="R779" s="6"/>
      <c r="S779" s="1">
        <v>0</v>
      </c>
      <c r="U779" s="1">
        <v>0</v>
      </c>
      <c r="W779" s="1" t="str">
        <f t="shared" si="12"/>
        <v>No</v>
      </c>
    </row>
    <row r="780" spans="1:23" s="1" customFormat="1" ht="11.25">
      <c r="A780" s="2" t="s">
        <v>801</v>
      </c>
      <c r="B780" s="21" t="s">
        <v>802</v>
      </c>
      <c r="C780" s="26" t="s">
        <v>52</v>
      </c>
      <c r="D780" s="163">
        <v>5205</v>
      </c>
      <c r="E780" s="166">
        <v>50205</v>
      </c>
      <c r="F780" s="92" t="s">
        <v>152</v>
      </c>
      <c r="G780" s="20" t="s">
        <v>1490</v>
      </c>
      <c r="H780" s="18">
        <v>57584</v>
      </c>
      <c r="I780" s="18">
        <v>16</v>
      </c>
      <c r="J780" s="4" t="s">
        <v>12</v>
      </c>
      <c r="K780" s="26" t="s">
        <v>11</v>
      </c>
      <c r="L780" s="172">
        <v>14</v>
      </c>
      <c r="M780" s="6">
        <v>0</v>
      </c>
      <c r="N780" s="6"/>
      <c r="O780" s="6">
        <v>0</v>
      </c>
      <c r="P780" s="6"/>
      <c r="Q780" s="7">
        <v>0</v>
      </c>
      <c r="R780" s="6"/>
      <c r="S780" s="1">
        <v>0</v>
      </c>
      <c r="U780" s="1">
        <v>0</v>
      </c>
      <c r="W780" s="1" t="str">
        <f t="shared" si="12"/>
        <v>No</v>
      </c>
    </row>
    <row r="781" spans="1:23" s="1" customFormat="1" ht="11.25">
      <c r="A781" s="2" t="s">
        <v>657</v>
      </c>
      <c r="B781" s="21" t="s">
        <v>658</v>
      </c>
      <c r="C781" s="26" t="s">
        <v>19</v>
      </c>
      <c r="D781" s="163">
        <v>9163</v>
      </c>
      <c r="E781" s="166">
        <v>90163</v>
      </c>
      <c r="F781" s="92" t="s">
        <v>152</v>
      </c>
      <c r="G781" s="20" t="s">
        <v>1490</v>
      </c>
      <c r="H781" s="18">
        <v>71772</v>
      </c>
      <c r="I781" s="18">
        <v>16</v>
      </c>
      <c r="J781" s="4" t="s">
        <v>12</v>
      </c>
      <c r="K781" s="26" t="s">
        <v>15</v>
      </c>
      <c r="L781" s="172">
        <v>2</v>
      </c>
      <c r="M781" s="6">
        <v>0</v>
      </c>
      <c r="N781" s="6"/>
      <c r="O781" s="6">
        <v>0</v>
      </c>
      <c r="P781" s="6"/>
      <c r="Q781" s="7">
        <v>0</v>
      </c>
      <c r="R781" s="6"/>
      <c r="S781" s="1">
        <v>0</v>
      </c>
      <c r="U781" s="1">
        <v>0</v>
      </c>
      <c r="W781" s="1" t="str">
        <f t="shared" si="12"/>
        <v>No</v>
      </c>
    </row>
    <row r="782" spans="1:23" s="1" customFormat="1" ht="11.25">
      <c r="A782" s="2" t="s">
        <v>241</v>
      </c>
      <c r="B782" s="21" t="s">
        <v>210</v>
      </c>
      <c r="C782" s="26" t="s">
        <v>19</v>
      </c>
      <c r="D782" s="163">
        <v>9199</v>
      </c>
      <c r="E782" s="166">
        <v>90199</v>
      </c>
      <c r="F782" s="92" t="s">
        <v>152</v>
      </c>
      <c r="G782" s="20" t="s">
        <v>1490</v>
      </c>
      <c r="H782" s="18">
        <v>78413</v>
      </c>
      <c r="I782" s="18">
        <v>16</v>
      </c>
      <c r="J782" s="4" t="s">
        <v>12</v>
      </c>
      <c r="K782" s="26" t="s">
        <v>15</v>
      </c>
      <c r="L782" s="172">
        <v>7</v>
      </c>
      <c r="M782" s="6">
        <v>1</v>
      </c>
      <c r="N782" s="6"/>
      <c r="O782" s="6">
        <v>0</v>
      </c>
      <c r="P782" s="6"/>
      <c r="Q782" s="7">
        <v>1</v>
      </c>
      <c r="R782" s="6"/>
      <c r="S782" s="1">
        <v>0</v>
      </c>
      <c r="U782" s="1">
        <v>0</v>
      </c>
      <c r="W782" s="1" t="str">
        <f t="shared" si="12"/>
        <v>No</v>
      </c>
    </row>
    <row r="783" spans="1:23" s="1" customFormat="1" ht="11.25">
      <c r="A783" s="2" t="s">
        <v>1124</v>
      </c>
      <c r="B783" s="21" t="s">
        <v>860</v>
      </c>
      <c r="C783" s="26" t="s">
        <v>29</v>
      </c>
      <c r="D783" s="163">
        <v>1063</v>
      </c>
      <c r="E783" s="166">
        <v>10063</v>
      </c>
      <c r="F783" s="92" t="s">
        <v>160</v>
      </c>
      <c r="G783" s="20" t="s">
        <v>149</v>
      </c>
      <c r="H783" s="18">
        <v>924859</v>
      </c>
      <c r="I783" s="18">
        <v>16</v>
      </c>
      <c r="J783" s="4" t="s">
        <v>12</v>
      </c>
      <c r="K783" s="26" t="s">
        <v>11</v>
      </c>
      <c r="L783" s="172">
        <v>9</v>
      </c>
      <c r="M783" s="6">
        <v>1</v>
      </c>
      <c r="N783" s="6"/>
      <c r="O783" s="6">
        <v>0</v>
      </c>
      <c r="P783" s="6"/>
      <c r="Q783" s="7">
        <v>1</v>
      </c>
      <c r="R783" s="6"/>
      <c r="S783" s="1">
        <v>0</v>
      </c>
      <c r="U783" s="1">
        <v>0</v>
      </c>
      <c r="W783" s="1" t="str">
        <f t="shared" si="12"/>
        <v>No</v>
      </c>
    </row>
    <row r="784" spans="1:23" s="1" customFormat="1" ht="11.25">
      <c r="A784" s="2" t="s">
        <v>775</v>
      </c>
      <c r="B784" s="21" t="s">
        <v>291</v>
      </c>
      <c r="C784" s="26" t="s">
        <v>74</v>
      </c>
      <c r="D784" s="163">
        <v>58</v>
      </c>
      <c r="E784" s="166">
        <v>58</v>
      </c>
      <c r="F784" s="92" t="s">
        <v>152</v>
      </c>
      <c r="G784" s="20" t="s">
        <v>149</v>
      </c>
      <c r="H784" s="18">
        <v>1849898</v>
      </c>
      <c r="I784" s="18">
        <v>16</v>
      </c>
      <c r="J784" s="4" t="s">
        <v>33</v>
      </c>
      <c r="K784" s="26" t="s">
        <v>15</v>
      </c>
      <c r="L784" s="172">
        <v>14</v>
      </c>
      <c r="M784" s="6">
        <v>2</v>
      </c>
      <c r="N784" s="6"/>
      <c r="O784" s="6">
        <v>0</v>
      </c>
      <c r="P784" s="6"/>
      <c r="Q784" s="7">
        <v>2</v>
      </c>
      <c r="R784" s="6"/>
      <c r="S784" s="1">
        <v>0</v>
      </c>
      <c r="U784" s="1">
        <v>0</v>
      </c>
      <c r="W784" s="1" t="str">
        <f t="shared" si="12"/>
        <v>No</v>
      </c>
    </row>
    <row r="785" spans="1:23" s="1" customFormat="1" ht="11.25">
      <c r="A785" s="2" t="s">
        <v>846</v>
      </c>
      <c r="B785" s="21" t="s">
        <v>558</v>
      </c>
      <c r="C785" s="26" t="s">
        <v>19</v>
      </c>
      <c r="D785" s="163">
        <v>9175</v>
      </c>
      <c r="E785" s="166">
        <v>90175</v>
      </c>
      <c r="F785" s="92" t="s">
        <v>152</v>
      </c>
      <c r="G785" s="20" t="s">
        <v>1490</v>
      </c>
      <c r="H785" s="18">
        <v>68738</v>
      </c>
      <c r="I785" s="18">
        <v>16</v>
      </c>
      <c r="J785" s="4" t="s">
        <v>12</v>
      </c>
      <c r="K785" s="26" t="s">
        <v>15</v>
      </c>
      <c r="L785" s="172">
        <v>8</v>
      </c>
      <c r="M785" s="6">
        <v>1</v>
      </c>
      <c r="N785" s="6"/>
      <c r="O785" s="6">
        <v>0</v>
      </c>
      <c r="P785" s="6"/>
      <c r="Q785" s="7">
        <v>1</v>
      </c>
      <c r="R785" s="6"/>
      <c r="S785" s="1">
        <v>2</v>
      </c>
      <c r="U785" s="1">
        <v>0</v>
      </c>
      <c r="W785" s="1" t="str">
        <f t="shared" si="12"/>
        <v>No</v>
      </c>
    </row>
    <row r="786" spans="1:23" s="1" customFormat="1" ht="11.25">
      <c r="A786" s="2" t="s">
        <v>504</v>
      </c>
      <c r="B786" s="21" t="s">
        <v>328</v>
      </c>
      <c r="C786" s="26" t="s">
        <v>43</v>
      </c>
      <c r="D786" s="163">
        <v>4184</v>
      </c>
      <c r="E786" s="166">
        <v>40184</v>
      </c>
      <c r="F786" s="92" t="s">
        <v>152</v>
      </c>
      <c r="G786" s="20" t="s">
        <v>1490</v>
      </c>
      <c r="H786" s="18">
        <v>78306</v>
      </c>
      <c r="I786" s="18">
        <v>16</v>
      </c>
      <c r="J786" s="4" t="s">
        <v>12</v>
      </c>
      <c r="K786" s="26" t="s">
        <v>11</v>
      </c>
      <c r="L786" s="172">
        <v>7</v>
      </c>
      <c r="M786" s="6">
        <v>0</v>
      </c>
      <c r="N786" s="6"/>
      <c r="O786" s="6">
        <v>0</v>
      </c>
      <c r="P786" s="6"/>
      <c r="Q786" s="7">
        <v>0</v>
      </c>
      <c r="R786" s="6"/>
      <c r="S786" s="1">
        <v>0</v>
      </c>
      <c r="U786" s="1">
        <v>0</v>
      </c>
      <c r="W786" s="1" t="str">
        <f t="shared" si="12"/>
        <v>No</v>
      </c>
    </row>
    <row r="787" spans="1:23" s="1" customFormat="1" ht="11.25">
      <c r="A787" s="2" t="s">
        <v>1718</v>
      </c>
      <c r="B787" s="21" t="s">
        <v>1719</v>
      </c>
      <c r="C787" s="26" t="s">
        <v>19</v>
      </c>
      <c r="D787" s="163"/>
      <c r="E787" s="166">
        <v>90263</v>
      </c>
      <c r="F787" s="92" t="s">
        <v>152</v>
      </c>
      <c r="G787" s="20" t="s">
        <v>1490</v>
      </c>
      <c r="H787" s="18">
        <v>12150996</v>
      </c>
      <c r="I787" s="18">
        <v>16</v>
      </c>
      <c r="J787" s="4" t="s">
        <v>12</v>
      </c>
      <c r="K787" s="26" t="s">
        <v>15</v>
      </c>
      <c r="L787" s="172">
        <v>6</v>
      </c>
      <c r="M787" s="6">
        <v>1</v>
      </c>
      <c r="N787" s="6"/>
      <c r="O787" s="6">
        <v>0</v>
      </c>
      <c r="P787" s="6"/>
      <c r="Q787" s="7">
        <v>1</v>
      </c>
      <c r="R787" s="6"/>
      <c r="S787" s="1">
        <v>0</v>
      </c>
      <c r="U787" s="1">
        <v>0</v>
      </c>
      <c r="W787" s="1" t="str">
        <f t="shared" si="12"/>
        <v>No</v>
      </c>
    </row>
    <row r="788" spans="1:23" s="1" customFormat="1" ht="11.25">
      <c r="A788" s="2" t="s">
        <v>1042</v>
      </c>
      <c r="B788" s="21" t="s">
        <v>1043</v>
      </c>
      <c r="C788" s="26" t="s">
        <v>92</v>
      </c>
      <c r="D788" s="163">
        <v>5108</v>
      </c>
      <c r="E788" s="166">
        <v>50108</v>
      </c>
      <c r="F788" s="92" t="s">
        <v>152</v>
      </c>
      <c r="G788" s="20" t="s">
        <v>1490</v>
      </c>
      <c r="H788" s="18">
        <v>69658</v>
      </c>
      <c r="I788" s="18">
        <v>16</v>
      </c>
      <c r="J788" s="4" t="s">
        <v>12</v>
      </c>
      <c r="K788" s="26" t="s">
        <v>11</v>
      </c>
      <c r="L788" s="172">
        <v>14</v>
      </c>
      <c r="M788" s="6">
        <v>1</v>
      </c>
      <c r="N788" s="6"/>
      <c r="O788" s="6">
        <v>0</v>
      </c>
      <c r="P788" s="6"/>
      <c r="Q788" s="7">
        <v>1</v>
      </c>
      <c r="R788" s="6"/>
      <c r="S788" s="1">
        <v>0</v>
      </c>
      <c r="U788" s="1">
        <v>0</v>
      </c>
      <c r="W788" s="1" t="str">
        <f t="shared" si="12"/>
        <v>No</v>
      </c>
    </row>
    <row r="789" spans="1:23" s="1" customFormat="1" ht="11.25">
      <c r="A789" s="2" t="s">
        <v>1641</v>
      </c>
      <c r="B789" s="21" t="s">
        <v>1669</v>
      </c>
      <c r="C789" s="26" t="s">
        <v>95</v>
      </c>
      <c r="D789" s="163"/>
      <c r="E789" s="166">
        <v>30199</v>
      </c>
      <c r="F789" s="92" t="s">
        <v>160</v>
      </c>
      <c r="G789" s="20" t="s">
        <v>1490</v>
      </c>
      <c r="H789" s="18">
        <v>64022</v>
      </c>
      <c r="I789" s="18">
        <v>16</v>
      </c>
      <c r="J789" s="4" t="s">
        <v>12</v>
      </c>
      <c r="K789" s="26" t="s">
        <v>15</v>
      </c>
      <c r="L789" s="172">
        <v>16</v>
      </c>
      <c r="M789" s="6">
        <v>0</v>
      </c>
      <c r="N789" s="6"/>
      <c r="O789" s="6">
        <v>0</v>
      </c>
      <c r="P789" s="6"/>
      <c r="Q789" s="7">
        <v>0</v>
      </c>
      <c r="R789" s="6"/>
      <c r="S789" s="1">
        <v>0</v>
      </c>
      <c r="U789" s="1">
        <v>0</v>
      </c>
      <c r="W789" s="1" t="str">
        <f t="shared" si="12"/>
        <v>No</v>
      </c>
    </row>
    <row r="790" spans="1:23" s="1" customFormat="1" ht="11.25">
      <c r="A790" s="2" t="s">
        <v>861</v>
      </c>
      <c r="B790" s="21" t="s">
        <v>192</v>
      </c>
      <c r="C790" s="26" t="s">
        <v>44</v>
      </c>
      <c r="D790" s="163">
        <v>6026</v>
      </c>
      <c r="E790" s="166">
        <v>60026</v>
      </c>
      <c r="F790" s="92" t="s">
        <v>152</v>
      </c>
      <c r="G790" s="20" t="s">
        <v>1490</v>
      </c>
      <c r="H790" s="18">
        <v>116533</v>
      </c>
      <c r="I790" s="18">
        <v>16</v>
      </c>
      <c r="J790" s="4" t="s">
        <v>12</v>
      </c>
      <c r="K790" s="26" t="s">
        <v>11</v>
      </c>
      <c r="L790" s="172">
        <v>13</v>
      </c>
      <c r="M790" s="6">
        <v>1</v>
      </c>
      <c r="N790" s="6"/>
      <c r="O790" s="6">
        <v>0</v>
      </c>
      <c r="P790" s="6"/>
      <c r="Q790" s="7">
        <v>1</v>
      </c>
      <c r="R790" s="6"/>
      <c r="S790" s="1">
        <v>0</v>
      </c>
      <c r="U790" s="1">
        <v>0</v>
      </c>
      <c r="W790" s="1" t="str">
        <f t="shared" si="12"/>
        <v>No</v>
      </c>
    </row>
    <row r="791" spans="1:23" s="1" customFormat="1" ht="11.25">
      <c r="A791" s="2" t="s">
        <v>775</v>
      </c>
      <c r="B791" s="21" t="s">
        <v>291</v>
      </c>
      <c r="C791" s="26" t="s">
        <v>74</v>
      </c>
      <c r="D791" s="163">
        <v>58</v>
      </c>
      <c r="E791" s="166">
        <v>58</v>
      </c>
      <c r="F791" s="92" t="s">
        <v>152</v>
      </c>
      <c r="G791" s="20" t="s">
        <v>149</v>
      </c>
      <c r="H791" s="18">
        <v>1849898</v>
      </c>
      <c r="I791" s="18">
        <v>16</v>
      </c>
      <c r="J791" s="4" t="s">
        <v>122</v>
      </c>
      <c r="K791" s="26" t="s">
        <v>15</v>
      </c>
      <c r="L791" s="172">
        <v>2</v>
      </c>
      <c r="M791" s="6">
        <v>2</v>
      </c>
      <c r="N791" s="6"/>
      <c r="O791" s="6">
        <v>0</v>
      </c>
      <c r="P791" s="6"/>
      <c r="Q791" s="7">
        <v>2</v>
      </c>
      <c r="R791" s="6"/>
      <c r="S791" s="1">
        <v>1</v>
      </c>
      <c r="U791" s="1">
        <v>0</v>
      </c>
      <c r="W791" s="1" t="str">
        <f t="shared" si="12"/>
        <v>No</v>
      </c>
    </row>
    <row r="792" spans="1:23" s="1" customFormat="1" ht="11.25">
      <c r="A792" s="2" t="s">
        <v>1174</v>
      </c>
      <c r="B792" s="21" t="s">
        <v>1175</v>
      </c>
      <c r="C792" s="26" t="s">
        <v>62</v>
      </c>
      <c r="D792" s="163">
        <v>2165</v>
      </c>
      <c r="E792" s="166">
        <v>20165</v>
      </c>
      <c r="F792" s="92" t="s">
        <v>148</v>
      </c>
      <c r="G792" s="20" t="s">
        <v>1490</v>
      </c>
      <c r="H792" s="18">
        <v>18351295</v>
      </c>
      <c r="I792" s="18">
        <v>16</v>
      </c>
      <c r="J792" s="4" t="s">
        <v>21</v>
      </c>
      <c r="K792" s="26" t="s">
        <v>11</v>
      </c>
      <c r="L792" s="172">
        <v>16</v>
      </c>
      <c r="M792" s="6">
        <v>5</v>
      </c>
      <c r="N792" s="6"/>
      <c r="O792" s="6">
        <v>2</v>
      </c>
      <c r="P792" s="6"/>
      <c r="Q792" s="7">
        <v>7</v>
      </c>
      <c r="R792" s="6"/>
      <c r="S792" s="1">
        <v>3</v>
      </c>
      <c r="U792" s="1">
        <v>3</v>
      </c>
      <c r="W792" s="1" t="str">
        <f t="shared" si="12"/>
        <v>No</v>
      </c>
    </row>
    <row r="793" spans="1:23" s="1" customFormat="1" ht="11.25">
      <c r="A793" s="2" t="s">
        <v>1038</v>
      </c>
      <c r="B793" s="21" t="s">
        <v>209</v>
      </c>
      <c r="C793" s="26" t="s">
        <v>83</v>
      </c>
      <c r="D793" s="163">
        <v>4057</v>
      </c>
      <c r="E793" s="166">
        <v>40057</v>
      </c>
      <c r="F793" s="92" t="s">
        <v>160</v>
      </c>
      <c r="G793" s="20" t="s">
        <v>149</v>
      </c>
      <c r="H793" s="18">
        <v>71880</v>
      </c>
      <c r="I793" s="18">
        <v>16</v>
      </c>
      <c r="J793" s="4" t="s">
        <v>12</v>
      </c>
      <c r="K793" s="26" t="s">
        <v>11</v>
      </c>
      <c r="L793" s="172">
        <v>9</v>
      </c>
      <c r="M793" s="6">
        <v>1</v>
      </c>
      <c r="N793" s="6"/>
      <c r="O793" s="6">
        <v>0</v>
      </c>
      <c r="P793" s="6"/>
      <c r="Q793" s="7">
        <v>1</v>
      </c>
      <c r="R793" s="6"/>
      <c r="S793" s="1">
        <v>0</v>
      </c>
      <c r="U793" s="1">
        <v>0</v>
      </c>
      <c r="W793" s="1" t="str">
        <f t="shared" si="12"/>
        <v>No</v>
      </c>
    </row>
    <row r="794" spans="1:23" s="1" customFormat="1" ht="11.25">
      <c r="A794" s="2" t="s">
        <v>1225</v>
      </c>
      <c r="B794" s="21" t="s">
        <v>277</v>
      </c>
      <c r="C794" s="26" t="s">
        <v>71</v>
      </c>
      <c r="D794" s="163">
        <v>5090</v>
      </c>
      <c r="E794" s="166">
        <v>50090</v>
      </c>
      <c r="F794" s="92" t="s">
        <v>160</v>
      </c>
      <c r="G794" s="20" t="s">
        <v>1490</v>
      </c>
      <c r="H794" s="18">
        <v>75250</v>
      </c>
      <c r="I794" s="18">
        <v>16</v>
      </c>
      <c r="J794" s="4" t="s">
        <v>12</v>
      </c>
      <c r="K794" s="26" t="s">
        <v>15</v>
      </c>
      <c r="L794" s="172">
        <v>10</v>
      </c>
      <c r="M794" s="6">
        <v>1</v>
      </c>
      <c r="N794" s="6"/>
      <c r="O794" s="6">
        <v>0</v>
      </c>
      <c r="P794" s="6"/>
      <c r="Q794" s="7">
        <v>1</v>
      </c>
      <c r="R794" s="6"/>
      <c r="S794" s="1">
        <v>0</v>
      </c>
      <c r="U794" s="1">
        <v>0</v>
      </c>
      <c r="W794" s="1" t="str">
        <f t="shared" si="12"/>
        <v>No</v>
      </c>
    </row>
    <row r="795" spans="1:23" s="1" customFormat="1" ht="11.25">
      <c r="A795" s="2" t="s">
        <v>1722</v>
      </c>
      <c r="B795" s="21" t="s">
        <v>1723</v>
      </c>
      <c r="C795" s="26" t="s">
        <v>19</v>
      </c>
      <c r="D795" s="163"/>
      <c r="E795" s="166">
        <v>90259</v>
      </c>
      <c r="F795" s="92" t="s">
        <v>152</v>
      </c>
      <c r="G795" s="20" t="s">
        <v>1490</v>
      </c>
      <c r="H795" s="18">
        <v>12150996</v>
      </c>
      <c r="I795" s="18">
        <v>16</v>
      </c>
      <c r="J795" s="4" t="s">
        <v>12</v>
      </c>
      <c r="K795" s="26" t="s">
        <v>15</v>
      </c>
      <c r="L795" s="172">
        <v>6</v>
      </c>
      <c r="M795" s="6">
        <v>0</v>
      </c>
      <c r="N795" s="6"/>
      <c r="O795" s="6">
        <v>0</v>
      </c>
      <c r="P795" s="6"/>
      <c r="Q795" s="7">
        <v>0</v>
      </c>
      <c r="R795" s="6"/>
      <c r="S795" s="1">
        <v>0</v>
      </c>
      <c r="U795" s="1">
        <v>0</v>
      </c>
      <c r="W795" s="1" t="str">
        <f t="shared" si="12"/>
        <v>No</v>
      </c>
    </row>
    <row r="796" spans="1:23" s="1" customFormat="1" ht="11.25">
      <c r="A796" s="2" t="s">
        <v>1296</v>
      </c>
      <c r="B796" s="21" t="s">
        <v>284</v>
      </c>
      <c r="C796" s="26" t="s">
        <v>54</v>
      </c>
      <c r="D796" s="163">
        <v>7032</v>
      </c>
      <c r="E796" s="166">
        <v>70032</v>
      </c>
      <c r="F796" s="92" t="s">
        <v>152</v>
      </c>
      <c r="G796" s="20" t="s">
        <v>1490</v>
      </c>
      <c r="H796" s="18">
        <v>81176</v>
      </c>
      <c r="I796" s="18">
        <v>16</v>
      </c>
      <c r="J796" s="4" t="s">
        <v>12</v>
      </c>
      <c r="K796" s="26" t="s">
        <v>11</v>
      </c>
      <c r="L796" s="172">
        <v>16</v>
      </c>
      <c r="M796" s="6">
        <v>3</v>
      </c>
      <c r="N796" s="6"/>
      <c r="O796" s="6">
        <v>0</v>
      </c>
      <c r="P796" s="6"/>
      <c r="Q796" s="7">
        <v>3</v>
      </c>
      <c r="R796" s="6"/>
      <c r="S796" s="1">
        <v>0</v>
      </c>
      <c r="U796" s="1">
        <v>0</v>
      </c>
      <c r="W796" s="1" t="str">
        <f t="shared" si="12"/>
        <v>No</v>
      </c>
    </row>
    <row r="797" spans="1:23" s="1" customFormat="1" ht="11.25">
      <c r="A797" s="2" t="s">
        <v>952</v>
      </c>
      <c r="B797" s="21" t="s">
        <v>654</v>
      </c>
      <c r="C797" s="26" t="s">
        <v>37</v>
      </c>
      <c r="D797" s="163">
        <v>7009</v>
      </c>
      <c r="E797" s="166">
        <v>70009</v>
      </c>
      <c r="F797" s="92" t="s">
        <v>152</v>
      </c>
      <c r="G797" s="20" t="s">
        <v>1490</v>
      </c>
      <c r="H797" s="18">
        <v>280051</v>
      </c>
      <c r="I797" s="18">
        <v>15</v>
      </c>
      <c r="J797" s="4" t="s">
        <v>12</v>
      </c>
      <c r="K797" s="26" t="s">
        <v>11</v>
      </c>
      <c r="L797" s="172">
        <v>15</v>
      </c>
      <c r="M797" s="6">
        <v>1</v>
      </c>
      <c r="N797" s="6"/>
      <c r="O797" s="6">
        <v>0</v>
      </c>
      <c r="P797" s="6"/>
      <c r="Q797" s="7">
        <v>1</v>
      </c>
      <c r="R797" s="6"/>
      <c r="S797" s="1">
        <v>0</v>
      </c>
      <c r="U797" s="1">
        <v>0</v>
      </c>
      <c r="W797" s="1" t="str">
        <f t="shared" si="12"/>
        <v>No</v>
      </c>
    </row>
    <row r="798" spans="1:23" s="1" customFormat="1" ht="11.25">
      <c r="A798" s="2" t="s">
        <v>741</v>
      </c>
      <c r="B798" s="21" t="s">
        <v>255</v>
      </c>
      <c r="C798" s="26" t="s">
        <v>40</v>
      </c>
      <c r="D798" s="163">
        <v>5041</v>
      </c>
      <c r="E798" s="166">
        <v>50041</v>
      </c>
      <c r="F798" s="92" t="s">
        <v>152</v>
      </c>
      <c r="G798" s="20" t="s">
        <v>1490</v>
      </c>
      <c r="H798" s="18">
        <v>88133</v>
      </c>
      <c r="I798" s="18">
        <v>15</v>
      </c>
      <c r="J798" s="4" t="s">
        <v>12</v>
      </c>
      <c r="K798" s="26" t="s">
        <v>11</v>
      </c>
      <c r="L798" s="172">
        <v>7</v>
      </c>
      <c r="M798" s="6">
        <v>1</v>
      </c>
      <c r="N798" s="6"/>
      <c r="O798" s="6">
        <v>0</v>
      </c>
      <c r="P798" s="6"/>
      <c r="Q798" s="7">
        <v>1</v>
      </c>
      <c r="R798" s="6"/>
      <c r="S798" s="1">
        <v>0</v>
      </c>
      <c r="U798" s="1">
        <v>0</v>
      </c>
      <c r="W798" s="1" t="str">
        <f t="shared" si="12"/>
        <v>No</v>
      </c>
    </row>
    <row r="799" spans="1:23" s="1" customFormat="1" ht="11.25">
      <c r="A799" s="2" t="s">
        <v>773</v>
      </c>
      <c r="B799" s="21" t="s">
        <v>774</v>
      </c>
      <c r="C799" s="26" t="s">
        <v>19</v>
      </c>
      <c r="D799" s="163">
        <v>9052</v>
      </c>
      <c r="E799" s="166">
        <v>90052</v>
      </c>
      <c r="F799" s="92" t="s">
        <v>152</v>
      </c>
      <c r="G799" s="20" t="s">
        <v>1490</v>
      </c>
      <c r="H799" s="18">
        <v>1932666</v>
      </c>
      <c r="I799" s="18">
        <v>15</v>
      </c>
      <c r="J799" s="4" t="s">
        <v>12</v>
      </c>
      <c r="K799" s="26" t="s">
        <v>15</v>
      </c>
      <c r="L799" s="172">
        <v>6</v>
      </c>
      <c r="M799" s="6">
        <v>1</v>
      </c>
      <c r="N799" s="6"/>
      <c r="O799" s="6">
        <v>0</v>
      </c>
      <c r="P799" s="6"/>
      <c r="Q799" s="7">
        <v>1</v>
      </c>
      <c r="R799" s="6"/>
      <c r="S799" s="1">
        <v>2</v>
      </c>
      <c r="U799" s="1">
        <v>0</v>
      </c>
      <c r="W799" s="1" t="str">
        <f t="shared" si="12"/>
        <v>No</v>
      </c>
    </row>
    <row r="800" spans="1:23" s="1" customFormat="1" ht="11.25">
      <c r="A800" s="2" t="s">
        <v>1156</v>
      </c>
      <c r="B800" s="21" t="s">
        <v>1157</v>
      </c>
      <c r="C800" s="26" t="s">
        <v>61</v>
      </c>
      <c r="D800" s="163">
        <v>1087</v>
      </c>
      <c r="E800" s="166">
        <v>10087</v>
      </c>
      <c r="F800" s="92" t="s">
        <v>152</v>
      </c>
      <c r="G800" s="20" t="s">
        <v>149</v>
      </c>
      <c r="H800" s="18">
        <v>226400</v>
      </c>
      <c r="I800" s="18">
        <v>15</v>
      </c>
      <c r="J800" s="4" t="s">
        <v>12</v>
      </c>
      <c r="K800" s="26" t="s">
        <v>15</v>
      </c>
      <c r="L800" s="172">
        <v>9</v>
      </c>
      <c r="M800" s="6">
        <v>1</v>
      </c>
      <c r="N800" s="6"/>
      <c r="O800" s="6">
        <v>0</v>
      </c>
      <c r="P800" s="6"/>
      <c r="Q800" s="7">
        <v>1</v>
      </c>
      <c r="R800" s="6"/>
      <c r="S800" s="1">
        <v>0</v>
      </c>
      <c r="U800" s="1">
        <v>0</v>
      </c>
      <c r="W800" s="1" t="str">
        <f t="shared" si="12"/>
        <v>No</v>
      </c>
    </row>
    <row r="801" spans="1:23" s="1" customFormat="1" ht="11.25">
      <c r="A801" s="2" t="s">
        <v>1720</v>
      </c>
      <c r="B801" s="21" t="s">
        <v>1721</v>
      </c>
      <c r="C801" s="26" t="s">
        <v>19</v>
      </c>
      <c r="D801" s="163"/>
      <c r="E801" s="166">
        <v>90258</v>
      </c>
      <c r="F801" s="92" t="s">
        <v>152</v>
      </c>
      <c r="G801" s="20" t="s">
        <v>1490</v>
      </c>
      <c r="H801" s="18">
        <v>12150996</v>
      </c>
      <c r="I801" s="18">
        <v>15</v>
      </c>
      <c r="J801" s="4" t="s">
        <v>12</v>
      </c>
      <c r="K801" s="26" t="s">
        <v>15</v>
      </c>
      <c r="L801" s="172">
        <v>7</v>
      </c>
      <c r="M801" s="6">
        <v>0</v>
      </c>
      <c r="N801" s="6"/>
      <c r="O801" s="6">
        <v>0</v>
      </c>
      <c r="P801" s="6"/>
      <c r="Q801" s="7">
        <v>0</v>
      </c>
      <c r="R801" s="6"/>
      <c r="S801" s="1">
        <v>0</v>
      </c>
      <c r="U801" s="1">
        <v>0</v>
      </c>
      <c r="W801" s="1" t="str">
        <f t="shared" si="12"/>
        <v>No</v>
      </c>
    </row>
    <row r="802" spans="1:23" s="1" customFormat="1" ht="11.25">
      <c r="A802" s="2" t="s">
        <v>195</v>
      </c>
      <c r="B802" s="21" t="s">
        <v>196</v>
      </c>
      <c r="C802" s="26" t="s">
        <v>35</v>
      </c>
      <c r="D802" s="163">
        <v>4144</v>
      </c>
      <c r="E802" s="166">
        <v>40144</v>
      </c>
      <c r="F802" s="92" t="s">
        <v>152</v>
      </c>
      <c r="G802" s="20" t="s">
        <v>1490</v>
      </c>
      <c r="H802" s="18">
        <v>130846</v>
      </c>
      <c r="I802" s="18">
        <v>15</v>
      </c>
      <c r="J802" s="4" t="s">
        <v>12</v>
      </c>
      <c r="K802" s="26" t="s">
        <v>11</v>
      </c>
      <c r="L802" s="172">
        <v>7</v>
      </c>
      <c r="M802" s="6">
        <v>1</v>
      </c>
      <c r="N802" s="6"/>
      <c r="O802" s="6">
        <v>0</v>
      </c>
      <c r="P802" s="6"/>
      <c r="Q802" s="7">
        <v>1</v>
      </c>
      <c r="R802" s="6"/>
      <c r="S802" s="1">
        <v>0</v>
      </c>
      <c r="U802" s="1">
        <v>0</v>
      </c>
      <c r="W802" s="1" t="str">
        <f t="shared" si="12"/>
        <v>No</v>
      </c>
    </row>
    <row r="803" spans="1:23" s="1" customFormat="1" ht="11.25">
      <c r="A803" s="2" t="s">
        <v>813</v>
      </c>
      <c r="B803" s="21" t="s">
        <v>286</v>
      </c>
      <c r="C803" s="26" t="s">
        <v>84</v>
      </c>
      <c r="D803" s="163">
        <v>6131</v>
      </c>
      <c r="E803" s="166">
        <v>60131</v>
      </c>
      <c r="F803" s="92" t="s">
        <v>160</v>
      </c>
      <c r="G803" s="20" t="s">
        <v>1490</v>
      </c>
      <c r="H803" s="18">
        <v>52826</v>
      </c>
      <c r="I803" s="18">
        <v>15</v>
      </c>
      <c r="J803" s="4" t="s">
        <v>12</v>
      </c>
      <c r="K803" s="26" t="s">
        <v>11</v>
      </c>
      <c r="L803" s="172">
        <v>12</v>
      </c>
      <c r="M803" s="6">
        <v>1</v>
      </c>
      <c r="N803" s="6"/>
      <c r="O803" s="6">
        <v>0</v>
      </c>
      <c r="P803" s="6"/>
      <c r="Q803" s="7">
        <v>1</v>
      </c>
      <c r="R803" s="6"/>
      <c r="S803" s="1">
        <v>0</v>
      </c>
      <c r="U803" s="1">
        <v>0</v>
      </c>
      <c r="W803" s="1" t="str">
        <f t="shared" si="12"/>
        <v>No</v>
      </c>
    </row>
    <row r="804" spans="1:23" s="1" customFormat="1" ht="11.25">
      <c r="A804" s="2" t="s">
        <v>898</v>
      </c>
      <c r="B804" s="21" t="s">
        <v>899</v>
      </c>
      <c r="C804" s="26" t="s">
        <v>19</v>
      </c>
      <c r="D804" s="163">
        <v>9155</v>
      </c>
      <c r="E804" s="166">
        <v>90155</v>
      </c>
      <c r="F804" s="92" t="s">
        <v>152</v>
      </c>
      <c r="G804" s="20" t="s">
        <v>1490</v>
      </c>
      <c r="H804" s="18">
        <v>93141</v>
      </c>
      <c r="I804" s="18">
        <v>15</v>
      </c>
      <c r="J804" s="4" t="s">
        <v>12</v>
      </c>
      <c r="K804" s="26" t="s">
        <v>15</v>
      </c>
      <c r="L804" s="172">
        <v>12</v>
      </c>
      <c r="M804" s="6">
        <v>1</v>
      </c>
      <c r="N804" s="6"/>
      <c r="O804" s="6">
        <v>0</v>
      </c>
      <c r="P804" s="6"/>
      <c r="Q804" s="7">
        <v>1</v>
      </c>
      <c r="R804" s="6"/>
      <c r="S804" s="1">
        <v>0</v>
      </c>
      <c r="U804" s="1">
        <v>0</v>
      </c>
      <c r="W804" s="1" t="str">
        <f t="shared" si="12"/>
        <v>No</v>
      </c>
    </row>
    <row r="805" spans="1:23" s="1" customFormat="1" ht="11.25">
      <c r="A805" s="2" t="s">
        <v>797</v>
      </c>
      <c r="B805" s="21" t="s">
        <v>798</v>
      </c>
      <c r="C805" s="26" t="s">
        <v>74</v>
      </c>
      <c r="D805" s="163">
        <v>59</v>
      </c>
      <c r="E805" s="166">
        <v>59</v>
      </c>
      <c r="F805" s="92" t="s">
        <v>152</v>
      </c>
      <c r="G805" s="20" t="s">
        <v>1490</v>
      </c>
      <c r="H805" s="18">
        <v>50520</v>
      </c>
      <c r="I805" s="18">
        <v>14</v>
      </c>
      <c r="J805" s="4" t="s">
        <v>21</v>
      </c>
      <c r="K805" s="26" t="s">
        <v>11</v>
      </c>
      <c r="L805" s="172">
        <v>5</v>
      </c>
      <c r="M805" s="6">
        <v>0</v>
      </c>
      <c r="N805" s="6"/>
      <c r="O805" s="6">
        <v>0</v>
      </c>
      <c r="P805" s="6"/>
      <c r="Q805" s="7">
        <v>0</v>
      </c>
      <c r="R805" s="6"/>
      <c r="S805" s="1">
        <v>0</v>
      </c>
      <c r="U805" s="1">
        <v>0</v>
      </c>
      <c r="W805" s="1" t="str">
        <f t="shared" si="12"/>
        <v>No</v>
      </c>
    </row>
    <row r="806" spans="1:23" s="1" customFormat="1" ht="11.25">
      <c r="A806" s="2" t="s">
        <v>131</v>
      </c>
      <c r="B806" s="21" t="s">
        <v>1148</v>
      </c>
      <c r="C806" s="26" t="s">
        <v>32</v>
      </c>
      <c r="D806" s="163"/>
      <c r="E806" s="166">
        <v>44929</v>
      </c>
      <c r="F806" s="92" t="s">
        <v>152</v>
      </c>
      <c r="G806" s="20" t="s">
        <v>149</v>
      </c>
      <c r="H806" s="18">
        <v>5502379</v>
      </c>
      <c r="I806" s="18">
        <v>14</v>
      </c>
      <c r="J806" s="4" t="s">
        <v>22</v>
      </c>
      <c r="K806" s="26" t="s">
        <v>15</v>
      </c>
      <c r="L806" s="172">
        <v>1</v>
      </c>
      <c r="M806" s="6">
        <v>1</v>
      </c>
      <c r="N806" s="6"/>
      <c r="O806" s="6">
        <v>7</v>
      </c>
      <c r="P806" s="6"/>
      <c r="Q806" s="7">
        <v>8</v>
      </c>
      <c r="R806" s="6"/>
      <c r="S806" s="1">
        <v>0</v>
      </c>
      <c r="U806" s="1">
        <v>0</v>
      </c>
      <c r="W806" s="1" t="str">
        <f t="shared" si="12"/>
        <v>No</v>
      </c>
    </row>
    <row r="807" spans="1:23" s="1" customFormat="1" ht="11.25">
      <c r="A807" s="2" t="s">
        <v>743</v>
      </c>
      <c r="B807" s="21" t="s">
        <v>282</v>
      </c>
      <c r="C807" s="26" t="s">
        <v>50</v>
      </c>
      <c r="D807" s="163">
        <v>1096</v>
      </c>
      <c r="E807" s="166">
        <v>10096</v>
      </c>
      <c r="F807" s="92" t="s">
        <v>152</v>
      </c>
      <c r="G807" s="20" t="s">
        <v>1490</v>
      </c>
      <c r="H807" s="18">
        <v>61210</v>
      </c>
      <c r="I807" s="18">
        <v>14</v>
      </c>
      <c r="J807" s="4" t="s">
        <v>12</v>
      </c>
      <c r="K807" s="26" t="s">
        <v>11</v>
      </c>
      <c r="L807" s="172">
        <v>14</v>
      </c>
      <c r="M807" s="6">
        <v>1</v>
      </c>
      <c r="N807" s="6"/>
      <c r="O807" s="6">
        <v>0</v>
      </c>
      <c r="P807" s="6"/>
      <c r="Q807" s="7">
        <v>1</v>
      </c>
      <c r="R807" s="6"/>
      <c r="S807" s="1">
        <v>0</v>
      </c>
      <c r="U807" s="1">
        <v>0</v>
      </c>
      <c r="W807" s="1" t="str">
        <f t="shared" si="12"/>
        <v>No</v>
      </c>
    </row>
    <row r="808" spans="1:23" s="1" customFormat="1" ht="11.25">
      <c r="A808" s="2" t="s">
        <v>1726</v>
      </c>
      <c r="B808" s="21" t="s">
        <v>1727</v>
      </c>
      <c r="C808" s="26" t="s">
        <v>19</v>
      </c>
      <c r="D808" s="163"/>
      <c r="E808" s="166">
        <v>90256</v>
      </c>
      <c r="F808" s="92" t="s">
        <v>152</v>
      </c>
      <c r="G808" s="20" t="s">
        <v>1490</v>
      </c>
      <c r="H808" s="18">
        <v>12150996</v>
      </c>
      <c r="I808" s="18">
        <v>14</v>
      </c>
      <c r="J808" s="4" t="s">
        <v>12</v>
      </c>
      <c r="K808" s="26" t="s">
        <v>15</v>
      </c>
      <c r="L808" s="172">
        <v>14</v>
      </c>
      <c r="M808" s="6">
        <v>0</v>
      </c>
      <c r="N808" s="6"/>
      <c r="O808" s="6">
        <v>0</v>
      </c>
      <c r="P808" s="6"/>
      <c r="Q808" s="7">
        <v>0</v>
      </c>
      <c r="R808" s="6"/>
      <c r="S808" s="1">
        <v>0</v>
      </c>
      <c r="U808" s="1">
        <v>0</v>
      </c>
      <c r="W808" s="1" t="str">
        <f t="shared" si="12"/>
        <v>No</v>
      </c>
    </row>
    <row r="809" spans="1:23" s="1" customFormat="1" ht="11.25">
      <c r="A809" s="2" t="s">
        <v>769</v>
      </c>
      <c r="B809" s="21" t="s">
        <v>770</v>
      </c>
      <c r="C809" s="26" t="s">
        <v>19</v>
      </c>
      <c r="D809" s="163">
        <v>9043</v>
      </c>
      <c r="E809" s="166">
        <v>90043</v>
      </c>
      <c r="F809" s="92" t="s">
        <v>152</v>
      </c>
      <c r="G809" s="20" t="s">
        <v>149</v>
      </c>
      <c r="H809" s="18">
        <v>12150996</v>
      </c>
      <c r="I809" s="18">
        <v>14</v>
      </c>
      <c r="J809" s="4" t="s">
        <v>12</v>
      </c>
      <c r="K809" s="26" t="s">
        <v>11</v>
      </c>
      <c r="L809" s="172">
        <v>10</v>
      </c>
      <c r="M809" s="6">
        <v>1</v>
      </c>
      <c r="N809" s="6"/>
      <c r="O809" s="6">
        <v>0</v>
      </c>
      <c r="P809" s="6"/>
      <c r="Q809" s="7">
        <v>1</v>
      </c>
      <c r="R809" s="6"/>
      <c r="S809" s="1">
        <v>0</v>
      </c>
      <c r="U809" s="1">
        <v>0</v>
      </c>
      <c r="W809" s="1" t="str">
        <f t="shared" si="12"/>
        <v>No</v>
      </c>
    </row>
    <row r="810" spans="1:23" s="1" customFormat="1" ht="11.25">
      <c r="A810" s="2" t="s">
        <v>395</v>
      </c>
      <c r="B810" s="21" t="s">
        <v>396</v>
      </c>
      <c r="C810" s="26" t="s">
        <v>19</v>
      </c>
      <c r="D810" s="163">
        <v>9214</v>
      </c>
      <c r="E810" s="166">
        <v>90214</v>
      </c>
      <c r="F810" s="92" t="s">
        <v>152</v>
      </c>
      <c r="G810" s="20" t="s">
        <v>149</v>
      </c>
      <c r="H810" s="18">
        <v>12150996</v>
      </c>
      <c r="I810" s="18">
        <v>14</v>
      </c>
      <c r="J810" s="4" t="s">
        <v>12</v>
      </c>
      <c r="K810" s="26" t="s">
        <v>15</v>
      </c>
      <c r="L810" s="172">
        <v>10</v>
      </c>
      <c r="M810" s="6">
        <v>1</v>
      </c>
      <c r="N810" s="6"/>
      <c r="O810" s="6">
        <v>0</v>
      </c>
      <c r="P810" s="6"/>
      <c r="Q810" s="7">
        <v>1</v>
      </c>
      <c r="R810" s="6"/>
      <c r="S810" s="1">
        <v>0</v>
      </c>
      <c r="U810" s="1">
        <v>0</v>
      </c>
      <c r="W810" s="1" t="str">
        <f t="shared" si="12"/>
        <v>No</v>
      </c>
    </row>
    <row r="811" spans="1:23" s="1" customFormat="1" ht="11.25">
      <c r="A811" s="2" t="s">
        <v>445</v>
      </c>
      <c r="B811" s="21" t="s">
        <v>293</v>
      </c>
      <c r="C811" s="26" t="s">
        <v>35</v>
      </c>
      <c r="D811" s="163">
        <v>4161</v>
      </c>
      <c r="E811" s="166">
        <v>40161</v>
      </c>
      <c r="F811" s="92" t="s">
        <v>152</v>
      </c>
      <c r="G811" s="20" t="s">
        <v>1490</v>
      </c>
      <c r="H811" s="18">
        <v>4515419</v>
      </c>
      <c r="I811" s="18">
        <v>14</v>
      </c>
      <c r="J811" s="4" t="s">
        <v>12</v>
      </c>
      <c r="K811" s="26" t="s">
        <v>11</v>
      </c>
      <c r="L811" s="172">
        <v>2</v>
      </c>
      <c r="M811" s="6">
        <v>0</v>
      </c>
      <c r="N811" s="6"/>
      <c r="O811" s="6">
        <v>0</v>
      </c>
      <c r="P811" s="6"/>
      <c r="Q811" s="7">
        <v>0</v>
      </c>
      <c r="R811" s="6"/>
      <c r="S811" s="1">
        <v>0</v>
      </c>
      <c r="U811" s="1">
        <v>0</v>
      </c>
      <c r="W811" s="1" t="str">
        <f t="shared" si="12"/>
        <v>No</v>
      </c>
    </row>
    <row r="812" spans="1:23" s="1" customFormat="1" ht="11.25">
      <c r="A812" s="2" t="s">
        <v>1750</v>
      </c>
      <c r="B812" s="21" t="s">
        <v>1751</v>
      </c>
      <c r="C812" s="26" t="s">
        <v>32</v>
      </c>
      <c r="D812" s="163"/>
      <c r="E812" s="166">
        <v>40259</v>
      </c>
      <c r="F812" s="92" t="s">
        <v>197</v>
      </c>
      <c r="G812" s="20" t="s">
        <v>149</v>
      </c>
      <c r="H812" s="18">
        <v>2441770</v>
      </c>
      <c r="I812" s="18">
        <v>14</v>
      </c>
      <c r="J812" s="4" t="s">
        <v>12</v>
      </c>
      <c r="K812" s="26" t="s">
        <v>11</v>
      </c>
      <c r="L812" s="172">
        <v>14</v>
      </c>
      <c r="M812" s="6">
        <v>0</v>
      </c>
      <c r="N812" s="6"/>
      <c r="O812" s="6">
        <v>0</v>
      </c>
      <c r="P812" s="6"/>
      <c r="Q812" s="7">
        <v>0</v>
      </c>
      <c r="R812" s="6"/>
      <c r="S812" s="1">
        <v>0</v>
      </c>
      <c r="U812" s="1">
        <v>0</v>
      </c>
      <c r="W812" s="1" t="str">
        <f t="shared" si="12"/>
        <v>No</v>
      </c>
    </row>
    <row r="813" spans="1:23" s="1" customFormat="1" ht="11.25">
      <c r="A813" s="2" t="s">
        <v>797</v>
      </c>
      <c r="B813" s="21" t="s">
        <v>798</v>
      </c>
      <c r="C813" s="26" t="s">
        <v>74</v>
      </c>
      <c r="D813" s="163">
        <v>59</v>
      </c>
      <c r="E813" s="166">
        <v>59</v>
      </c>
      <c r="F813" s="92" t="s">
        <v>152</v>
      </c>
      <c r="G813" s="20" t="s">
        <v>1490</v>
      </c>
      <c r="H813" s="18">
        <v>50520</v>
      </c>
      <c r="I813" s="18">
        <v>14</v>
      </c>
      <c r="J813" s="4" t="s">
        <v>12</v>
      </c>
      <c r="K813" s="26" t="s">
        <v>11</v>
      </c>
      <c r="L813" s="172">
        <v>4</v>
      </c>
      <c r="M813" s="6">
        <v>0</v>
      </c>
      <c r="N813" s="6"/>
      <c r="O813" s="6">
        <v>0</v>
      </c>
      <c r="P813" s="6"/>
      <c r="Q813" s="7">
        <v>0</v>
      </c>
      <c r="R813" s="6"/>
      <c r="S813" s="1">
        <v>0</v>
      </c>
      <c r="U813" s="1">
        <v>0</v>
      </c>
      <c r="W813" s="1" t="str">
        <f t="shared" si="12"/>
        <v>No</v>
      </c>
    </row>
    <row r="814" spans="1:23" s="1" customFormat="1" ht="11.25">
      <c r="A814" s="2" t="s">
        <v>131</v>
      </c>
      <c r="B814" s="21" t="s">
        <v>1148</v>
      </c>
      <c r="C814" s="26" t="s">
        <v>32</v>
      </c>
      <c r="D814" s="163"/>
      <c r="E814" s="166">
        <v>44929</v>
      </c>
      <c r="F814" s="92" t="s">
        <v>152</v>
      </c>
      <c r="G814" s="20" t="s">
        <v>149</v>
      </c>
      <c r="H814" s="18">
        <v>5502379</v>
      </c>
      <c r="I814" s="18">
        <v>14</v>
      </c>
      <c r="J814" s="4" t="s">
        <v>12</v>
      </c>
      <c r="K814" s="26" t="s">
        <v>15</v>
      </c>
      <c r="L814" s="172">
        <v>13</v>
      </c>
      <c r="M814" s="6">
        <v>2</v>
      </c>
      <c r="N814" s="6"/>
      <c r="O814" s="6">
        <v>0</v>
      </c>
      <c r="P814" s="6"/>
      <c r="Q814" s="7">
        <v>2</v>
      </c>
      <c r="R814" s="6"/>
      <c r="S814" s="1">
        <v>1</v>
      </c>
      <c r="U814" s="1">
        <v>1</v>
      </c>
      <c r="W814" s="1" t="str">
        <f t="shared" si="12"/>
        <v>No</v>
      </c>
    </row>
    <row r="815" spans="1:23" s="1" customFormat="1" ht="11.25">
      <c r="A815" s="2" t="s">
        <v>1724</v>
      </c>
      <c r="B815" s="21" t="s">
        <v>1725</v>
      </c>
      <c r="C815" s="26" t="s">
        <v>19</v>
      </c>
      <c r="D815" s="163">
        <v>9044</v>
      </c>
      <c r="E815" s="166">
        <v>90044</v>
      </c>
      <c r="F815" s="92" t="s">
        <v>152</v>
      </c>
      <c r="G815" s="20" t="s">
        <v>1490</v>
      </c>
      <c r="H815" s="18">
        <v>12150996</v>
      </c>
      <c r="I815" s="18">
        <v>14</v>
      </c>
      <c r="J815" s="4" t="s">
        <v>12</v>
      </c>
      <c r="K815" s="26" t="s">
        <v>15</v>
      </c>
      <c r="L815" s="172">
        <v>6</v>
      </c>
      <c r="M815" s="6">
        <v>0</v>
      </c>
      <c r="N815" s="6"/>
      <c r="O815" s="6">
        <v>0</v>
      </c>
      <c r="P815" s="6"/>
      <c r="Q815" s="7">
        <v>0</v>
      </c>
      <c r="R815" s="6"/>
      <c r="S815" s="1">
        <v>0</v>
      </c>
      <c r="U815" s="1">
        <v>0</v>
      </c>
      <c r="W815" s="1" t="str">
        <f t="shared" si="12"/>
        <v>No</v>
      </c>
    </row>
    <row r="816" spans="1:23" s="1" customFormat="1" ht="11.25">
      <c r="A816" s="2" t="s">
        <v>544</v>
      </c>
      <c r="B816" s="21" t="s">
        <v>545</v>
      </c>
      <c r="C816" s="26" t="s">
        <v>35</v>
      </c>
      <c r="D816" s="163">
        <v>4021</v>
      </c>
      <c r="E816" s="166">
        <v>40021</v>
      </c>
      <c r="F816" s="92" t="s">
        <v>152</v>
      </c>
      <c r="G816" s="20" t="s">
        <v>149</v>
      </c>
      <c r="H816" s="18">
        <v>95779</v>
      </c>
      <c r="I816" s="18">
        <v>14</v>
      </c>
      <c r="J816" s="4" t="s">
        <v>12</v>
      </c>
      <c r="K816" s="26" t="s">
        <v>11</v>
      </c>
      <c r="L816" s="172">
        <v>8</v>
      </c>
      <c r="M816" s="6">
        <v>1</v>
      </c>
      <c r="N816" s="6"/>
      <c r="O816" s="6">
        <v>0</v>
      </c>
      <c r="P816" s="6"/>
      <c r="Q816" s="7">
        <v>1</v>
      </c>
      <c r="R816" s="6"/>
      <c r="S816" s="1">
        <v>0</v>
      </c>
      <c r="U816" s="1">
        <v>0</v>
      </c>
      <c r="W816" s="1" t="str">
        <f t="shared" si="12"/>
        <v>No</v>
      </c>
    </row>
    <row r="817" spans="1:23" s="1" customFormat="1" ht="11.25">
      <c r="A817" s="2" t="s">
        <v>301</v>
      </c>
      <c r="B817" s="21" t="s">
        <v>302</v>
      </c>
      <c r="C817" s="26" t="s">
        <v>84</v>
      </c>
      <c r="D817" s="163">
        <v>6099</v>
      </c>
      <c r="E817" s="166">
        <v>60099</v>
      </c>
      <c r="F817" s="92" t="s">
        <v>152</v>
      </c>
      <c r="G817" s="20" t="s">
        <v>1490</v>
      </c>
      <c r="H817" s="18">
        <v>728825</v>
      </c>
      <c r="I817" s="18">
        <v>14</v>
      </c>
      <c r="J817" s="4" t="s">
        <v>12</v>
      </c>
      <c r="K817" s="26" t="s">
        <v>11</v>
      </c>
      <c r="L817" s="172">
        <v>11</v>
      </c>
      <c r="M817" s="6">
        <v>1</v>
      </c>
      <c r="N817" s="6"/>
      <c r="O817" s="6">
        <v>0</v>
      </c>
      <c r="P817" s="6"/>
      <c r="Q817" s="7">
        <v>1</v>
      </c>
      <c r="R817" s="6"/>
      <c r="S817" s="1">
        <v>0</v>
      </c>
      <c r="U817" s="1">
        <v>0</v>
      </c>
      <c r="W817" s="1" t="str">
        <f t="shared" si="12"/>
        <v>No</v>
      </c>
    </row>
    <row r="818" spans="1:23" s="1" customFormat="1" ht="11.25">
      <c r="A818" s="2" t="s">
        <v>1313</v>
      </c>
      <c r="B818" s="21" t="s">
        <v>1314</v>
      </c>
      <c r="C818" s="26" t="s">
        <v>366</v>
      </c>
      <c r="D818" s="163">
        <v>8020</v>
      </c>
      <c r="E818" s="166">
        <v>80020</v>
      </c>
      <c r="F818" s="92" t="s">
        <v>152</v>
      </c>
      <c r="G818" s="20" t="s">
        <v>1490</v>
      </c>
      <c r="H818" s="18">
        <v>73588</v>
      </c>
      <c r="I818" s="18">
        <v>14</v>
      </c>
      <c r="J818" s="4" t="s">
        <v>12</v>
      </c>
      <c r="K818" s="26" t="s">
        <v>11</v>
      </c>
      <c r="L818" s="172">
        <v>8</v>
      </c>
      <c r="M818" s="6">
        <v>0</v>
      </c>
      <c r="N818" s="6"/>
      <c r="O818" s="6">
        <v>0</v>
      </c>
      <c r="P818" s="6"/>
      <c r="Q818" s="7">
        <v>0</v>
      </c>
      <c r="R818" s="6"/>
      <c r="S818" s="1">
        <v>0</v>
      </c>
      <c r="U818" s="1">
        <v>0</v>
      </c>
      <c r="W818" s="1" t="str">
        <f t="shared" si="12"/>
        <v>No</v>
      </c>
    </row>
    <row r="819" spans="1:23" s="1" customFormat="1" ht="11.25">
      <c r="A819" s="2" t="s">
        <v>886</v>
      </c>
      <c r="B819" s="21" t="s">
        <v>765</v>
      </c>
      <c r="C819" s="26" t="s">
        <v>16</v>
      </c>
      <c r="D819" s="163">
        <v>9131</v>
      </c>
      <c r="E819" s="166">
        <v>90131</v>
      </c>
      <c r="F819" s="92" t="s">
        <v>152</v>
      </c>
      <c r="G819" s="20" t="s">
        <v>149</v>
      </c>
      <c r="H819" s="18">
        <v>3629114</v>
      </c>
      <c r="I819" s="18">
        <v>14</v>
      </c>
      <c r="J819" s="4" t="s">
        <v>12</v>
      </c>
      <c r="K819" s="26" t="s">
        <v>15</v>
      </c>
      <c r="L819" s="172">
        <v>14</v>
      </c>
      <c r="M819" s="6">
        <v>3</v>
      </c>
      <c r="N819" s="6"/>
      <c r="O819" s="6">
        <v>0</v>
      </c>
      <c r="P819" s="6"/>
      <c r="Q819" s="7">
        <v>3</v>
      </c>
      <c r="R819" s="6"/>
      <c r="S819" s="1">
        <v>0</v>
      </c>
      <c r="U819" s="1">
        <v>0</v>
      </c>
      <c r="W819" s="1" t="str">
        <f t="shared" si="12"/>
        <v>No</v>
      </c>
    </row>
    <row r="820" spans="1:23" s="1" customFormat="1" ht="11.25">
      <c r="A820" s="2" t="s">
        <v>1716</v>
      </c>
      <c r="B820" s="21" t="s">
        <v>1717</v>
      </c>
      <c r="C820" s="26" t="s">
        <v>19</v>
      </c>
      <c r="D820" s="163"/>
      <c r="E820" s="166">
        <v>90268</v>
      </c>
      <c r="F820" s="92" t="s">
        <v>152</v>
      </c>
      <c r="G820" s="20" t="s">
        <v>1490</v>
      </c>
      <c r="H820" s="18">
        <v>12150996</v>
      </c>
      <c r="I820" s="18">
        <v>14</v>
      </c>
      <c r="J820" s="4" t="s">
        <v>12</v>
      </c>
      <c r="K820" s="26" t="s">
        <v>11</v>
      </c>
      <c r="L820" s="172">
        <v>1</v>
      </c>
      <c r="M820" s="6">
        <v>0</v>
      </c>
      <c r="N820" s="6"/>
      <c r="O820" s="6">
        <v>0</v>
      </c>
      <c r="P820" s="6"/>
      <c r="Q820" s="7">
        <v>0</v>
      </c>
      <c r="R820" s="6"/>
      <c r="S820" s="1">
        <v>0</v>
      </c>
      <c r="U820" s="1">
        <v>0</v>
      </c>
      <c r="W820" s="1" t="str">
        <f t="shared" si="12"/>
        <v>No</v>
      </c>
    </row>
    <row r="821" spans="1:23" s="1" customFormat="1" ht="11.25">
      <c r="A821" s="2" t="s">
        <v>1728</v>
      </c>
      <c r="B821" s="21" t="s">
        <v>1729</v>
      </c>
      <c r="C821" s="26" t="s">
        <v>19</v>
      </c>
      <c r="D821" s="163"/>
      <c r="E821" s="166">
        <v>90291</v>
      </c>
      <c r="F821" s="92" t="s">
        <v>152</v>
      </c>
      <c r="G821" s="20" t="s">
        <v>1490</v>
      </c>
      <c r="H821" s="18">
        <v>12150996</v>
      </c>
      <c r="I821" s="18">
        <v>14</v>
      </c>
      <c r="J821" s="4" t="s">
        <v>12</v>
      </c>
      <c r="K821" s="26" t="s">
        <v>15</v>
      </c>
      <c r="L821" s="172">
        <v>5</v>
      </c>
      <c r="M821" s="6">
        <v>0</v>
      </c>
      <c r="N821" s="6"/>
      <c r="O821" s="6">
        <v>0</v>
      </c>
      <c r="P821" s="6"/>
      <c r="Q821" s="7">
        <v>0</v>
      </c>
      <c r="R821" s="6"/>
      <c r="S821" s="1">
        <v>0</v>
      </c>
      <c r="U821" s="1">
        <v>0</v>
      </c>
      <c r="W821" s="1" t="str">
        <f t="shared" si="12"/>
        <v>No</v>
      </c>
    </row>
    <row r="822" spans="1:23" s="1" customFormat="1" ht="11.25">
      <c r="A822" s="2" t="s">
        <v>231</v>
      </c>
      <c r="B822" s="21" t="s">
        <v>232</v>
      </c>
      <c r="C822" s="26" t="s">
        <v>39</v>
      </c>
      <c r="D822" s="163">
        <v>5174</v>
      </c>
      <c r="E822" s="166">
        <v>50174</v>
      </c>
      <c r="F822" s="92" t="s">
        <v>152</v>
      </c>
      <c r="G822" s="20" t="s">
        <v>1490</v>
      </c>
      <c r="H822" s="18">
        <v>50996</v>
      </c>
      <c r="I822" s="18">
        <v>13</v>
      </c>
      <c r="J822" s="4" t="s">
        <v>12</v>
      </c>
      <c r="K822" s="26" t="s">
        <v>11</v>
      </c>
      <c r="L822" s="172">
        <v>11</v>
      </c>
      <c r="M822" s="6">
        <v>1</v>
      </c>
      <c r="N822" s="6"/>
      <c r="O822" s="6">
        <v>0</v>
      </c>
      <c r="P822" s="6"/>
      <c r="Q822" s="7">
        <v>1</v>
      </c>
      <c r="R822" s="6"/>
      <c r="S822" s="1">
        <v>0</v>
      </c>
      <c r="U822" s="1">
        <v>0</v>
      </c>
      <c r="W822" s="1" t="str">
        <f t="shared" si="12"/>
        <v>No</v>
      </c>
    </row>
    <row r="823" spans="1:23" s="1" customFormat="1" ht="11.25">
      <c r="A823" s="2" t="s">
        <v>1731</v>
      </c>
      <c r="B823" s="21" t="s">
        <v>1732</v>
      </c>
      <c r="C823" s="26" t="s">
        <v>19</v>
      </c>
      <c r="D823" s="163"/>
      <c r="E823" s="166">
        <v>90265</v>
      </c>
      <c r="F823" s="92" t="s">
        <v>152</v>
      </c>
      <c r="G823" s="20" t="s">
        <v>1490</v>
      </c>
      <c r="H823" s="18">
        <v>12150996</v>
      </c>
      <c r="I823" s="18">
        <v>13</v>
      </c>
      <c r="J823" s="4" t="s">
        <v>12</v>
      </c>
      <c r="K823" s="26" t="s">
        <v>11</v>
      </c>
      <c r="L823" s="172">
        <v>2</v>
      </c>
      <c r="M823" s="6">
        <v>2</v>
      </c>
      <c r="N823" s="6"/>
      <c r="O823" s="6">
        <v>0</v>
      </c>
      <c r="P823" s="6"/>
      <c r="Q823" s="7">
        <v>2</v>
      </c>
      <c r="R823" s="6"/>
      <c r="S823" s="1">
        <v>0</v>
      </c>
      <c r="U823" s="1">
        <v>0</v>
      </c>
      <c r="W823" s="1" t="str">
        <f t="shared" si="12"/>
        <v>No</v>
      </c>
    </row>
    <row r="824" spans="1:23" s="1" customFormat="1" ht="11.25">
      <c r="A824" s="2" t="s">
        <v>1125</v>
      </c>
      <c r="B824" s="21" t="s">
        <v>1126</v>
      </c>
      <c r="C824" s="26" t="s">
        <v>29</v>
      </c>
      <c r="D824" s="163">
        <v>1107</v>
      </c>
      <c r="E824" s="166">
        <v>10107</v>
      </c>
      <c r="F824" s="92" t="s">
        <v>160</v>
      </c>
      <c r="G824" s="20" t="s">
        <v>149</v>
      </c>
      <c r="H824" s="18">
        <v>923311</v>
      </c>
      <c r="I824" s="18">
        <v>13</v>
      </c>
      <c r="J824" s="4" t="s">
        <v>12</v>
      </c>
      <c r="K824" s="26" t="s">
        <v>11</v>
      </c>
      <c r="L824" s="172">
        <v>6</v>
      </c>
      <c r="M824" s="6">
        <v>0</v>
      </c>
      <c r="N824" s="6"/>
      <c r="O824" s="6">
        <v>0</v>
      </c>
      <c r="P824" s="6"/>
      <c r="Q824" s="7">
        <v>0</v>
      </c>
      <c r="R824" s="6"/>
      <c r="S824" s="1">
        <v>0</v>
      </c>
      <c r="U824" s="1">
        <v>0</v>
      </c>
      <c r="W824" s="1" t="str">
        <f t="shared" si="12"/>
        <v>No</v>
      </c>
    </row>
    <row r="825" spans="1:23" s="1" customFormat="1" ht="11.25">
      <c r="A825" s="2" t="s">
        <v>1857</v>
      </c>
      <c r="B825" s="21" t="s">
        <v>1858</v>
      </c>
      <c r="C825" s="26" t="s">
        <v>71</v>
      </c>
      <c r="D825" s="163">
        <v>5186</v>
      </c>
      <c r="E825" s="166">
        <v>50186</v>
      </c>
      <c r="F825" s="92" t="s">
        <v>160</v>
      </c>
      <c r="G825" s="20" t="s">
        <v>1490</v>
      </c>
      <c r="H825" s="18">
        <v>202637</v>
      </c>
      <c r="I825" s="18">
        <v>13</v>
      </c>
      <c r="J825" s="4" t="s">
        <v>12</v>
      </c>
      <c r="K825" s="26" t="s">
        <v>15</v>
      </c>
      <c r="L825" s="172">
        <v>4</v>
      </c>
      <c r="M825" s="6">
        <v>1</v>
      </c>
      <c r="N825" s="6"/>
      <c r="O825" s="6">
        <v>0</v>
      </c>
      <c r="P825" s="6"/>
      <c r="Q825" s="7">
        <v>1</v>
      </c>
      <c r="R825" s="6"/>
      <c r="S825" s="1">
        <v>0</v>
      </c>
      <c r="U825" s="1">
        <v>0</v>
      </c>
      <c r="W825" s="1" t="str">
        <f t="shared" si="12"/>
        <v>No</v>
      </c>
    </row>
    <row r="826" spans="1:23" s="1" customFormat="1" ht="11.25">
      <c r="A826" s="2" t="s">
        <v>452</v>
      </c>
      <c r="B826" s="21" t="s">
        <v>250</v>
      </c>
      <c r="C826" s="26" t="s">
        <v>57</v>
      </c>
      <c r="D826" s="163">
        <v>4166</v>
      </c>
      <c r="E826" s="166">
        <v>40166</v>
      </c>
      <c r="F826" s="92" t="s">
        <v>152</v>
      </c>
      <c r="G826" s="20" t="s">
        <v>1490</v>
      </c>
      <c r="H826" s="18">
        <v>105419</v>
      </c>
      <c r="I826" s="18">
        <v>13</v>
      </c>
      <c r="J826" s="4" t="s">
        <v>12</v>
      </c>
      <c r="K826" s="26" t="s">
        <v>15</v>
      </c>
      <c r="L826" s="172">
        <v>11</v>
      </c>
      <c r="M826" s="6">
        <v>0</v>
      </c>
      <c r="N826" s="6"/>
      <c r="O826" s="6">
        <v>0</v>
      </c>
      <c r="P826" s="6"/>
      <c r="Q826" s="7">
        <v>0</v>
      </c>
      <c r="R826" s="6"/>
      <c r="S826" s="1">
        <v>0</v>
      </c>
      <c r="U826" s="1">
        <v>0</v>
      </c>
      <c r="W826" s="1" t="str">
        <f t="shared" si="12"/>
        <v>No</v>
      </c>
    </row>
    <row r="827" spans="1:23" s="1" customFormat="1" ht="11.25">
      <c r="A827" s="2" t="s">
        <v>948</v>
      </c>
      <c r="B827" s="21" t="s">
        <v>198</v>
      </c>
      <c r="C827" s="26" t="s">
        <v>13</v>
      </c>
      <c r="D827" s="163">
        <v>4049</v>
      </c>
      <c r="E827" s="166">
        <v>40049</v>
      </c>
      <c r="F827" s="92" t="s">
        <v>152</v>
      </c>
      <c r="G827" s="20" t="s">
        <v>1490</v>
      </c>
      <c r="H827" s="18">
        <v>64172</v>
      </c>
      <c r="I827" s="18">
        <v>13</v>
      </c>
      <c r="J827" s="4" t="s">
        <v>12</v>
      </c>
      <c r="K827" s="26" t="s">
        <v>11</v>
      </c>
      <c r="L827" s="172">
        <v>5</v>
      </c>
      <c r="M827" s="6">
        <v>0</v>
      </c>
      <c r="N827" s="6"/>
      <c r="O827" s="6">
        <v>0</v>
      </c>
      <c r="P827" s="6"/>
      <c r="Q827" s="7">
        <v>0</v>
      </c>
      <c r="R827" s="6"/>
      <c r="S827" s="1">
        <v>0</v>
      </c>
      <c r="U827" s="1">
        <v>0</v>
      </c>
      <c r="W827" s="1" t="str">
        <f t="shared" si="12"/>
        <v>No</v>
      </c>
    </row>
    <row r="828" spans="1:23" s="1" customFormat="1" ht="11.25">
      <c r="A828" s="2" t="s">
        <v>810</v>
      </c>
      <c r="B828" s="21" t="s">
        <v>545</v>
      </c>
      <c r="C828" s="26" t="s">
        <v>74</v>
      </c>
      <c r="D828" s="163">
        <v>61</v>
      </c>
      <c r="E828" s="166">
        <v>61</v>
      </c>
      <c r="F828" s="92" t="s">
        <v>152</v>
      </c>
      <c r="G828" s="20" t="s">
        <v>1490</v>
      </c>
      <c r="H828" s="18">
        <v>56997</v>
      </c>
      <c r="I828" s="18">
        <v>13</v>
      </c>
      <c r="J828" s="4" t="s">
        <v>12</v>
      </c>
      <c r="K828" s="26" t="s">
        <v>11</v>
      </c>
      <c r="L828" s="172">
        <v>4</v>
      </c>
      <c r="M828" s="6">
        <v>1</v>
      </c>
      <c r="N828" s="6"/>
      <c r="O828" s="6">
        <v>0</v>
      </c>
      <c r="P828" s="6"/>
      <c r="Q828" s="7">
        <v>1</v>
      </c>
      <c r="R828" s="6"/>
      <c r="S828" s="1">
        <v>0</v>
      </c>
      <c r="U828" s="1">
        <v>0</v>
      </c>
      <c r="W828" s="1" t="str">
        <f t="shared" si="12"/>
        <v>No</v>
      </c>
    </row>
    <row r="829" spans="1:23" s="1" customFormat="1" ht="11.25">
      <c r="A829" s="2" t="s">
        <v>1738</v>
      </c>
      <c r="B829" s="21" t="s">
        <v>1739</v>
      </c>
      <c r="C829" s="26" t="s">
        <v>19</v>
      </c>
      <c r="D829" s="163"/>
      <c r="E829" s="166">
        <v>90257</v>
      </c>
      <c r="F829" s="92" t="s">
        <v>152</v>
      </c>
      <c r="G829" s="20" t="s">
        <v>1490</v>
      </c>
      <c r="H829" s="18">
        <v>12150996</v>
      </c>
      <c r="I829" s="18">
        <v>13</v>
      </c>
      <c r="J829" s="4" t="s">
        <v>12</v>
      </c>
      <c r="K829" s="26" t="s">
        <v>15</v>
      </c>
      <c r="L829" s="172">
        <v>11</v>
      </c>
      <c r="M829" s="6">
        <v>1</v>
      </c>
      <c r="N829" s="6"/>
      <c r="O829" s="6">
        <v>0</v>
      </c>
      <c r="P829" s="6"/>
      <c r="Q829" s="7">
        <v>1</v>
      </c>
      <c r="R829" s="6"/>
      <c r="S829" s="1">
        <v>0</v>
      </c>
      <c r="U829" s="1">
        <v>0</v>
      </c>
      <c r="W829" s="1" t="str">
        <f t="shared" si="12"/>
        <v>No</v>
      </c>
    </row>
    <row r="830" spans="1:23" s="1" customFormat="1" ht="11.25">
      <c r="A830" s="2" t="s">
        <v>1731</v>
      </c>
      <c r="B830" s="21" t="s">
        <v>1732</v>
      </c>
      <c r="C830" s="26" t="s">
        <v>19</v>
      </c>
      <c r="D830" s="163"/>
      <c r="E830" s="166">
        <v>90265</v>
      </c>
      <c r="F830" s="92" t="s">
        <v>152</v>
      </c>
      <c r="G830" s="20" t="s">
        <v>1490</v>
      </c>
      <c r="H830" s="18">
        <v>12150996</v>
      </c>
      <c r="I830" s="18">
        <v>13</v>
      </c>
      <c r="J830" s="4" t="s">
        <v>12</v>
      </c>
      <c r="K830" s="26" t="s">
        <v>15</v>
      </c>
      <c r="L830" s="172">
        <v>5</v>
      </c>
      <c r="M830" s="6">
        <v>2</v>
      </c>
      <c r="N830" s="6"/>
      <c r="O830" s="6">
        <v>0</v>
      </c>
      <c r="P830" s="6"/>
      <c r="Q830" s="7">
        <v>2</v>
      </c>
      <c r="R830" s="6"/>
      <c r="S830" s="1">
        <v>0</v>
      </c>
      <c r="U830" s="1">
        <v>0</v>
      </c>
      <c r="W830" s="1" t="str">
        <f t="shared" si="12"/>
        <v>No</v>
      </c>
    </row>
    <row r="831" spans="1:23" s="1" customFormat="1" ht="11.25">
      <c r="A831" s="2" t="s">
        <v>1856</v>
      </c>
      <c r="B831" s="21" t="s">
        <v>314</v>
      </c>
      <c r="C831" s="26" t="s">
        <v>29</v>
      </c>
      <c r="D831" s="163">
        <v>1130</v>
      </c>
      <c r="E831" s="166">
        <v>10130</v>
      </c>
      <c r="F831" s="92" t="s">
        <v>323</v>
      </c>
      <c r="G831" s="20" t="s">
        <v>149</v>
      </c>
      <c r="H831" s="18">
        <v>924859</v>
      </c>
      <c r="I831" s="18">
        <v>13</v>
      </c>
      <c r="J831" s="4" t="s">
        <v>12</v>
      </c>
      <c r="K831" s="26" t="s">
        <v>15</v>
      </c>
      <c r="L831" s="172">
        <v>13</v>
      </c>
      <c r="M831" s="6">
        <v>0</v>
      </c>
      <c r="N831" s="6"/>
      <c r="O831" s="6">
        <v>0</v>
      </c>
      <c r="P831" s="6"/>
      <c r="Q831" s="7">
        <v>0</v>
      </c>
      <c r="R831" s="6"/>
      <c r="S831" s="1">
        <v>0</v>
      </c>
      <c r="U831" s="1">
        <v>0</v>
      </c>
      <c r="W831" s="1" t="str">
        <f t="shared" si="12"/>
        <v>No</v>
      </c>
    </row>
    <row r="832" spans="1:23" s="1" customFormat="1" ht="11.25">
      <c r="A832" s="2" t="s">
        <v>763</v>
      </c>
      <c r="B832" s="21" t="s">
        <v>764</v>
      </c>
      <c r="C832" s="26" t="s">
        <v>366</v>
      </c>
      <c r="D832" s="163">
        <v>8013</v>
      </c>
      <c r="E832" s="166">
        <v>80013</v>
      </c>
      <c r="F832" s="92" t="s">
        <v>152</v>
      </c>
      <c r="G832" s="20" t="s">
        <v>1490</v>
      </c>
      <c r="H832" s="18">
        <v>64548</v>
      </c>
      <c r="I832" s="18">
        <v>13</v>
      </c>
      <c r="J832" s="4" t="s">
        <v>12</v>
      </c>
      <c r="K832" s="26" t="s">
        <v>15</v>
      </c>
      <c r="L832" s="172">
        <v>6</v>
      </c>
      <c r="M832" s="6">
        <v>0</v>
      </c>
      <c r="N832" s="6"/>
      <c r="O832" s="6">
        <v>0</v>
      </c>
      <c r="P832" s="6"/>
      <c r="Q832" s="7">
        <v>0</v>
      </c>
      <c r="R832" s="6"/>
      <c r="S832" s="1">
        <v>0</v>
      </c>
      <c r="U832" s="1">
        <v>0</v>
      </c>
      <c r="W832" s="1" t="str">
        <f t="shared" si="12"/>
        <v>No</v>
      </c>
    </row>
    <row r="833" spans="1:23" s="1" customFormat="1" ht="11.25">
      <c r="A833" s="2" t="s">
        <v>1735</v>
      </c>
      <c r="B833" s="21" t="s">
        <v>1736</v>
      </c>
      <c r="C833" s="26" t="s">
        <v>47</v>
      </c>
      <c r="D833" s="163" t="s">
        <v>1737</v>
      </c>
      <c r="E833" s="166">
        <v>30131</v>
      </c>
      <c r="F833" s="92" t="s">
        <v>152</v>
      </c>
      <c r="G833" s="20" t="s">
        <v>1490</v>
      </c>
      <c r="H833" s="18">
        <v>58875</v>
      </c>
      <c r="I833" s="18">
        <v>13</v>
      </c>
      <c r="J833" s="4" t="s">
        <v>12</v>
      </c>
      <c r="K833" s="26" t="s">
        <v>11</v>
      </c>
      <c r="L833" s="172">
        <v>8</v>
      </c>
      <c r="M833" s="6">
        <v>0</v>
      </c>
      <c r="N833" s="6"/>
      <c r="O833" s="6">
        <v>0</v>
      </c>
      <c r="P833" s="6"/>
      <c r="Q833" s="7">
        <v>0</v>
      </c>
      <c r="R833" s="6"/>
      <c r="S833" s="1">
        <v>0</v>
      </c>
      <c r="U833" s="1">
        <v>0</v>
      </c>
      <c r="W833" s="1" t="str">
        <f t="shared" si="12"/>
        <v>No</v>
      </c>
    </row>
    <row r="834" spans="1:23" s="1" customFormat="1" ht="11.25">
      <c r="A834" s="2" t="s">
        <v>572</v>
      </c>
      <c r="B834" s="21" t="s">
        <v>573</v>
      </c>
      <c r="C834" s="26" t="s">
        <v>47</v>
      </c>
      <c r="D834" s="163">
        <v>3040</v>
      </c>
      <c r="E834" s="166">
        <v>30040</v>
      </c>
      <c r="F834" s="92" t="s">
        <v>152</v>
      </c>
      <c r="G834" s="20" t="s">
        <v>1490</v>
      </c>
      <c r="H834" s="18">
        <v>2203663</v>
      </c>
      <c r="I834" s="18">
        <v>13</v>
      </c>
      <c r="J834" s="4" t="s">
        <v>12</v>
      </c>
      <c r="K834" s="26" t="s">
        <v>11</v>
      </c>
      <c r="L834" s="172">
        <v>12</v>
      </c>
      <c r="M834" s="6">
        <v>1</v>
      </c>
      <c r="N834" s="6"/>
      <c r="O834" s="6">
        <v>0</v>
      </c>
      <c r="P834" s="6"/>
      <c r="Q834" s="7">
        <v>1</v>
      </c>
      <c r="R834" s="6"/>
      <c r="S834" s="1">
        <v>1</v>
      </c>
      <c r="U834" s="1">
        <v>0</v>
      </c>
      <c r="W834" s="1" t="str">
        <f t="shared" ref="W834:W897" si="13">IF(V834&amp;T834&amp;R834&amp;P834&amp;N834&lt;&gt;"","Yes","No")</f>
        <v>No</v>
      </c>
    </row>
    <row r="835" spans="1:23" s="1" customFormat="1" ht="11.25">
      <c r="A835" s="2" t="s">
        <v>1730</v>
      </c>
      <c r="B835" s="21" t="s">
        <v>1713</v>
      </c>
      <c r="C835" s="26" t="s">
        <v>19</v>
      </c>
      <c r="D835" s="163"/>
      <c r="E835" s="166">
        <v>90271</v>
      </c>
      <c r="F835" s="92" t="s">
        <v>152</v>
      </c>
      <c r="G835" s="20" t="s">
        <v>1490</v>
      </c>
      <c r="H835" s="18">
        <v>12150996</v>
      </c>
      <c r="I835" s="18">
        <v>13</v>
      </c>
      <c r="J835" s="4" t="s">
        <v>12</v>
      </c>
      <c r="K835" s="26" t="s">
        <v>15</v>
      </c>
      <c r="L835" s="172">
        <v>6</v>
      </c>
      <c r="M835" s="6">
        <v>0</v>
      </c>
      <c r="N835" s="6"/>
      <c r="O835" s="6">
        <v>0</v>
      </c>
      <c r="P835" s="6"/>
      <c r="Q835" s="7">
        <v>0</v>
      </c>
      <c r="R835" s="6"/>
      <c r="S835" s="1">
        <v>0</v>
      </c>
      <c r="U835" s="1">
        <v>0</v>
      </c>
      <c r="W835" s="1" t="str">
        <f t="shared" si="13"/>
        <v>No</v>
      </c>
    </row>
    <row r="836" spans="1:23" s="1" customFormat="1" ht="11.25">
      <c r="A836" s="2" t="s">
        <v>839</v>
      </c>
      <c r="B836" s="21" t="s">
        <v>840</v>
      </c>
      <c r="C836" s="26" t="s">
        <v>83</v>
      </c>
      <c r="D836" s="163">
        <v>4080</v>
      </c>
      <c r="E836" s="166">
        <v>40080</v>
      </c>
      <c r="F836" s="92" t="s">
        <v>152</v>
      </c>
      <c r="G836" s="20" t="s">
        <v>1490</v>
      </c>
      <c r="H836" s="18">
        <v>106571</v>
      </c>
      <c r="I836" s="18">
        <v>13</v>
      </c>
      <c r="J836" s="4" t="s">
        <v>12</v>
      </c>
      <c r="K836" s="26" t="s">
        <v>11</v>
      </c>
      <c r="L836" s="172">
        <v>7</v>
      </c>
      <c r="M836" s="6">
        <v>1</v>
      </c>
      <c r="N836" s="6"/>
      <c r="O836" s="6">
        <v>0</v>
      </c>
      <c r="P836" s="6"/>
      <c r="Q836" s="7">
        <v>1</v>
      </c>
      <c r="R836" s="6"/>
      <c r="S836" s="1">
        <v>0</v>
      </c>
      <c r="U836" s="1">
        <v>0</v>
      </c>
      <c r="W836" s="1" t="str">
        <f t="shared" si="13"/>
        <v>No</v>
      </c>
    </row>
    <row r="837" spans="1:23" s="1" customFormat="1" ht="11.25">
      <c r="A837" s="2" t="s">
        <v>190</v>
      </c>
      <c r="B837" s="21" t="s">
        <v>191</v>
      </c>
      <c r="C837" s="26" t="s">
        <v>19</v>
      </c>
      <c r="D837" s="163">
        <v>9197</v>
      </c>
      <c r="E837" s="166">
        <v>90197</v>
      </c>
      <c r="F837" s="92" t="s">
        <v>152</v>
      </c>
      <c r="G837" s="20" t="s">
        <v>1490</v>
      </c>
      <c r="H837" s="18">
        <v>87569</v>
      </c>
      <c r="I837" s="18">
        <v>13</v>
      </c>
      <c r="J837" s="4" t="s">
        <v>12</v>
      </c>
      <c r="K837" s="26" t="s">
        <v>15</v>
      </c>
      <c r="L837" s="172">
        <v>9</v>
      </c>
      <c r="M837" s="6">
        <v>1</v>
      </c>
      <c r="N837" s="6"/>
      <c r="O837" s="6">
        <v>0</v>
      </c>
      <c r="P837" s="6"/>
      <c r="Q837" s="7">
        <v>1</v>
      </c>
      <c r="R837" s="6"/>
      <c r="S837" s="1">
        <v>0</v>
      </c>
      <c r="U837" s="1">
        <v>0</v>
      </c>
      <c r="W837" s="1" t="str">
        <f t="shared" si="13"/>
        <v>No</v>
      </c>
    </row>
    <row r="838" spans="1:23" s="1" customFormat="1" ht="11.25">
      <c r="A838" s="2" t="s">
        <v>1075</v>
      </c>
      <c r="B838" s="21" t="s">
        <v>1076</v>
      </c>
      <c r="C838" s="26" t="s">
        <v>71</v>
      </c>
      <c r="D838" s="163">
        <v>5095</v>
      </c>
      <c r="E838" s="166">
        <v>50095</v>
      </c>
      <c r="F838" s="92" t="s">
        <v>152</v>
      </c>
      <c r="G838" s="20" t="s">
        <v>1490</v>
      </c>
      <c r="H838" s="18">
        <v>180956</v>
      </c>
      <c r="I838" s="18">
        <v>13</v>
      </c>
      <c r="J838" s="4" t="s">
        <v>12</v>
      </c>
      <c r="K838" s="26" t="s">
        <v>15</v>
      </c>
      <c r="L838" s="172">
        <v>2</v>
      </c>
      <c r="M838" s="6">
        <v>0</v>
      </c>
      <c r="N838" s="6"/>
      <c r="O838" s="6">
        <v>0</v>
      </c>
      <c r="P838" s="6"/>
      <c r="Q838" s="7">
        <v>0</v>
      </c>
      <c r="R838" s="6"/>
      <c r="S838" s="1">
        <v>0</v>
      </c>
      <c r="U838" s="1">
        <v>0</v>
      </c>
      <c r="W838" s="1" t="str">
        <f t="shared" si="13"/>
        <v>No</v>
      </c>
    </row>
    <row r="839" spans="1:23" s="1" customFormat="1" ht="11.25">
      <c r="A839" s="2" t="s">
        <v>439</v>
      </c>
      <c r="B839" s="21" t="s">
        <v>440</v>
      </c>
      <c r="C839" s="26" t="s">
        <v>16</v>
      </c>
      <c r="D839" s="163" t="s">
        <v>441</v>
      </c>
      <c r="E839" s="166">
        <v>90005</v>
      </c>
      <c r="F839" s="92" t="s">
        <v>397</v>
      </c>
      <c r="G839" s="20" t="s">
        <v>1490</v>
      </c>
      <c r="H839" s="18">
        <v>0</v>
      </c>
      <c r="I839" s="18">
        <v>13</v>
      </c>
      <c r="J839" s="4" t="s">
        <v>21</v>
      </c>
      <c r="K839" s="26" t="s">
        <v>11</v>
      </c>
      <c r="L839" s="172">
        <v>13</v>
      </c>
      <c r="M839" s="6">
        <v>0</v>
      </c>
      <c r="N839" s="6"/>
      <c r="O839" s="6">
        <v>0</v>
      </c>
      <c r="P839" s="6"/>
      <c r="Q839" s="7">
        <v>0</v>
      </c>
      <c r="R839" s="6"/>
      <c r="S839" s="1">
        <v>0</v>
      </c>
      <c r="U839" s="1">
        <v>0</v>
      </c>
      <c r="W839" s="1" t="str">
        <f t="shared" si="13"/>
        <v>No</v>
      </c>
    </row>
    <row r="840" spans="1:23" s="1" customFormat="1" ht="11.25">
      <c r="A840" s="2" t="s">
        <v>547</v>
      </c>
      <c r="B840" s="21" t="s">
        <v>548</v>
      </c>
      <c r="C840" s="26" t="s">
        <v>47</v>
      </c>
      <c r="D840" s="163">
        <v>3041</v>
      </c>
      <c r="E840" s="166">
        <v>30041</v>
      </c>
      <c r="F840" s="92" t="s">
        <v>152</v>
      </c>
      <c r="G840" s="20" t="s">
        <v>1490</v>
      </c>
      <c r="H840" s="18">
        <v>51899</v>
      </c>
      <c r="I840" s="18">
        <v>13</v>
      </c>
      <c r="J840" s="4" t="s">
        <v>12</v>
      </c>
      <c r="K840" s="26" t="s">
        <v>11</v>
      </c>
      <c r="L840" s="172">
        <v>6</v>
      </c>
      <c r="M840" s="6">
        <v>0</v>
      </c>
      <c r="N840" s="6"/>
      <c r="O840" s="6">
        <v>0</v>
      </c>
      <c r="P840" s="6"/>
      <c r="Q840" s="7">
        <v>0</v>
      </c>
      <c r="R840" s="6"/>
      <c r="S840" s="1">
        <v>0</v>
      </c>
      <c r="U840" s="1">
        <v>0</v>
      </c>
      <c r="W840" s="1" t="str">
        <f t="shared" si="13"/>
        <v>No</v>
      </c>
    </row>
    <row r="841" spans="1:23" s="1" customFormat="1" ht="11.25">
      <c r="A841" s="2" t="s">
        <v>146</v>
      </c>
      <c r="B841" s="21" t="s">
        <v>147</v>
      </c>
      <c r="C841" s="26" t="s">
        <v>69</v>
      </c>
      <c r="D841" s="163">
        <v>2137</v>
      </c>
      <c r="E841" s="166">
        <v>20137</v>
      </c>
      <c r="F841" s="92" t="s">
        <v>148</v>
      </c>
      <c r="G841" s="20" t="s">
        <v>149</v>
      </c>
      <c r="H841" s="18">
        <v>423566</v>
      </c>
      <c r="I841" s="18">
        <v>12</v>
      </c>
      <c r="J841" s="4" t="s">
        <v>21</v>
      </c>
      <c r="K841" s="26" t="s">
        <v>11</v>
      </c>
      <c r="L841" s="172">
        <v>12</v>
      </c>
      <c r="M841" s="6">
        <v>0</v>
      </c>
      <c r="N841" s="6"/>
      <c r="O841" s="6">
        <v>0</v>
      </c>
      <c r="P841" s="6"/>
      <c r="Q841" s="7">
        <v>0</v>
      </c>
      <c r="R841" s="6"/>
      <c r="S841" s="1">
        <v>0</v>
      </c>
      <c r="U841" s="1">
        <v>0</v>
      </c>
      <c r="W841" s="1" t="str">
        <f t="shared" si="13"/>
        <v>No</v>
      </c>
    </row>
    <row r="842" spans="1:23" s="1" customFormat="1" ht="11.25">
      <c r="A842" s="2" t="s">
        <v>1409</v>
      </c>
      <c r="B842" s="21" t="s">
        <v>1410</v>
      </c>
      <c r="C842" s="26" t="s">
        <v>13</v>
      </c>
      <c r="D842" s="163">
        <v>4045</v>
      </c>
      <c r="E842" s="166">
        <v>40045</v>
      </c>
      <c r="F842" s="92" t="s">
        <v>160</v>
      </c>
      <c r="G842" s="20" t="s">
        <v>1490</v>
      </c>
      <c r="H842" s="18">
        <v>139114</v>
      </c>
      <c r="I842" s="18">
        <v>12</v>
      </c>
      <c r="J842" s="4" t="s">
        <v>12</v>
      </c>
      <c r="K842" s="26" t="s">
        <v>11</v>
      </c>
      <c r="L842" s="172">
        <v>7</v>
      </c>
      <c r="M842" s="6">
        <v>1</v>
      </c>
      <c r="N842" s="6"/>
      <c r="O842" s="6">
        <v>0</v>
      </c>
      <c r="P842" s="6"/>
      <c r="Q842" s="7">
        <v>1</v>
      </c>
      <c r="R842" s="6"/>
      <c r="S842" s="1">
        <v>1</v>
      </c>
      <c r="U842" s="1">
        <v>0</v>
      </c>
      <c r="W842" s="1" t="str">
        <f t="shared" si="13"/>
        <v>No</v>
      </c>
    </row>
    <row r="843" spans="1:23" s="1" customFormat="1" ht="11.25">
      <c r="A843" s="2" t="s">
        <v>237</v>
      </c>
      <c r="B843" s="21" t="s">
        <v>238</v>
      </c>
      <c r="C843" s="26" t="s">
        <v>19</v>
      </c>
      <c r="D843" s="163">
        <v>9198</v>
      </c>
      <c r="E843" s="166">
        <v>90198</v>
      </c>
      <c r="F843" s="92" t="s">
        <v>152</v>
      </c>
      <c r="G843" s="20" t="s">
        <v>1490</v>
      </c>
      <c r="H843" s="18">
        <v>70272</v>
      </c>
      <c r="I843" s="18">
        <v>12</v>
      </c>
      <c r="J843" s="4" t="s">
        <v>12</v>
      </c>
      <c r="K843" s="26" t="s">
        <v>15</v>
      </c>
      <c r="L843" s="172">
        <v>9</v>
      </c>
      <c r="M843" s="6">
        <v>1</v>
      </c>
      <c r="N843" s="6"/>
      <c r="O843" s="6">
        <v>0</v>
      </c>
      <c r="P843" s="6"/>
      <c r="Q843" s="7">
        <v>1</v>
      </c>
      <c r="R843" s="6"/>
      <c r="S843" s="1">
        <v>0</v>
      </c>
      <c r="U843" s="1">
        <v>0</v>
      </c>
      <c r="W843" s="1" t="str">
        <f t="shared" si="13"/>
        <v>No</v>
      </c>
    </row>
    <row r="844" spans="1:23" s="1" customFormat="1" ht="11.25">
      <c r="A844" s="2" t="s">
        <v>1860</v>
      </c>
      <c r="B844" s="21" t="s">
        <v>1861</v>
      </c>
      <c r="C844" s="26" t="s">
        <v>84</v>
      </c>
      <c r="D844" s="163">
        <v>6125</v>
      </c>
      <c r="E844" s="166">
        <v>60125</v>
      </c>
      <c r="F844" s="92" t="s">
        <v>152</v>
      </c>
      <c r="G844" s="20" t="s">
        <v>1490</v>
      </c>
      <c r="H844" s="18">
        <v>1362416</v>
      </c>
      <c r="I844" s="18">
        <v>12</v>
      </c>
      <c r="J844" s="4" t="s">
        <v>12</v>
      </c>
      <c r="K844" s="26" t="s">
        <v>15</v>
      </c>
      <c r="L844" s="172">
        <v>6</v>
      </c>
      <c r="M844" s="6">
        <v>6</v>
      </c>
      <c r="N844" s="6"/>
      <c r="O844" s="6">
        <v>0</v>
      </c>
      <c r="P844" s="6"/>
      <c r="Q844" s="7">
        <v>6</v>
      </c>
      <c r="R844" s="6"/>
      <c r="S844" s="1">
        <v>0</v>
      </c>
      <c r="U844" s="1">
        <v>0</v>
      </c>
      <c r="W844" s="1" t="str">
        <f t="shared" si="13"/>
        <v>No</v>
      </c>
    </row>
    <row r="845" spans="1:23" s="1" customFormat="1" ht="11.25">
      <c r="A845" s="2" t="s">
        <v>503</v>
      </c>
      <c r="B845" s="21" t="s">
        <v>266</v>
      </c>
      <c r="C845" s="26" t="s">
        <v>54</v>
      </c>
      <c r="D845" s="163">
        <v>7046</v>
      </c>
      <c r="E845" s="166">
        <v>70046</v>
      </c>
      <c r="F845" s="92" t="s">
        <v>152</v>
      </c>
      <c r="G845" s="20" t="s">
        <v>1490</v>
      </c>
      <c r="H845" s="18">
        <v>1519417</v>
      </c>
      <c r="I845" s="18">
        <v>12</v>
      </c>
      <c r="J845" s="4" t="s">
        <v>12</v>
      </c>
      <c r="K845" s="26" t="s">
        <v>15</v>
      </c>
      <c r="L845" s="172">
        <v>5</v>
      </c>
      <c r="M845" s="6">
        <v>1</v>
      </c>
      <c r="N845" s="6"/>
      <c r="O845" s="6">
        <v>0</v>
      </c>
      <c r="P845" s="6"/>
      <c r="Q845" s="7">
        <v>1</v>
      </c>
      <c r="R845" s="6"/>
      <c r="S845" s="1">
        <v>0</v>
      </c>
      <c r="U845" s="1">
        <v>0</v>
      </c>
      <c r="W845" s="1" t="str">
        <f t="shared" si="13"/>
        <v>No</v>
      </c>
    </row>
    <row r="846" spans="1:23" s="1" customFormat="1" ht="11.25">
      <c r="A846" s="2" t="s">
        <v>446</v>
      </c>
      <c r="B846" s="21" t="s">
        <v>447</v>
      </c>
      <c r="C846" s="26" t="s">
        <v>88</v>
      </c>
      <c r="D846" s="163">
        <v>51</v>
      </c>
      <c r="E846" s="166">
        <v>51</v>
      </c>
      <c r="F846" s="92" t="s">
        <v>152</v>
      </c>
      <c r="G846" s="20" t="s">
        <v>1490</v>
      </c>
      <c r="H846" s="18">
        <v>51924</v>
      </c>
      <c r="I846" s="18">
        <v>12</v>
      </c>
      <c r="J846" s="4" t="s">
        <v>12</v>
      </c>
      <c r="K846" s="26" t="s">
        <v>11</v>
      </c>
      <c r="L846" s="172">
        <v>3</v>
      </c>
      <c r="M846" s="6">
        <v>0</v>
      </c>
      <c r="N846" s="6"/>
      <c r="O846" s="6">
        <v>0</v>
      </c>
      <c r="P846" s="6"/>
      <c r="Q846" s="7">
        <v>0</v>
      </c>
      <c r="R846" s="6"/>
      <c r="S846" s="1">
        <v>0</v>
      </c>
      <c r="U846" s="1">
        <v>0</v>
      </c>
      <c r="W846" s="1" t="str">
        <f t="shared" si="13"/>
        <v>No</v>
      </c>
    </row>
    <row r="847" spans="1:23" s="1" customFormat="1" ht="11.25">
      <c r="A847" s="2" t="s">
        <v>219</v>
      </c>
      <c r="B847" s="21" t="s">
        <v>220</v>
      </c>
      <c r="C847" s="26" t="s">
        <v>32</v>
      </c>
      <c r="D847" s="163">
        <v>4146</v>
      </c>
      <c r="E847" s="166">
        <v>40146</v>
      </c>
      <c r="F847" s="92" t="s">
        <v>152</v>
      </c>
      <c r="G847" s="20" t="s">
        <v>1490</v>
      </c>
      <c r="H847" s="18">
        <v>148220</v>
      </c>
      <c r="I847" s="18">
        <v>12</v>
      </c>
      <c r="J847" s="4" t="s">
        <v>12</v>
      </c>
      <c r="K847" s="26" t="s">
        <v>15</v>
      </c>
      <c r="L847" s="172">
        <v>7</v>
      </c>
      <c r="M847" s="6">
        <v>0</v>
      </c>
      <c r="N847" s="6"/>
      <c r="O847" s="6">
        <v>0</v>
      </c>
      <c r="P847" s="6"/>
      <c r="Q847" s="7">
        <v>0</v>
      </c>
      <c r="R847" s="6"/>
      <c r="S847" s="1">
        <v>0</v>
      </c>
      <c r="U847" s="1">
        <v>0</v>
      </c>
      <c r="W847" s="1" t="str">
        <f t="shared" si="13"/>
        <v>No</v>
      </c>
    </row>
    <row r="848" spans="1:23" s="1" customFormat="1" ht="11.25">
      <c r="A848" s="2" t="s">
        <v>1290</v>
      </c>
      <c r="B848" s="21" t="s">
        <v>732</v>
      </c>
      <c r="C848" s="26" t="s">
        <v>71</v>
      </c>
      <c r="D848" s="163">
        <v>5020</v>
      </c>
      <c r="E848" s="166">
        <v>50020</v>
      </c>
      <c r="F848" s="92" t="s">
        <v>152</v>
      </c>
      <c r="G848" s="20" t="s">
        <v>1490</v>
      </c>
      <c r="H848" s="18">
        <v>85256</v>
      </c>
      <c r="I848" s="18">
        <v>12</v>
      </c>
      <c r="J848" s="4" t="s">
        <v>12</v>
      </c>
      <c r="K848" s="26" t="s">
        <v>15</v>
      </c>
      <c r="L848" s="172">
        <v>9</v>
      </c>
      <c r="M848" s="6">
        <v>1</v>
      </c>
      <c r="N848" s="6"/>
      <c r="O848" s="6">
        <v>0</v>
      </c>
      <c r="P848" s="6"/>
      <c r="Q848" s="7">
        <v>1</v>
      </c>
      <c r="R848" s="6"/>
      <c r="S848" s="1">
        <v>0</v>
      </c>
      <c r="U848" s="1">
        <v>0</v>
      </c>
      <c r="W848" s="1" t="str">
        <f t="shared" si="13"/>
        <v>No</v>
      </c>
    </row>
    <row r="849" spans="1:23" s="1" customFormat="1" ht="11.25">
      <c r="A849" s="2" t="s">
        <v>1859</v>
      </c>
      <c r="B849" s="21" t="s">
        <v>744</v>
      </c>
      <c r="C849" s="26" t="s">
        <v>2</v>
      </c>
      <c r="D849" s="163" t="s">
        <v>745</v>
      </c>
      <c r="E849" s="166">
        <v>31</v>
      </c>
      <c r="F849" s="92" t="s">
        <v>397</v>
      </c>
      <c r="G849" s="20" t="s">
        <v>1490</v>
      </c>
      <c r="H849" s="18">
        <v>0</v>
      </c>
      <c r="I849" s="18">
        <v>12</v>
      </c>
      <c r="J849" s="4" t="s">
        <v>12</v>
      </c>
      <c r="K849" s="26" t="s">
        <v>11</v>
      </c>
      <c r="L849" s="172">
        <v>12</v>
      </c>
      <c r="M849" s="6">
        <v>0</v>
      </c>
      <c r="N849" s="6"/>
      <c r="O849" s="6">
        <v>0</v>
      </c>
      <c r="P849" s="6"/>
      <c r="Q849" s="7">
        <v>0</v>
      </c>
      <c r="R849" s="6"/>
      <c r="S849" s="1">
        <v>0</v>
      </c>
      <c r="U849" s="1">
        <v>0</v>
      </c>
      <c r="W849" s="1" t="str">
        <f t="shared" si="13"/>
        <v>No</v>
      </c>
    </row>
    <row r="850" spans="1:23" s="1" customFormat="1" ht="11.25">
      <c r="A850" s="2" t="s">
        <v>1733</v>
      </c>
      <c r="B850" s="21" t="s">
        <v>1734</v>
      </c>
      <c r="C850" s="26" t="s">
        <v>19</v>
      </c>
      <c r="D850" s="163"/>
      <c r="E850" s="166">
        <v>90266</v>
      </c>
      <c r="F850" s="92" t="s">
        <v>152</v>
      </c>
      <c r="G850" s="20" t="s">
        <v>1490</v>
      </c>
      <c r="H850" s="18">
        <v>12150996</v>
      </c>
      <c r="I850" s="18">
        <v>12</v>
      </c>
      <c r="J850" s="4" t="s">
        <v>12</v>
      </c>
      <c r="K850" s="26" t="s">
        <v>15</v>
      </c>
      <c r="L850" s="172">
        <v>3</v>
      </c>
      <c r="M850" s="6">
        <v>0</v>
      </c>
      <c r="N850" s="6"/>
      <c r="O850" s="6">
        <v>0</v>
      </c>
      <c r="P850" s="6"/>
      <c r="Q850" s="7">
        <v>0</v>
      </c>
      <c r="R850" s="6"/>
      <c r="S850" s="1">
        <v>0</v>
      </c>
      <c r="U850" s="1">
        <v>0</v>
      </c>
      <c r="W850" s="1" t="str">
        <f t="shared" si="13"/>
        <v>No</v>
      </c>
    </row>
    <row r="851" spans="1:23" s="1" customFormat="1" ht="11.25">
      <c r="A851" s="2" t="s">
        <v>735</v>
      </c>
      <c r="B851" s="21" t="s">
        <v>736</v>
      </c>
      <c r="C851" s="26" t="s">
        <v>71</v>
      </c>
      <c r="D851" s="163">
        <v>5199</v>
      </c>
      <c r="E851" s="166">
        <v>50199</v>
      </c>
      <c r="F851" s="92" t="s">
        <v>160</v>
      </c>
      <c r="G851" s="20" t="s">
        <v>149</v>
      </c>
      <c r="H851" s="18">
        <v>1368035</v>
      </c>
      <c r="I851" s="18">
        <v>12</v>
      </c>
      <c r="J851" s="4" t="s">
        <v>12</v>
      </c>
      <c r="K851" s="26" t="s">
        <v>11</v>
      </c>
      <c r="L851" s="172">
        <v>7</v>
      </c>
      <c r="M851" s="6">
        <v>0</v>
      </c>
      <c r="N851" s="6"/>
      <c r="O851" s="6">
        <v>0</v>
      </c>
      <c r="P851" s="6"/>
      <c r="Q851" s="7">
        <v>0</v>
      </c>
      <c r="R851" s="6"/>
      <c r="S851" s="1">
        <v>0</v>
      </c>
      <c r="U851" s="1">
        <v>0</v>
      </c>
      <c r="W851" s="1" t="str">
        <f t="shared" si="13"/>
        <v>No</v>
      </c>
    </row>
    <row r="852" spans="1:23" s="1" customFormat="1" ht="11.25">
      <c r="A852" s="2" t="s">
        <v>771</v>
      </c>
      <c r="B852" s="21" t="s">
        <v>772</v>
      </c>
      <c r="C852" s="26" t="s">
        <v>47</v>
      </c>
      <c r="D852" s="163">
        <v>3108</v>
      </c>
      <c r="E852" s="166">
        <v>30108</v>
      </c>
      <c r="F852" s="92" t="s">
        <v>152</v>
      </c>
      <c r="G852" s="20" t="s">
        <v>1490</v>
      </c>
      <c r="H852" s="18">
        <v>5441567</v>
      </c>
      <c r="I852" s="18">
        <v>11</v>
      </c>
      <c r="J852" s="4" t="s">
        <v>12</v>
      </c>
      <c r="K852" s="26" t="s">
        <v>11</v>
      </c>
      <c r="L852" s="172">
        <v>4</v>
      </c>
      <c r="M852" s="6">
        <v>0</v>
      </c>
      <c r="N852" s="6"/>
      <c r="O852" s="6">
        <v>0</v>
      </c>
      <c r="P852" s="6"/>
      <c r="Q852" s="7">
        <v>0</v>
      </c>
      <c r="R852" s="6"/>
      <c r="S852" s="1">
        <v>0</v>
      </c>
      <c r="U852" s="1">
        <v>0</v>
      </c>
      <c r="W852" s="1" t="str">
        <f t="shared" si="13"/>
        <v>No</v>
      </c>
    </row>
    <row r="853" spans="1:23" s="1" customFormat="1" ht="11.25">
      <c r="A853" s="2" t="s">
        <v>287</v>
      </c>
      <c r="B853" s="21" t="s">
        <v>546</v>
      </c>
      <c r="C853" s="26" t="s">
        <v>32</v>
      </c>
      <c r="D853" s="163">
        <v>4192</v>
      </c>
      <c r="E853" s="166">
        <v>40192</v>
      </c>
      <c r="F853" s="92" t="s">
        <v>152</v>
      </c>
      <c r="G853" s="20" t="s">
        <v>149</v>
      </c>
      <c r="H853" s="18">
        <v>376047</v>
      </c>
      <c r="I853" s="18">
        <v>11</v>
      </c>
      <c r="J853" s="4" t="s">
        <v>12</v>
      </c>
      <c r="K853" s="26" t="s">
        <v>15</v>
      </c>
      <c r="L853" s="172">
        <v>5</v>
      </c>
      <c r="M853" s="6">
        <v>0</v>
      </c>
      <c r="N853" s="6"/>
      <c r="O853" s="6">
        <v>0</v>
      </c>
      <c r="P853" s="6"/>
      <c r="Q853" s="7">
        <v>0</v>
      </c>
      <c r="R853" s="6"/>
      <c r="S853" s="1">
        <v>0</v>
      </c>
      <c r="U853" s="1">
        <v>0</v>
      </c>
      <c r="W853" s="1" t="str">
        <f t="shared" si="13"/>
        <v>No</v>
      </c>
    </row>
    <row r="854" spans="1:23" s="1" customFormat="1" ht="11.25">
      <c r="A854" s="2" t="s">
        <v>614</v>
      </c>
      <c r="B854" s="21" t="s">
        <v>615</v>
      </c>
      <c r="C854" s="26" t="s">
        <v>77</v>
      </c>
      <c r="D854" s="163">
        <v>4197</v>
      </c>
      <c r="E854" s="166">
        <v>40197</v>
      </c>
      <c r="F854" s="92" t="s">
        <v>152</v>
      </c>
      <c r="G854" s="20" t="s">
        <v>1490</v>
      </c>
      <c r="H854" s="18">
        <v>306196</v>
      </c>
      <c r="I854" s="18">
        <v>11</v>
      </c>
      <c r="J854" s="4" t="s">
        <v>12</v>
      </c>
      <c r="K854" s="26" t="s">
        <v>11</v>
      </c>
      <c r="L854" s="172">
        <v>9</v>
      </c>
      <c r="M854" s="6">
        <v>0</v>
      </c>
      <c r="N854" s="6"/>
      <c r="O854" s="6">
        <v>0</v>
      </c>
      <c r="P854" s="6"/>
      <c r="Q854" s="7">
        <v>0</v>
      </c>
      <c r="R854" s="6"/>
      <c r="S854" s="1">
        <v>0</v>
      </c>
      <c r="U854" s="1">
        <v>0</v>
      </c>
      <c r="W854" s="1" t="str">
        <f t="shared" si="13"/>
        <v>No</v>
      </c>
    </row>
    <row r="855" spans="1:23" s="1" customFormat="1" ht="11.25">
      <c r="A855" s="2" t="s">
        <v>78</v>
      </c>
      <c r="B855" s="21" t="s">
        <v>315</v>
      </c>
      <c r="C855" s="26" t="s">
        <v>77</v>
      </c>
      <c r="D855" s="163">
        <v>4150</v>
      </c>
      <c r="E855" s="166">
        <v>40150</v>
      </c>
      <c r="F855" s="92" t="s">
        <v>152</v>
      </c>
      <c r="G855" s="20" t="s">
        <v>1490</v>
      </c>
      <c r="H855" s="18">
        <v>71747</v>
      </c>
      <c r="I855" s="18">
        <v>11</v>
      </c>
      <c r="J855" s="4" t="s">
        <v>12</v>
      </c>
      <c r="K855" s="26" t="s">
        <v>11</v>
      </c>
      <c r="L855" s="172">
        <v>8</v>
      </c>
      <c r="M855" s="6">
        <v>1</v>
      </c>
      <c r="N855" s="6"/>
      <c r="O855" s="6">
        <v>0</v>
      </c>
      <c r="P855" s="6"/>
      <c r="Q855" s="7">
        <v>1</v>
      </c>
      <c r="R855" s="6"/>
      <c r="S855" s="1">
        <v>0</v>
      </c>
      <c r="U855" s="1">
        <v>0</v>
      </c>
      <c r="W855" s="1" t="str">
        <f t="shared" si="13"/>
        <v>No</v>
      </c>
    </row>
    <row r="856" spans="1:23" s="1" customFormat="1" ht="11.25">
      <c r="A856" s="2" t="s">
        <v>1439</v>
      </c>
      <c r="B856" s="21" t="s">
        <v>1440</v>
      </c>
      <c r="C856" s="26" t="s">
        <v>77</v>
      </c>
      <c r="D856" s="163">
        <v>4137</v>
      </c>
      <c r="E856" s="166">
        <v>40137</v>
      </c>
      <c r="F856" s="92" t="s">
        <v>152</v>
      </c>
      <c r="G856" s="20" t="s">
        <v>1490</v>
      </c>
      <c r="H856" s="18">
        <v>2148346</v>
      </c>
      <c r="I856" s="18">
        <v>11</v>
      </c>
      <c r="J856" s="4" t="s">
        <v>12</v>
      </c>
      <c r="K856" s="26" t="s">
        <v>11</v>
      </c>
      <c r="L856" s="172">
        <v>9</v>
      </c>
      <c r="M856" s="6">
        <v>3</v>
      </c>
      <c r="N856" s="6"/>
      <c r="O856" s="6">
        <v>0</v>
      </c>
      <c r="P856" s="6"/>
      <c r="Q856" s="7">
        <v>3</v>
      </c>
      <c r="R856" s="6"/>
      <c r="S856" s="1">
        <v>2</v>
      </c>
      <c r="U856" s="1">
        <v>0</v>
      </c>
      <c r="W856" s="1" t="str">
        <f t="shared" si="13"/>
        <v>No</v>
      </c>
    </row>
    <row r="857" spans="1:23" s="1" customFormat="1" ht="11.25">
      <c r="A857" s="2" t="s">
        <v>156</v>
      </c>
      <c r="B857" s="21" t="s">
        <v>157</v>
      </c>
      <c r="C857" s="26" t="s">
        <v>75</v>
      </c>
      <c r="D857" s="163">
        <v>3093</v>
      </c>
      <c r="E857" s="166">
        <v>30093</v>
      </c>
      <c r="F857" s="92" t="s">
        <v>152</v>
      </c>
      <c r="G857" s="20" t="s">
        <v>1490</v>
      </c>
      <c r="H857" s="18">
        <v>56827</v>
      </c>
      <c r="I857" s="18">
        <v>11</v>
      </c>
      <c r="J857" s="4" t="s">
        <v>12</v>
      </c>
      <c r="K857" s="26" t="s">
        <v>15</v>
      </c>
      <c r="L857" s="172">
        <v>8</v>
      </c>
      <c r="M857" s="6">
        <v>1</v>
      </c>
      <c r="N857" s="6"/>
      <c r="O857" s="6">
        <v>0</v>
      </c>
      <c r="P857" s="6"/>
      <c r="Q857" s="7">
        <v>1</v>
      </c>
      <c r="R857" s="6"/>
      <c r="S857" s="1">
        <v>0</v>
      </c>
      <c r="U857" s="1">
        <v>0</v>
      </c>
      <c r="W857" s="1" t="str">
        <f t="shared" si="13"/>
        <v>No</v>
      </c>
    </row>
    <row r="858" spans="1:23" s="1" customFormat="1" ht="11.25">
      <c r="A858" s="2" t="s">
        <v>1015</v>
      </c>
      <c r="B858" s="21" t="s">
        <v>245</v>
      </c>
      <c r="C858" s="26" t="s">
        <v>57</v>
      </c>
      <c r="D858" s="163">
        <v>4095</v>
      </c>
      <c r="E858" s="166">
        <v>40095</v>
      </c>
      <c r="F858" s="92" t="s">
        <v>152</v>
      </c>
      <c r="G858" s="20" t="s">
        <v>1490</v>
      </c>
      <c r="H858" s="18">
        <v>117798</v>
      </c>
      <c r="I858" s="18">
        <v>11</v>
      </c>
      <c r="J858" s="4" t="s">
        <v>12</v>
      </c>
      <c r="K858" s="26" t="s">
        <v>11</v>
      </c>
      <c r="L858" s="172">
        <v>6</v>
      </c>
      <c r="M858" s="6">
        <v>0</v>
      </c>
      <c r="N858" s="6"/>
      <c r="O858" s="6">
        <v>0</v>
      </c>
      <c r="P858" s="6"/>
      <c r="Q858" s="7">
        <v>0</v>
      </c>
      <c r="R858" s="6"/>
      <c r="S858" s="1">
        <v>0</v>
      </c>
      <c r="U858" s="1">
        <v>0</v>
      </c>
      <c r="W858" s="1" t="str">
        <f t="shared" si="13"/>
        <v>No</v>
      </c>
    </row>
    <row r="859" spans="1:23" s="1" customFormat="1" ht="11.25">
      <c r="A859" s="2" t="s">
        <v>416</v>
      </c>
      <c r="B859" s="21" t="s">
        <v>417</v>
      </c>
      <c r="C859" s="26" t="s">
        <v>82</v>
      </c>
      <c r="D859" s="163" t="s">
        <v>418</v>
      </c>
      <c r="E859" s="166">
        <v>88122</v>
      </c>
      <c r="F859" s="92" t="s">
        <v>397</v>
      </c>
      <c r="G859" s="20" t="s">
        <v>1490</v>
      </c>
      <c r="H859" s="18">
        <v>0</v>
      </c>
      <c r="I859" s="18">
        <v>11</v>
      </c>
      <c r="J859" s="4" t="s">
        <v>12</v>
      </c>
      <c r="K859" s="26" t="s">
        <v>11</v>
      </c>
      <c r="L859" s="172">
        <v>11</v>
      </c>
      <c r="M859" s="6">
        <v>1</v>
      </c>
      <c r="N859" s="6"/>
      <c r="O859" s="6">
        <v>0</v>
      </c>
      <c r="P859" s="6"/>
      <c r="Q859" s="7">
        <v>1</v>
      </c>
      <c r="R859" s="6"/>
      <c r="S859" s="1">
        <v>0</v>
      </c>
      <c r="U859" s="1">
        <v>0</v>
      </c>
      <c r="W859" s="1" t="str">
        <f t="shared" si="13"/>
        <v>No</v>
      </c>
    </row>
    <row r="860" spans="1:23" s="1" customFormat="1" ht="11.25">
      <c r="A860" s="2" t="s">
        <v>925</v>
      </c>
      <c r="B860" s="21" t="s">
        <v>926</v>
      </c>
      <c r="C860" s="26" t="s">
        <v>77</v>
      </c>
      <c r="D860" s="163">
        <v>4234</v>
      </c>
      <c r="E860" s="166">
        <v>40234</v>
      </c>
      <c r="F860" s="92" t="s">
        <v>152</v>
      </c>
      <c r="G860" s="20" t="s">
        <v>1490</v>
      </c>
      <c r="H860" s="18">
        <v>149539</v>
      </c>
      <c r="I860" s="18">
        <v>11</v>
      </c>
      <c r="J860" s="4" t="s">
        <v>12</v>
      </c>
      <c r="K860" s="26" t="s">
        <v>11</v>
      </c>
      <c r="L860" s="172">
        <v>8</v>
      </c>
      <c r="M860" s="6">
        <v>2</v>
      </c>
      <c r="N860" s="6"/>
      <c r="O860" s="6">
        <v>0</v>
      </c>
      <c r="P860" s="6"/>
      <c r="Q860" s="7">
        <v>2</v>
      </c>
      <c r="R860" s="6"/>
      <c r="S860" s="1">
        <v>1</v>
      </c>
      <c r="U860" s="1">
        <v>4</v>
      </c>
      <c r="W860" s="1" t="str">
        <f t="shared" si="13"/>
        <v>No</v>
      </c>
    </row>
    <row r="861" spans="1:23" s="1" customFormat="1" ht="11.25">
      <c r="A861" s="2" t="s">
        <v>383</v>
      </c>
      <c r="B861" s="21" t="s">
        <v>203</v>
      </c>
      <c r="C861" s="26" t="s">
        <v>10</v>
      </c>
      <c r="D861" s="163">
        <v>6104</v>
      </c>
      <c r="E861" s="166">
        <v>60104</v>
      </c>
      <c r="F861" s="92" t="s">
        <v>152</v>
      </c>
      <c r="G861" s="20" t="s">
        <v>1490</v>
      </c>
      <c r="H861" s="18">
        <v>65419</v>
      </c>
      <c r="I861" s="18">
        <v>11</v>
      </c>
      <c r="J861" s="4" t="s">
        <v>12</v>
      </c>
      <c r="K861" s="26" t="s">
        <v>11</v>
      </c>
      <c r="L861" s="172">
        <v>8</v>
      </c>
      <c r="M861" s="6">
        <v>1</v>
      </c>
      <c r="N861" s="6"/>
      <c r="O861" s="6">
        <v>0</v>
      </c>
      <c r="P861" s="6"/>
      <c r="Q861" s="7">
        <v>1</v>
      </c>
      <c r="R861" s="6"/>
      <c r="S861" s="1">
        <v>0</v>
      </c>
      <c r="U861" s="1">
        <v>0</v>
      </c>
      <c r="W861" s="1" t="str">
        <f t="shared" si="13"/>
        <v>No</v>
      </c>
    </row>
    <row r="862" spans="1:23" s="1" customFormat="1" ht="11.25">
      <c r="A862" s="2" t="s">
        <v>453</v>
      </c>
      <c r="B862" s="21" t="s">
        <v>313</v>
      </c>
      <c r="C862" s="26" t="s">
        <v>57</v>
      </c>
      <c r="D862" s="163">
        <v>4167</v>
      </c>
      <c r="E862" s="166">
        <v>40167</v>
      </c>
      <c r="F862" s="92" t="s">
        <v>152</v>
      </c>
      <c r="G862" s="20" t="s">
        <v>1490</v>
      </c>
      <c r="H862" s="18">
        <v>214881</v>
      </c>
      <c r="I862" s="18">
        <v>11</v>
      </c>
      <c r="J862" s="4" t="s">
        <v>12</v>
      </c>
      <c r="K862" s="26" t="s">
        <v>15</v>
      </c>
      <c r="L862" s="172">
        <v>7</v>
      </c>
      <c r="M862" s="6">
        <v>1</v>
      </c>
      <c r="N862" s="6"/>
      <c r="O862" s="6">
        <v>0</v>
      </c>
      <c r="P862" s="6"/>
      <c r="Q862" s="7">
        <v>1</v>
      </c>
      <c r="R862" s="6"/>
      <c r="S862" s="1">
        <v>1</v>
      </c>
      <c r="U862" s="1">
        <v>0</v>
      </c>
      <c r="W862" s="1" t="str">
        <f t="shared" si="13"/>
        <v>No</v>
      </c>
    </row>
    <row r="863" spans="1:23" s="1" customFormat="1" ht="11.25">
      <c r="A863" s="2" t="s">
        <v>907</v>
      </c>
      <c r="B863" s="21" t="s">
        <v>908</v>
      </c>
      <c r="C863" s="26" t="s">
        <v>69</v>
      </c>
      <c r="D863" s="163">
        <v>2085</v>
      </c>
      <c r="E863" s="166">
        <v>20085</v>
      </c>
      <c r="F863" s="92" t="s">
        <v>152</v>
      </c>
      <c r="G863" s="20" t="s">
        <v>1490</v>
      </c>
      <c r="H863" s="18">
        <v>18351295</v>
      </c>
      <c r="I863" s="18">
        <v>11</v>
      </c>
      <c r="J863" s="4" t="s">
        <v>12</v>
      </c>
      <c r="K863" s="26" t="s">
        <v>11</v>
      </c>
      <c r="L863" s="172">
        <v>11</v>
      </c>
      <c r="M863" s="6">
        <v>0</v>
      </c>
      <c r="N863" s="6"/>
      <c r="O863" s="6">
        <v>0</v>
      </c>
      <c r="P863" s="6"/>
      <c r="Q863" s="7">
        <v>0</v>
      </c>
      <c r="R863" s="6"/>
      <c r="S863" s="1">
        <v>0</v>
      </c>
      <c r="U863" s="1">
        <v>0</v>
      </c>
      <c r="W863" s="1" t="str">
        <f t="shared" si="13"/>
        <v>No</v>
      </c>
    </row>
    <row r="864" spans="1:23" s="1" customFormat="1" ht="11.25">
      <c r="A864" s="2" t="s">
        <v>1862</v>
      </c>
      <c r="B864" s="21" t="s">
        <v>1863</v>
      </c>
      <c r="C864" s="26" t="s">
        <v>16</v>
      </c>
      <c r="D864" s="163" t="s">
        <v>1864</v>
      </c>
      <c r="E864" s="166">
        <v>99433</v>
      </c>
      <c r="F864" s="92" t="s">
        <v>397</v>
      </c>
      <c r="G864" s="20" t="s">
        <v>1490</v>
      </c>
      <c r="H864" s="18">
        <v>0</v>
      </c>
      <c r="I864" s="18">
        <v>11</v>
      </c>
      <c r="J864" s="4" t="s">
        <v>12</v>
      </c>
      <c r="K864" s="26" t="s">
        <v>11</v>
      </c>
      <c r="L864" s="172">
        <v>4</v>
      </c>
      <c r="M864" s="6">
        <v>0</v>
      </c>
      <c r="N864" s="6"/>
      <c r="O864" s="6">
        <v>0</v>
      </c>
      <c r="P864" s="6"/>
      <c r="Q864" s="7">
        <v>0</v>
      </c>
      <c r="R864" s="6"/>
      <c r="S864" s="1">
        <v>0</v>
      </c>
      <c r="U864" s="1">
        <v>0</v>
      </c>
      <c r="W864" s="1" t="str">
        <f t="shared" si="13"/>
        <v>No</v>
      </c>
    </row>
    <row r="865" spans="1:23" s="1" customFormat="1" ht="11.25">
      <c r="A865" s="2" t="s">
        <v>153</v>
      </c>
      <c r="B865" s="21" t="s">
        <v>154</v>
      </c>
      <c r="C865" s="26" t="s">
        <v>74</v>
      </c>
      <c r="D865" s="163">
        <v>47</v>
      </c>
      <c r="E865" s="166">
        <v>47</v>
      </c>
      <c r="F865" s="92" t="s">
        <v>152</v>
      </c>
      <c r="G865" s="20" t="s">
        <v>149</v>
      </c>
      <c r="H865" s="18">
        <v>62433</v>
      </c>
      <c r="I865" s="18">
        <v>11</v>
      </c>
      <c r="J865" s="4" t="s">
        <v>12</v>
      </c>
      <c r="K865" s="26" t="s">
        <v>15</v>
      </c>
      <c r="L865" s="172">
        <v>11</v>
      </c>
      <c r="M865" s="6">
        <v>1</v>
      </c>
      <c r="N865" s="6"/>
      <c r="O865" s="6">
        <v>0</v>
      </c>
      <c r="P865" s="6"/>
      <c r="Q865" s="7">
        <v>1</v>
      </c>
      <c r="R865" s="6"/>
      <c r="S865" s="1">
        <v>0</v>
      </c>
      <c r="U865" s="1">
        <v>0</v>
      </c>
      <c r="W865" s="1" t="str">
        <f t="shared" si="13"/>
        <v>No</v>
      </c>
    </row>
    <row r="866" spans="1:23" s="1" customFormat="1" ht="11.25">
      <c r="A866" s="2" t="s">
        <v>862</v>
      </c>
      <c r="B866" s="21" t="s">
        <v>863</v>
      </c>
      <c r="C866" s="26" t="s">
        <v>52</v>
      </c>
      <c r="D866" s="163">
        <v>5026</v>
      </c>
      <c r="E866" s="166">
        <v>50026</v>
      </c>
      <c r="F866" s="92" t="s">
        <v>152</v>
      </c>
      <c r="G866" s="20" t="s">
        <v>149</v>
      </c>
      <c r="H866" s="18">
        <v>176676</v>
      </c>
      <c r="I866" s="18">
        <v>11</v>
      </c>
      <c r="J866" s="4" t="s">
        <v>12</v>
      </c>
      <c r="K866" s="26" t="s">
        <v>15</v>
      </c>
      <c r="L866" s="172">
        <v>8</v>
      </c>
      <c r="M866" s="6">
        <v>1</v>
      </c>
      <c r="N866" s="6"/>
      <c r="O866" s="6">
        <v>0</v>
      </c>
      <c r="P866" s="6"/>
      <c r="Q866" s="7">
        <v>1</v>
      </c>
      <c r="R866" s="6"/>
      <c r="S866" s="1">
        <v>0</v>
      </c>
      <c r="U866" s="1">
        <v>0</v>
      </c>
      <c r="W866" s="1" t="str">
        <f t="shared" si="13"/>
        <v>No</v>
      </c>
    </row>
    <row r="867" spans="1:23" s="1" customFormat="1" ht="11.25">
      <c r="A867" s="2" t="s">
        <v>1311</v>
      </c>
      <c r="B867" s="21" t="s">
        <v>259</v>
      </c>
      <c r="C867" s="26" t="s">
        <v>40</v>
      </c>
      <c r="D867" s="163">
        <v>5053</v>
      </c>
      <c r="E867" s="166">
        <v>50053</v>
      </c>
      <c r="F867" s="92" t="s">
        <v>152</v>
      </c>
      <c r="G867" s="20" t="s">
        <v>149</v>
      </c>
      <c r="H867" s="18">
        <v>92742</v>
      </c>
      <c r="I867" s="18">
        <v>11</v>
      </c>
      <c r="J867" s="4" t="s">
        <v>12</v>
      </c>
      <c r="K867" s="26" t="s">
        <v>11</v>
      </c>
      <c r="L867" s="172">
        <v>8</v>
      </c>
      <c r="M867" s="6">
        <v>2</v>
      </c>
      <c r="N867" s="6"/>
      <c r="O867" s="6">
        <v>0</v>
      </c>
      <c r="P867" s="6"/>
      <c r="Q867" s="7">
        <v>2</v>
      </c>
      <c r="R867" s="6"/>
      <c r="S867" s="1">
        <v>0</v>
      </c>
      <c r="U867" s="1">
        <v>0</v>
      </c>
      <c r="W867" s="1" t="str">
        <f t="shared" si="13"/>
        <v>No</v>
      </c>
    </row>
    <row r="868" spans="1:23" s="1" customFormat="1" ht="11.25">
      <c r="A868" s="2" t="s">
        <v>287</v>
      </c>
      <c r="B868" s="21" t="s">
        <v>546</v>
      </c>
      <c r="C868" s="26" t="s">
        <v>32</v>
      </c>
      <c r="D868" s="163">
        <v>4192</v>
      </c>
      <c r="E868" s="166">
        <v>40192</v>
      </c>
      <c r="F868" s="92" t="s">
        <v>152</v>
      </c>
      <c r="G868" s="20" t="s">
        <v>149</v>
      </c>
      <c r="H868" s="18">
        <v>376047</v>
      </c>
      <c r="I868" s="18">
        <v>11</v>
      </c>
      <c r="J868" s="4" t="s">
        <v>21</v>
      </c>
      <c r="K868" s="26" t="s">
        <v>15</v>
      </c>
      <c r="L868" s="172">
        <v>2</v>
      </c>
      <c r="M868" s="6">
        <v>0</v>
      </c>
      <c r="N868" s="6"/>
      <c r="O868" s="6">
        <v>0</v>
      </c>
      <c r="P868" s="6"/>
      <c r="Q868" s="7">
        <v>0</v>
      </c>
      <c r="R868" s="6"/>
      <c r="S868" s="1">
        <v>0</v>
      </c>
      <c r="U868" s="1">
        <v>0</v>
      </c>
      <c r="W868" s="1" t="str">
        <f t="shared" si="13"/>
        <v>No</v>
      </c>
    </row>
    <row r="869" spans="1:23" s="1" customFormat="1" ht="11.25">
      <c r="A869" s="2" t="s">
        <v>571</v>
      </c>
      <c r="B869" s="21" t="s">
        <v>561</v>
      </c>
      <c r="C869" s="26" t="s">
        <v>62</v>
      </c>
      <c r="D869" s="163">
        <v>2201</v>
      </c>
      <c r="E869" s="166">
        <v>20201</v>
      </c>
      <c r="F869" s="92" t="s">
        <v>152</v>
      </c>
      <c r="G869" s="20" t="s">
        <v>1490</v>
      </c>
      <c r="H869" s="18">
        <v>5441567</v>
      </c>
      <c r="I869" s="18">
        <v>11</v>
      </c>
      <c r="J869" s="4" t="s">
        <v>12</v>
      </c>
      <c r="K869" s="26" t="s">
        <v>11</v>
      </c>
      <c r="L869" s="172">
        <v>11</v>
      </c>
      <c r="M869" s="6">
        <v>0</v>
      </c>
      <c r="N869" s="6"/>
      <c r="O869" s="6">
        <v>0</v>
      </c>
      <c r="P869" s="6"/>
      <c r="Q869" s="7">
        <v>0</v>
      </c>
      <c r="R869" s="6"/>
      <c r="S869" s="1">
        <v>0</v>
      </c>
      <c r="U869" s="1">
        <v>0</v>
      </c>
      <c r="W869" s="1" t="str">
        <f t="shared" si="13"/>
        <v>No</v>
      </c>
    </row>
    <row r="870" spans="1:23" s="1" customFormat="1" ht="11.25">
      <c r="A870" s="2" t="s">
        <v>882</v>
      </c>
      <c r="B870" s="21" t="s">
        <v>344</v>
      </c>
      <c r="C870" s="26" t="s">
        <v>19</v>
      </c>
      <c r="D870" s="163">
        <v>9156</v>
      </c>
      <c r="E870" s="166">
        <v>90156</v>
      </c>
      <c r="F870" s="92" t="s">
        <v>152</v>
      </c>
      <c r="G870" s="20" t="s">
        <v>149</v>
      </c>
      <c r="H870" s="18">
        <v>59219</v>
      </c>
      <c r="I870" s="18">
        <v>10</v>
      </c>
      <c r="J870" s="4" t="s">
        <v>12</v>
      </c>
      <c r="K870" s="26" t="s">
        <v>15</v>
      </c>
      <c r="L870" s="172">
        <v>10</v>
      </c>
      <c r="M870" s="6">
        <v>0</v>
      </c>
      <c r="N870" s="6"/>
      <c r="O870" s="6">
        <v>0</v>
      </c>
      <c r="P870" s="6"/>
      <c r="Q870" s="7">
        <v>0</v>
      </c>
      <c r="R870" s="6"/>
      <c r="S870" s="1">
        <v>0</v>
      </c>
      <c r="U870" s="1">
        <v>0</v>
      </c>
      <c r="W870" s="1" t="str">
        <f t="shared" si="13"/>
        <v>No</v>
      </c>
    </row>
    <row r="871" spans="1:23" s="1" customFormat="1" ht="11.25">
      <c r="A871" s="2" t="s">
        <v>1356</v>
      </c>
      <c r="B871" s="21" t="s">
        <v>1357</v>
      </c>
      <c r="C871" s="26" t="s">
        <v>47</v>
      </c>
      <c r="D871" s="163">
        <v>3042</v>
      </c>
      <c r="E871" s="166">
        <v>30042</v>
      </c>
      <c r="F871" s="92" t="s">
        <v>152</v>
      </c>
      <c r="G871" s="20" t="s">
        <v>1490</v>
      </c>
      <c r="H871" s="18">
        <v>182696</v>
      </c>
      <c r="I871" s="18">
        <v>10</v>
      </c>
      <c r="J871" s="4" t="s">
        <v>12</v>
      </c>
      <c r="K871" s="26" t="s">
        <v>11</v>
      </c>
      <c r="L871" s="172">
        <v>8</v>
      </c>
      <c r="M871" s="6">
        <v>1</v>
      </c>
      <c r="N871" s="6"/>
      <c r="O871" s="6">
        <v>0</v>
      </c>
      <c r="P871" s="6"/>
      <c r="Q871" s="7">
        <v>1</v>
      </c>
      <c r="R871" s="6"/>
      <c r="S871" s="1">
        <v>0</v>
      </c>
      <c r="U871" s="1">
        <v>0</v>
      </c>
      <c r="W871" s="1" t="str">
        <f t="shared" si="13"/>
        <v>No</v>
      </c>
    </row>
    <row r="872" spans="1:23" s="1" customFormat="1" ht="11.25">
      <c r="A872" s="2" t="s">
        <v>1740</v>
      </c>
      <c r="B872" s="21" t="s">
        <v>1741</v>
      </c>
      <c r="C872" s="26" t="s">
        <v>32</v>
      </c>
      <c r="D872" s="163"/>
      <c r="E872" s="166">
        <v>40256</v>
      </c>
      <c r="F872" s="92" t="s">
        <v>152</v>
      </c>
      <c r="G872" s="20" t="s">
        <v>1490</v>
      </c>
      <c r="H872" s="18">
        <v>5502379</v>
      </c>
      <c r="I872" s="18">
        <v>10</v>
      </c>
      <c r="J872" s="4" t="s">
        <v>12</v>
      </c>
      <c r="K872" s="26" t="s">
        <v>15</v>
      </c>
      <c r="L872" s="172">
        <v>3</v>
      </c>
      <c r="M872" s="6">
        <v>0</v>
      </c>
      <c r="N872" s="6"/>
      <c r="O872" s="6">
        <v>0</v>
      </c>
      <c r="P872" s="6"/>
      <c r="Q872" s="7">
        <v>0</v>
      </c>
      <c r="R872" s="6"/>
      <c r="S872" s="1">
        <v>0</v>
      </c>
      <c r="U872" s="1">
        <v>0</v>
      </c>
      <c r="W872" s="1" t="str">
        <f t="shared" si="13"/>
        <v>No</v>
      </c>
    </row>
    <row r="873" spans="1:23" s="1" customFormat="1" ht="11.25">
      <c r="A873" s="2" t="s">
        <v>1312</v>
      </c>
      <c r="B873" s="21" t="s">
        <v>276</v>
      </c>
      <c r="C873" s="26" t="s">
        <v>44</v>
      </c>
      <c r="D873" s="163">
        <v>6080</v>
      </c>
      <c r="E873" s="166">
        <v>60080</v>
      </c>
      <c r="F873" s="92" t="s">
        <v>152</v>
      </c>
      <c r="G873" s="20" t="s">
        <v>1490</v>
      </c>
      <c r="H873" s="18">
        <v>144875</v>
      </c>
      <c r="I873" s="18">
        <v>10</v>
      </c>
      <c r="J873" s="4" t="s">
        <v>12</v>
      </c>
      <c r="K873" s="26" t="s">
        <v>11</v>
      </c>
      <c r="L873" s="172">
        <v>8</v>
      </c>
      <c r="M873" s="6">
        <v>1</v>
      </c>
      <c r="N873" s="6"/>
      <c r="O873" s="6">
        <v>0</v>
      </c>
      <c r="P873" s="6"/>
      <c r="Q873" s="7">
        <v>1</v>
      </c>
      <c r="R873" s="6"/>
      <c r="S873" s="1">
        <v>0</v>
      </c>
      <c r="U873" s="1">
        <v>0</v>
      </c>
      <c r="W873" s="1" t="str">
        <f t="shared" si="13"/>
        <v>No</v>
      </c>
    </row>
    <row r="874" spans="1:23" s="1" customFormat="1" ht="11.25">
      <c r="A874" s="2" t="s">
        <v>1744</v>
      </c>
      <c r="B874" s="21" t="s">
        <v>1745</v>
      </c>
      <c r="C874" s="26" t="s">
        <v>19</v>
      </c>
      <c r="D874" s="163"/>
      <c r="E874" s="166">
        <v>90286</v>
      </c>
      <c r="F874" s="92" t="s">
        <v>152</v>
      </c>
      <c r="G874" s="20" t="s">
        <v>1490</v>
      </c>
      <c r="H874" s="18">
        <v>12150996</v>
      </c>
      <c r="I874" s="18">
        <v>10</v>
      </c>
      <c r="J874" s="4" t="s">
        <v>12</v>
      </c>
      <c r="K874" s="26" t="s">
        <v>15</v>
      </c>
      <c r="L874" s="172">
        <v>6</v>
      </c>
      <c r="M874" s="6">
        <v>1</v>
      </c>
      <c r="N874" s="6"/>
      <c r="O874" s="6">
        <v>0</v>
      </c>
      <c r="P874" s="6"/>
      <c r="Q874" s="7">
        <v>1</v>
      </c>
      <c r="R874" s="6"/>
      <c r="S874" s="1">
        <v>0</v>
      </c>
      <c r="U874" s="1">
        <v>0</v>
      </c>
      <c r="W874" s="1" t="str">
        <f t="shared" si="13"/>
        <v>No</v>
      </c>
    </row>
    <row r="875" spans="1:23" s="1" customFormat="1" ht="11.25">
      <c r="A875" s="2" t="s">
        <v>404</v>
      </c>
      <c r="B875" s="21" t="s">
        <v>405</v>
      </c>
      <c r="C875" s="26" t="s">
        <v>88</v>
      </c>
      <c r="D875" s="163" t="s">
        <v>406</v>
      </c>
      <c r="E875" s="166">
        <v>9</v>
      </c>
      <c r="F875" s="92" t="s">
        <v>397</v>
      </c>
      <c r="G875" s="20" t="s">
        <v>1490</v>
      </c>
      <c r="H875" s="18">
        <v>0</v>
      </c>
      <c r="I875" s="18">
        <v>10</v>
      </c>
      <c r="J875" s="4" t="s">
        <v>12</v>
      </c>
      <c r="K875" s="26" t="s">
        <v>11</v>
      </c>
      <c r="L875" s="172">
        <v>5</v>
      </c>
      <c r="M875" s="6">
        <v>0</v>
      </c>
      <c r="N875" s="6"/>
      <c r="O875" s="6">
        <v>0</v>
      </c>
      <c r="P875" s="6"/>
      <c r="Q875" s="7">
        <v>0</v>
      </c>
      <c r="R875" s="6"/>
      <c r="S875" s="1">
        <v>0</v>
      </c>
      <c r="U875" s="1">
        <v>0</v>
      </c>
      <c r="W875" s="1" t="str">
        <f t="shared" si="13"/>
        <v>No</v>
      </c>
    </row>
    <row r="876" spans="1:23" s="1" customFormat="1" ht="11.25">
      <c r="A876" s="2" t="s">
        <v>612</v>
      </c>
      <c r="B876" s="21" t="s">
        <v>613</v>
      </c>
      <c r="C876" s="26" t="s">
        <v>37</v>
      </c>
      <c r="D876" s="163">
        <v>7007</v>
      </c>
      <c r="E876" s="166">
        <v>70007</v>
      </c>
      <c r="F876" s="92" t="s">
        <v>152</v>
      </c>
      <c r="G876" s="20" t="s">
        <v>1490</v>
      </c>
      <c r="H876" s="18">
        <v>280051</v>
      </c>
      <c r="I876" s="18">
        <v>10</v>
      </c>
      <c r="J876" s="4" t="s">
        <v>12</v>
      </c>
      <c r="K876" s="26" t="s">
        <v>11</v>
      </c>
      <c r="L876" s="172">
        <v>6</v>
      </c>
      <c r="M876" s="6">
        <v>0</v>
      </c>
      <c r="N876" s="6"/>
      <c r="O876" s="6">
        <v>0</v>
      </c>
      <c r="P876" s="6"/>
      <c r="Q876" s="7">
        <v>0</v>
      </c>
      <c r="R876" s="6"/>
      <c r="S876" s="1">
        <v>0</v>
      </c>
      <c r="U876" s="1">
        <v>0</v>
      </c>
      <c r="W876" s="1" t="str">
        <f t="shared" si="13"/>
        <v>No</v>
      </c>
    </row>
    <row r="877" spans="1:23" s="1" customFormat="1" ht="11.25">
      <c r="A877" s="2" t="s">
        <v>150</v>
      </c>
      <c r="B877" s="21" t="s">
        <v>151</v>
      </c>
      <c r="C877" s="26" t="s">
        <v>85</v>
      </c>
      <c r="D877" s="163">
        <v>8026</v>
      </c>
      <c r="E877" s="166">
        <v>80026</v>
      </c>
      <c r="F877" s="92" t="s">
        <v>152</v>
      </c>
      <c r="G877" s="20" t="s">
        <v>1490</v>
      </c>
      <c r="H877" s="18">
        <v>98370</v>
      </c>
      <c r="I877" s="18">
        <v>10</v>
      </c>
      <c r="J877" s="4" t="s">
        <v>12</v>
      </c>
      <c r="K877" s="26" t="s">
        <v>11</v>
      </c>
      <c r="L877" s="172">
        <v>6</v>
      </c>
      <c r="M877" s="6">
        <v>1</v>
      </c>
      <c r="N877" s="6"/>
      <c r="O877" s="6">
        <v>0</v>
      </c>
      <c r="P877" s="6"/>
      <c r="Q877" s="7">
        <v>1</v>
      </c>
      <c r="R877" s="6"/>
      <c r="S877" s="1">
        <v>0</v>
      </c>
      <c r="U877" s="1">
        <v>0</v>
      </c>
      <c r="W877" s="1" t="str">
        <f t="shared" si="13"/>
        <v>No</v>
      </c>
    </row>
    <row r="878" spans="1:23" s="1" customFormat="1" ht="11.25">
      <c r="A878" s="2" t="s">
        <v>1742</v>
      </c>
      <c r="B878" s="21" t="s">
        <v>1743</v>
      </c>
      <c r="C878" s="26" t="s">
        <v>19</v>
      </c>
      <c r="D878" s="163"/>
      <c r="E878" s="166">
        <v>90294</v>
      </c>
      <c r="F878" s="92" t="s">
        <v>152</v>
      </c>
      <c r="G878" s="20" t="s">
        <v>1490</v>
      </c>
      <c r="H878" s="18">
        <v>12150996</v>
      </c>
      <c r="I878" s="18">
        <v>10</v>
      </c>
      <c r="J878" s="4" t="s">
        <v>12</v>
      </c>
      <c r="K878" s="26" t="s">
        <v>15</v>
      </c>
      <c r="L878" s="172">
        <v>4</v>
      </c>
      <c r="M878" s="6">
        <v>0</v>
      </c>
      <c r="N878" s="6"/>
      <c r="O878" s="6">
        <v>0</v>
      </c>
      <c r="P878" s="6"/>
      <c r="Q878" s="7">
        <v>0</v>
      </c>
      <c r="R878" s="6"/>
      <c r="S878" s="1">
        <v>0</v>
      </c>
      <c r="U878" s="1">
        <v>0</v>
      </c>
      <c r="W878" s="1" t="str">
        <f t="shared" si="13"/>
        <v>No</v>
      </c>
    </row>
    <row r="879" spans="1:23" s="1" customFormat="1" ht="11.25">
      <c r="A879" s="2" t="s">
        <v>1635</v>
      </c>
      <c r="B879" s="21" t="s">
        <v>1666</v>
      </c>
      <c r="C879" s="26" t="s">
        <v>62</v>
      </c>
      <c r="D879" s="163">
        <v>2220</v>
      </c>
      <c r="E879" s="166">
        <v>20220</v>
      </c>
      <c r="F879" s="92" t="s">
        <v>148</v>
      </c>
      <c r="G879" s="20" t="s">
        <v>1490</v>
      </c>
      <c r="H879" s="18">
        <v>18351295</v>
      </c>
      <c r="I879" s="18">
        <v>10</v>
      </c>
      <c r="J879" s="4" t="s">
        <v>12</v>
      </c>
      <c r="K879" s="26" t="s">
        <v>11</v>
      </c>
      <c r="L879" s="172">
        <v>10</v>
      </c>
      <c r="M879" s="6">
        <v>0</v>
      </c>
      <c r="N879" s="6"/>
      <c r="O879" s="6">
        <v>0</v>
      </c>
      <c r="P879" s="6"/>
      <c r="Q879" s="7">
        <v>0</v>
      </c>
      <c r="R879" s="6"/>
      <c r="S879" s="1">
        <v>0</v>
      </c>
      <c r="U879" s="1">
        <v>0</v>
      </c>
      <c r="W879" s="1" t="str">
        <f t="shared" si="13"/>
        <v>No</v>
      </c>
    </row>
    <row r="880" spans="1:23" s="1" customFormat="1" ht="11.25">
      <c r="A880" s="2" t="s">
        <v>1198</v>
      </c>
      <c r="B880" s="21" t="s">
        <v>1199</v>
      </c>
      <c r="C880" s="26" t="s">
        <v>84</v>
      </c>
      <c r="D880" s="163">
        <v>6013</v>
      </c>
      <c r="E880" s="166">
        <v>60013</v>
      </c>
      <c r="F880" s="92" t="s">
        <v>152</v>
      </c>
      <c r="G880" s="20" t="s">
        <v>1490</v>
      </c>
      <c r="H880" s="18">
        <v>153150</v>
      </c>
      <c r="I880" s="18">
        <v>10</v>
      </c>
      <c r="J880" s="4" t="s">
        <v>12</v>
      </c>
      <c r="K880" s="26" t="s">
        <v>11</v>
      </c>
      <c r="L880" s="172">
        <v>5</v>
      </c>
      <c r="M880" s="6">
        <v>1</v>
      </c>
      <c r="N880" s="6"/>
      <c r="O880" s="6">
        <v>0</v>
      </c>
      <c r="P880" s="6"/>
      <c r="Q880" s="7">
        <v>1</v>
      </c>
      <c r="R880" s="6"/>
      <c r="S880" s="1">
        <v>0</v>
      </c>
      <c r="U880" s="1">
        <v>0</v>
      </c>
      <c r="W880" s="1" t="str">
        <f t="shared" si="13"/>
        <v>No</v>
      </c>
    </row>
    <row r="881" spans="1:23" s="1" customFormat="1" ht="11.25">
      <c r="A881" s="2" t="s">
        <v>625</v>
      </c>
      <c r="B881" s="21" t="s">
        <v>626</v>
      </c>
      <c r="C881" s="26" t="s">
        <v>19</v>
      </c>
      <c r="D881" s="163">
        <v>9225</v>
      </c>
      <c r="E881" s="166">
        <v>90225</v>
      </c>
      <c r="F881" s="92" t="s">
        <v>160</v>
      </c>
      <c r="G881" s="20" t="s">
        <v>149</v>
      </c>
      <c r="H881" s="18">
        <v>3281212</v>
      </c>
      <c r="I881" s="18">
        <v>10</v>
      </c>
      <c r="J881" s="4" t="s">
        <v>22</v>
      </c>
      <c r="K881" s="26" t="s">
        <v>15</v>
      </c>
      <c r="L881" s="172">
        <v>10</v>
      </c>
      <c r="M881" s="6">
        <v>10</v>
      </c>
      <c r="N881" s="6"/>
      <c r="O881" s="6">
        <v>0</v>
      </c>
      <c r="P881" s="6"/>
      <c r="Q881" s="7">
        <v>10</v>
      </c>
      <c r="R881" s="6"/>
      <c r="S881" s="1">
        <v>0</v>
      </c>
      <c r="U881" s="1">
        <v>0</v>
      </c>
      <c r="W881" s="1" t="str">
        <f t="shared" si="13"/>
        <v>No</v>
      </c>
    </row>
    <row r="882" spans="1:23" s="1" customFormat="1" ht="11.25">
      <c r="A882" s="2" t="s">
        <v>961</v>
      </c>
      <c r="B882" s="21" t="s">
        <v>777</v>
      </c>
      <c r="C882" s="26" t="s">
        <v>51</v>
      </c>
      <c r="D882" s="163">
        <v>5141</v>
      </c>
      <c r="E882" s="166">
        <v>50141</v>
      </c>
      <c r="F882" s="92" t="s">
        <v>160</v>
      </c>
      <c r="G882" s="20" t="s">
        <v>149</v>
      </c>
      <c r="H882" s="18">
        <v>3734090</v>
      </c>
      <c r="I882" s="18">
        <v>10</v>
      </c>
      <c r="J882" s="4" t="s">
        <v>34</v>
      </c>
      <c r="K882" s="26" t="s">
        <v>11</v>
      </c>
      <c r="L882" s="172">
        <v>10</v>
      </c>
      <c r="M882" s="6">
        <v>13</v>
      </c>
      <c r="N882" s="6"/>
      <c r="O882" s="6">
        <v>0</v>
      </c>
      <c r="P882" s="6"/>
      <c r="Q882" s="7">
        <v>13</v>
      </c>
      <c r="R882" s="6"/>
      <c r="S882" s="1">
        <v>12</v>
      </c>
      <c r="U882" s="1">
        <v>17</v>
      </c>
      <c r="W882" s="1" t="str">
        <f t="shared" si="13"/>
        <v>No</v>
      </c>
    </row>
    <row r="883" spans="1:23" s="1" customFormat="1" ht="11.25">
      <c r="A883" s="2" t="s">
        <v>753</v>
      </c>
      <c r="B883" s="21" t="s">
        <v>754</v>
      </c>
      <c r="C883" s="26" t="s">
        <v>52</v>
      </c>
      <c r="D883" s="163" t="s">
        <v>755</v>
      </c>
      <c r="E883" s="166">
        <v>55270</v>
      </c>
      <c r="F883" s="92" t="s">
        <v>397</v>
      </c>
      <c r="G883" s="20" t="s">
        <v>1490</v>
      </c>
      <c r="H883" s="18">
        <v>0</v>
      </c>
      <c r="I883" s="18">
        <v>10</v>
      </c>
      <c r="J883" s="4" t="s">
        <v>12</v>
      </c>
      <c r="K883" s="26" t="s">
        <v>11</v>
      </c>
      <c r="L883" s="172">
        <v>10</v>
      </c>
      <c r="M883" s="6">
        <v>0</v>
      </c>
      <c r="N883" s="6"/>
      <c r="O883" s="6">
        <v>0</v>
      </c>
      <c r="P883" s="6"/>
      <c r="Q883" s="7">
        <v>0</v>
      </c>
      <c r="R883" s="6"/>
      <c r="S883" s="1">
        <v>0</v>
      </c>
      <c r="U883" s="1">
        <v>0</v>
      </c>
      <c r="W883" s="1" t="str">
        <f t="shared" si="13"/>
        <v>No</v>
      </c>
    </row>
    <row r="884" spans="1:23" s="1" customFormat="1" ht="11.25">
      <c r="A884" s="2" t="s">
        <v>721</v>
      </c>
      <c r="B884" s="21" t="s">
        <v>722</v>
      </c>
      <c r="C884" s="26" t="s">
        <v>62</v>
      </c>
      <c r="D884" s="163">
        <v>2208</v>
      </c>
      <c r="E884" s="166">
        <v>20208</v>
      </c>
      <c r="F884" s="92" t="s">
        <v>152</v>
      </c>
      <c r="G884" s="20" t="s">
        <v>1490</v>
      </c>
      <c r="H884" s="18">
        <v>5441567</v>
      </c>
      <c r="I884" s="18">
        <v>10</v>
      </c>
      <c r="J884" s="4" t="s">
        <v>12</v>
      </c>
      <c r="K884" s="26" t="s">
        <v>15</v>
      </c>
      <c r="L884" s="172">
        <v>10</v>
      </c>
      <c r="M884" s="6">
        <v>0</v>
      </c>
      <c r="N884" s="6"/>
      <c r="O884" s="6">
        <v>0</v>
      </c>
      <c r="P884" s="6"/>
      <c r="Q884" s="7">
        <v>0</v>
      </c>
      <c r="R884" s="6"/>
      <c r="S884" s="1">
        <v>0</v>
      </c>
      <c r="U884" s="1">
        <v>0</v>
      </c>
      <c r="W884" s="1" t="str">
        <f t="shared" si="13"/>
        <v>No</v>
      </c>
    </row>
    <row r="885" spans="1:23" s="1" customFormat="1" ht="11.25">
      <c r="A885" s="2" t="s">
        <v>612</v>
      </c>
      <c r="B885" s="21" t="s">
        <v>613</v>
      </c>
      <c r="C885" s="26" t="s">
        <v>37</v>
      </c>
      <c r="D885" s="163">
        <v>7007</v>
      </c>
      <c r="E885" s="166">
        <v>70007</v>
      </c>
      <c r="F885" s="92" t="s">
        <v>152</v>
      </c>
      <c r="G885" s="20" t="s">
        <v>1490</v>
      </c>
      <c r="H885" s="18">
        <v>280051</v>
      </c>
      <c r="I885" s="18">
        <v>10</v>
      </c>
      <c r="J885" s="4" t="s">
        <v>12</v>
      </c>
      <c r="K885" s="26" t="s">
        <v>15</v>
      </c>
      <c r="L885" s="172">
        <v>3</v>
      </c>
      <c r="M885" s="6">
        <v>0</v>
      </c>
      <c r="N885" s="6"/>
      <c r="O885" s="6">
        <v>0</v>
      </c>
      <c r="P885" s="6"/>
      <c r="Q885" s="7">
        <v>0</v>
      </c>
      <c r="R885" s="6"/>
      <c r="S885" s="1">
        <v>0</v>
      </c>
      <c r="U885" s="1">
        <v>0</v>
      </c>
      <c r="W885" s="1" t="str">
        <f t="shared" si="13"/>
        <v>No</v>
      </c>
    </row>
    <row r="886" spans="1:23" s="1" customFormat="1" ht="11.25">
      <c r="A886" s="2" t="s">
        <v>737</v>
      </c>
      <c r="B886" s="21" t="s">
        <v>738</v>
      </c>
      <c r="C886" s="26" t="s">
        <v>44</v>
      </c>
      <c r="D886" s="163">
        <v>6025</v>
      </c>
      <c r="E886" s="166">
        <v>60025</v>
      </c>
      <c r="F886" s="92" t="s">
        <v>152</v>
      </c>
      <c r="G886" s="20" t="s">
        <v>1490</v>
      </c>
      <c r="H886" s="18">
        <v>82804</v>
      </c>
      <c r="I886" s="18">
        <v>10</v>
      </c>
      <c r="J886" s="4" t="s">
        <v>12</v>
      </c>
      <c r="K886" s="26" t="s">
        <v>11</v>
      </c>
      <c r="L886" s="172">
        <v>8</v>
      </c>
      <c r="M886" s="6">
        <v>1</v>
      </c>
      <c r="N886" s="6"/>
      <c r="O886" s="6">
        <v>0</v>
      </c>
      <c r="P886" s="6"/>
      <c r="Q886" s="7">
        <v>1</v>
      </c>
      <c r="R886" s="6"/>
      <c r="S886" s="1">
        <v>0</v>
      </c>
      <c r="U886" s="1">
        <v>0</v>
      </c>
      <c r="W886" s="1" t="str">
        <f t="shared" si="13"/>
        <v>No</v>
      </c>
    </row>
    <row r="887" spans="1:23" s="1" customFormat="1" ht="11.25">
      <c r="A887" s="2" t="s">
        <v>580</v>
      </c>
      <c r="B887" s="21" t="s">
        <v>292</v>
      </c>
      <c r="C887" s="26" t="s">
        <v>43</v>
      </c>
      <c r="D887" s="163">
        <v>4016</v>
      </c>
      <c r="E887" s="166">
        <v>40016</v>
      </c>
      <c r="F887" s="92" t="s">
        <v>152</v>
      </c>
      <c r="G887" s="20" t="s">
        <v>1490</v>
      </c>
      <c r="H887" s="18">
        <v>202637</v>
      </c>
      <c r="I887" s="18">
        <v>10</v>
      </c>
      <c r="J887" s="4" t="s">
        <v>12</v>
      </c>
      <c r="K887" s="26" t="s">
        <v>11</v>
      </c>
      <c r="L887" s="172">
        <v>6</v>
      </c>
      <c r="M887" s="6">
        <v>0</v>
      </c>
      <c r="N887" s="6"/>
      <c r="O887" s="6">
        <v>0</v>
      </c>
      <c r="P887" s="6"/>
      <c r="Q887" s="7">
        <v>0</v>
      </c>
      <c r="R887" s="6"/>
      <c r="S887" s="1">
        <v>0</v>
      </c>
      <c r="U887" s="1">
        <v>0</v>
      </c>
      <c r="W887" s="1" t="str">
        <f t="shared" si="13"/>
        <v>No</v>
      </c>
    </row>
    <row r="888" spans="1:23" s="1" customFormat="1" ht="11.25">
      <c r="A888" s="2" t="s">
        <v>1865</v>
      </c>
      <c r="B888" s="21" t="s">
        <v>900</v>
      </c>
      <c r="C888" s="26" t="s">
        <v>57</v>
      </c>
      <c r="D888" s="163">
        <v>4231</v>
      </c>
      <c r="E888" s="166">
        <v>40231</v>
      </c>
      <c r="F888" s="92" t="s">
        <v>152</v>
      </c>
      <c r="G888" s="20" t="s">
        <v>1490</v>
      </c>
      <c r="H888" s="18">
        <v>347602</v>
      </c>
      <c r="I888" s="18">
        <v>10</v>
      </c>
      <c r="J888" s="4" t="s">
        <v>12</v>
      </c>
      <c r="K888" s="26" t="s">
        <v>11</v>
      </c>
      <c r="L888" s="172">
        <v>3</v>
      </c>
      <c r="M888" s="6">
        <v>0</v>
      </c>
      <c r="N888" s="6"/>
      <c r="O888" s="6">
        <v>0</v>
      </c>
      <c r="P888" s="6"/>
      <c r="Q888" s="7">
        <v>0</v>
      </c>
      <c r="R888" s="6"/>
      <c r="S888" s="1">
        <v>0</v>
      </c>
      <c r="U888" s="1">
        <v>0</v>
      </c>
      <c r="W888" s="1" t="str">
        <f t="shared" si="13"/>
        <v>No</v>
      </c>
    </row>
    <row r="889" spans="1:23" s="1" customFormat="1" ht="11.25">
      <c r="A889" s="2" t="s">
        <v>916</v>
      </c>
      <c r="B889" s="21" t="s">
        <v>917</v>
      </c>
      <c r="C889" s="26" t="s">
        <v>19</v>
      </c>
      <c r="D889" s="163">
        <v>9244</v>
      </c>
      <c r="E889" s="166">
        <v>90244</v>
      </c>
      <c r="F889" s="92" t="s">
        <v>152</v>
      </c>
      <c r="G889" s="20" t="s">
        <v>149</v>
      </c>
      <c r="H889" s="18">
        <v>219454</v>
      </c>
      <c r="I889" s="18">
        <v>10</v>
      </c>
      <c r="J889" s="4" t="s">
        <v>12</v>
      </c>
      <c r="K889" s="26" t="s">
        <v>15</v>
      </c>
      <c r="L889" s="172">
        <v>7</v>
      </c>
      <c r="M889" s="6">
        <v>1</v>
      </c>
      <c r="N889" s="6"/>
      <c r="O889" s="6">
        <v>0</v>
      </c>
      <c r="P889" s="6"/>
      <c r="Q889" s="7">
        <v>1</v>
      </c>
      <c r="R889" s="6"/>
      <c r="S889" s="1">
        <v>0</v>
      </c>
      <c r="U889" s="1">
        <v>0</v>
      </c>
      <c r="W889" s="1" t="str">
        <f t="shared" si="13"/>
        <v>No</v>
      </c>
    </row>
    <row r="890" spans="1:23" s="1" customFormat="1" ht="11.25">
      <c r="A890" s="2" t="s">
        <v>303</v>
      </c>
      <c r="B890" s="21" t="s">
        <v>304</v>
      </c>
      <c r="C890" s="26" t="s">
        <v>19</v>
      </c>
      <c r="D890" s="163">
        <v>9201</v>
      </c>
      <c r="E890" s="166">
        <v>90201</v>
      </c>
      <c r="F890" s="92" t="s">
        <v>152</v>
      </c>
      <c r="G890" s="20" t="s">
        <v>149</v>
      </c>
      <c r="H890" s="18">
        <v>99904</v>
      </c>
      <c r="I890" s="18">
        <v>10</v>
      </c>
      <c r="J890" s="4" t="s">
        <v>12</v>
      </c>
      <c r="K890" s="26" t="s">
        <v>15</v>
      </c>
      <c r="L890" s="172">
        <v>6</v>
      </c>
      <c r="M890" s="6">
        <v>1</v>
      </c>
      <c r="N890" s="6"/>
      <c r="O890" s="6">
        <v>0</v>
      </c>
      <c r="P890" s="6"/>
      <c r="Q890" s="7">
        <v>1</v>
      </c>
      <c r="R890" s="6"/>
      <c r="S890" s="1">
        <v>0</v>
      </c>
      <c r="U890" s="1">
        <v>0</v>
      </c>
      <c r="W890" s="1" t="str">
        <f t="shared" si="13"/>
        <v>No</v>
      </c>
    </row>
    <row r="891" spans="1:23" s="1" customFormat="1" ht="11.25">
      <c r="A891" s="2" t="s">
        <v>335</v>
      </c>
      <c r="B891" s="21" t="s">
        <v>336</v>
      </c>
      <c r="C891" s="26" t="s">
        <v>67</v>
      </c>
      <c r="D891" s="163">
        <v>6100</v>
      </c>
      <c r="E891" s="166">
        <v>60100</v>
      </c>
      <c r="F891" s="92" t="s">
        <v>152</v>
      </c>
      <c r="G891" s="20" t="s">
        <v>1490</v>
      </c>
      <c r="H891" s="18">
        <v>53049</v>
      </c>
      <c r="I891" s="18">
        <v>10</v>
      </c>
      <c r="J891" s="4" t="s">
        <v>12</v>
      </c>
      <c r="K891" s="26" t="s">
        <v>15</v>
      </c>
      <c r="L891" s="172">
        <v>8</v>
      </c>
      <c r="M891" s="6">
        <v>0</v>
      </c>
      <c r="N891" s="6"/>
      <c r="O891" s="6">
        <v>0</v>
      </c>
      <c r="P891" s="6"/>
      <c r="Q891" s="7">
        <v>0</v>
      </c>
      <c r="R891" s="6"/>
      <c r="S891" s="1">
        <v>0</v>
      </c>
      <c r="U891" s="1">
        <v>0</v>
      </c>
      <c r="W891" s="1" t="str">
        <f t="shared" si="13"/>
        <v>No</v>
      </c>
    </row>
    <row r="892" spans="1:23" s="1" customFormat="1" ht="11.25">
      <c r="A892" s="2" t="s">
        <v>985</v>
      </c>
      <c r="B892" s="21" t="s">
        <v>204</v>
      </c>
      <c r="C892" s="26" t="s">
        <v>10</v>
      </c>
      <c r="D892" s="163">
        <v>6086</v>
      </c>
      <c r="E892" s="166">
        <v>60086</v>
      </c>
      <c r="F892" s="92" t="s">
        <v>152</v>
      </c>
      <c r="G892" s="20" t="s">
        <v>1490</v>
      </c>
      <c r="H892" s="18">
        <v>122947</v>
      </c>
      <c r="I892" s="18">
        <v>10</v>
      </c>
      <c r="J892" s="4" t="s">
        <v>12</v>
      </c>
      <c r="K892" s="26" t="s">
        <v>11</v>
      </c>
      <c r="L892" s="172">
        <v>7</v>
      </c>
      <c r="M892" s="6">
        <v>1</v>
      </c>
      <c r="N892" s="6"/>
      <c r="O892" s="6">
        <v>0</v>
      </c>
      <c r="P892" s="6"/>
      <c r="Q892" s="7">
        <v>1</v>
      </c>
      <c r="R892" s="6"/>
      <c r="S892" s="1">
        <v>0</v>
      </c>
      <c r="U892" s="1">
        <v>0</v>
      </c>
      <c r="W892" s="1" t="str">
        <f t="shared" si="13"/>
        <v>No</v>
      </c>
    </row>
    <row r="893" spans="1:23" s="1" customFormat="1" ht="11.25">
      <c r="A893" s="2" t="s">
        <v>699</v>
      </c>
      <c r="B893" s="21" t="s">
        <v>700</v>
      </c>
      <c r="C893" s="26" t="s">
        <v>88</v>
      </c>
      <c r="D893" s="163" t="s">
        <v>701</v>
      </c>
      <c r="E893" s="166">
        <v>207</v>
      </c>
      <c r="F893" s="92" t="s">
        <v>397</v>
      </c>
      <c r="G893" s="20" t="s">
        <v>1490</v>
      </c>
      <c r="H893" s="18">
        <v>0</v>
      </c>
      <c r="I893" s="18">
        <v>9</v>
      </c>
      <c r="J893" s="4" t="s">
        <v>12</v>
      </c>
      <c r="K893" s="26" t="s">
        <v>11</v>
      </c>
      <c r="L893" s="172">
        <v>3</v>
      </c>
      <c r="M893" s="6">
        <v>0</v>
      </c>
      <c r="N893" s="6"/>
      <c r="O893" s="6">
        <v>0</v>
      </c>
      <c r="P893" s="6"/>
      <c r="Q893" s="7">
        <v>0</v>
      </c>
      <c r="R893" s="6"/>
      <c r="S893" s="1">
        <v>0</v>
      </c>
      <c r="U893" s="1">
        <v>0</v>
      </c>
      <c r="W893" s="1" t="str">
        <f t="shared" si="13"/>
        <v>No</v>
      </c>
    </row>
    <row r="894" spans="1:23" s="1" customFormat="1" ht="11.25">
      <c r="A894" s="2" t="s">
        <v>349</v>
      </c>
      <c r="B894" s="21" t="s">
        <v>268</v>
      </c>
      <c r="C894" s="26" t="s">
        <v>40</v>
      </c>
      <c r="D894" s="163">
        <v>5177</v>
      </c>
      <c r="E894" s="166">
        <v>50177</v>
      </c>
      <c r="F894" s="92" t="s">
        <v>152</v>
      </c>
      <c r="G894" s="20" t="s">
        <v>1490</v>
      </c>
      <c r="H894" s="18">
        <v>54933</v>
      </c>
      <c r="I894" s="18">
        <v>9</v>
      </c>
      <c r="J894" s="4" t="s">
        <v>12</v>
      </c>
      <c r="K894" s="26" t="s">
        <v>11</v>
      </c>
      <c r="L894" s="172">
        <v>5</v>
      </c>
      <c r="M894" s="6">
        <v>1</v>
      </c>
      <c r="N894" s="6"/>
      <c r="O894" s="6">
        <v>0</v>
      </c>
      <c r="P894" s="6"/>
      <c r="Q894" s="7">
        <v>1</v>
      </c>
      <c r="R894" s="6"/>
      <c r="S894" s="1">
        <v>0</v>
      </c>
      <c r="U894" s="1">
        <v>0</v>
      </c>
      <c r="W894" s="1" t="str">
        <f t="shared" si="13"/>
        <v>No</v>
      </c>
    </row>
    <row r="895" spans="1:23" s="1" customFormat="1" ht="11.25">
      <c r="A895" s="2" t="s">
        <v>816</v>
      </c>
      <c r="B895" s="21" t="s">
        <v>817</v>
      </c>
      <c r="C895" s="26" t="s">
        <v>19</v>
      </c>
      <c r="D895" s="163">
        <v>9238</v>
      </c>
      <c r="E895" s="166">
        <v>90238</v>
      </c>
      <c r="F895" s="92" t="s">
        <v>152</v>
      </c>
      <c r="G895" s="20" t="s">
        <v>1490</v>
      </c>
      <c r="H895" s="18">
        <v>54372</v>
      </c>
      <c r="I895" s="18">
        <v>9</v>
      </c>
      <c r="J895" s="4" t="s">
        <v>21</v>
      </c>
      <c r="K895" s="26" t="s">
        <v>11</v>
      </c>
      <c r="L895" s="172">
        <v>1</v>
      </c>
      <c r="M895" s="6">
        <v>1</v>
      </c>
      <c r="N895" s="6"/>
      <c r="O895" s="6">
        <v>0</v>
      </c>
      <c r="P895" s="6"/>
      <c r="Q895" s="7">
        <v>1</v>
      </c>
      <c r="R895" s="6"/>
      <c r="S895" s="1">
        <v>0</v>
      </c>
      <c r="U895" s="1">
        <v>0</v>
      </c>
      <c r="W895" s="1" t="str">
        <f t="shared" si="13"/>
        <v>No</v>
      </c>
    </row>
    <row r="896" spans="1:23" s="1" customFormat="1" ht="11.25">
      <c r="A896" s="2" t="s">
        <v>132</v>
      </c>
      <c r="B896" s="21" t="s">
        <v>866</v>
      </c>
      <c r="C896" s="26" t="s">
        <v>57</v>
      </c>
      <c r="D896" s="163">
        <v>4010</v>
      </c>
      <c r="E896" s="166">
        <v>40010</v>
      </c>
      <c r="F896" s="92" t="s">
        <v>152</v>
      </c>
      <c r="G896" s="20" t="s">
        <v>1490</v>
      </c>
      <c r="H896" s="18">
        <v>169495</v>
      </c>
      <c r="I896" s="18">
        <v>9</v>
      </c>
      <c r="J896" s="4" t="s">
        <v>12</v>
      </c>
      <c r="K896" s="26" t="s">
        <v>11</v>
      </c>
      <c r="L896" s="172">
        <v>6</v>
      </c>
      <c r="M896" s="6">
        <v>1</v>
      </c>
      <c r="N896" s="6"/>
      <c r="O896" s="6">
        <v>0</v>
      </c>
      <c r="P896" s="6"/>
      <c r="Q896" s="7">
        <v>1</v>
      </c>
      <c r="R896" s="6"/>
      <c r="S896" s="1">
        <v>0</v>
      </c>
      <c r="U896" s="1">
        <v>0</v>
      </c>
      <c r="W896" s="1" t="str">
        <f t="shared" si="13"/>
        <v>No</v>
      </c>
    </row>
    <row r="897" spans="1:23" s="1" customFormat="1" ht="11.25">
      <c r="A897" s="2" t="s">
        <v>1180</v>
      </c>
      <c r="B897" s="21" t="s">
        <v>273</v>
      </c>
      <c r="C897" s="26" t="s">
        <v>43</v>
      </c>
      <c r="D897" s="163">
        <v>4020</v>
      </c>
      <c r="E897" s="166">
        <v>40020</v>
      </c>
      <c r="F897" s="92" t="s">
        <v>152</v>
      </c>
      <c r="G897" s="20" t="s">
        <v>1490</v>
      </c>
      <c r="H897" s="18">
        <v>70543</v>
      </c>
      <c r="I897" s="18">
        <v>9</v>
      </c>
      <c r="J897" s="4" t="s">
        <v>12</v>
      </c>
      <c r="K897" s="26" t="s">
        <v>11</v>
      </c>
      <c r="L897" s="172">
        <v>9</v>
      </c>
      <c r="M897" s="6">
        <v>1</v>
      </c>
      <c r="N897" s="6"/>
      <c r="O897" s="6">
        <v>0</v>
      </c>
      <c r="P897" s="6"/>
      <c r="Q897" s="7">
        <v>1</v>
      </c>
      <c r="R897" s="6"/>
      <c r="S897" s="1">
        <v>0</v>
      </c>
      <c r="U897" s="1">
        <v>0</v>
      </c>
      <c r="W897" s="1" t="str">
        <f t="shared" si="13"/>
        <v>No</v>
      </c>
    </row>
    <row r="898" spans="1:23" s="1" customFormat="1" ht="11.25">
      <c r="A898" s="2" t="s">
        <v>483</v>
      </c>
      <c r="B898" s="21" t="s">
        <v>484</v>
      </c>
      <c r="C898" s="26" t="s">
        <v>16</v>
      </c>
      <c r="D898" s="163" t="s">
        <v>485</v>
      </c>
      <c r="E898" s="166">
        <v>99286</v>
      </c>
      <c r="F898" s="92" t="s">
        <v>397</v>
      </c>
      <c r="G898" s="20" t="s">
        <v>1490</v>
      </c>
      <c r="H898" s="18">
        <v>0</v>
      </c>
      <c r="I898" s="18">
        <v>9</v>
      </c>
      <c r="J898" s="4" t="s">
        <v>12</v>
      </c>
      <c r="K898" s="26" t="s">
        <v>11</v>
      </c>
      <c r="L898" s="172">
        <v>9</v>
      </c>
      <c r="M898" s="6">
        <v>0</v>
      </c>
      <c r="N898" s="6"/>
      <c r="O898" s="6">
        <v>0</v>
      </c>
      <c r="P898" s="6"/>
      <c r="Q898" s="7">
        <v>0</v>
      </c>
      <c r="R898" s="6"/>
      <c r="S898" s="1">
        <v>0</v>
      </c>
      <c r="U898" s="1">
        <v>0</v>
      </c>
      <c r="W898" s="1" t="str">
        <f t="shared" ref="W898:W961" si="14">IF(V898&amp;T898&amp;R898&amp;P898&amp;N898&lt;&gt;"","Yes","No")</f>
        <v>No</v>
      </c>
    </row>
    <row r="899" spans="1:23" s="1" customFormat="1" ht="11.25">
      <c r="A899" s="2" t="s">
        <v>816</v>
      </c>
      <c r="B899" s="21" t="s">
        <v>817</v>
      </c>
      <c r="C899" s="26" t="s">
        <v>19</v>
      </c>
      <c r="D899" s="163">
        <v>9238</v>
      </c>
      <c r="E899" s="166">
        <v>90238</v>
      </c>
      <c r="F899" s="92" t="s">
        <v>152</v>
      </c>
      <c r="G899" s="20" t="s">
        <v>1490</v>
      </c>
      <c r="H899" s="18">
        <v>54372</v>
      </c>
      <c r="I899" s="18">
        <v>9</v>
      </c>
      <c r="J899" s="4" t="s">
        <v>12</v>
      </c>
      <c r="K899" s="26" t="s">
        <v>11</v>
      </c>
      <c r="L899" s="172">
        <v>4</v>
      </c>
      <c r="M899" s="6">
        <v>1</v>
      </c>
      <c r="N899" s="6"/>
      <c r="O899" s="6">
        <v>0</v>
      </c>
      <c r="P899" s="6"/>
      <c r="Q899" s="7">
        <v>1</v>
      </c>
      <c r="R899" s="6"/>
      <c r="S899" s="1">
        <v>0</v>
      </c>
      <c r="U899" s="1">
        <v>0</v>
      </c>
      <c r="W899" s="1" t="str">
        <f t="shared" si="14"/>
        <v>No</v>
      </c>
    </row>
    <row r="900" spans="1:23" s="1" customFormat="1" ht="11.25">
      <c r="A900" s="2" t="s">
        <v>125</v>
      </c>
      <c r="B900" s="21" t="s">
        <v>1376</v>
      </c>
      <c r="C900" s="26" t="s">
        <v>84</v>
      </c>
      <c r="D900" s="163">
        <v>6035</v>
      </c>
      <c r="E900" s="166">
        <v>60035</v>
      </c>
      <c r="F900" s="92" t="s">
        <v>152</v>
      </c>
      <c r="G900" s="20" t="s">
        <v>1490</v>
      </c>
      <c r="H900" s="18">
        <v>99437</v>
      </c>
      <c r="I900" s="18">
        <v>9</v>
      </c>
      <c r="J900" s="4" t="s">
        <v>12</v>
      </c>
      <c r="K900" s="26" t="s">
        <v>11</v>
      </c>
      <c r="L900" s="172">
        <v>9</v>
      </c>
      <c r="M900" s="6">
        <v>1</v>
      </c>
      <c r="N900" s="6"/>
      <c r="O900" s="6">
        <v>0</v>
      </c>
      <c r="P900" s="6"/>
      <c r="Q900" s="7">
        <v>1</v>
      </c>
      <c r="R900" s="6"/>
      <c r="S900" s="1">
        <v>0</v>
      </c>
      <c r="U900" s="1">
        <v>0</v>
      </c>
      <c r="W900" s="1" t="str">
        <f t="shared" si="14"/>
        <v>No</v>
      </c>
    </row>
    <row r="901" spans="1:23" s="1" customFormat="1" ht="11.25">
      <c r="A901" s="2" t="s">
        <v>542</v>
      </c>
      <c r="B901" s="21" t="s">
        <v>543</v>
      </c>
      <c r="C901" s="26" t="s">
        <v>73</v>
      </c>
      <c r="D901" s="163">
        <v>6118</v>
      </c>
      <c r="E901" s="166">
        <v>60118</v>
      </c>
      <c r="F901" s="92" t="s">
        <v>152</v>
      </c>
      <c r="G901" s="20" t="s">
        <v>1490</v>
      </c>
      <c r="H901" s="18">
        <v>861505</v>
      </c>
      <c r="I901" s="18">
        <v>9</v>
      </c>
      <c r="J901" s="4" t="s">
        <v>21</v>
      </c>
      <c r="K901" s="26" t="s">
        <v>15</v>
      </c>
      <c r="L901" s="172">
        <v>3</v>
      </c>
      <c r="M901" s="6">
        <v>0</v>
      </c>
      <c r="N901" s="6"/>
      <c r="O901" s="6">
        <v>0</v>
      </c>
      <c r="P901" s="6"/>
      <c r="Q901" s="7">
        <v>0</v>
      </c>
      <c r="R901" s="6"/>
      <c r="S901" s="1">
        <v>0</v>
      </c>
      <c r="U901" s="1">
        <v>0</v>
      </c>
      <c r="W901" s="1" t="str">
        <f t="shared" si="14"/>
        <v>No</v>
      </c>
    </row>
    <row r="902" spans="1:23" s="1" customFormat="1" ht="11.25">
      <c r="A902" s="2" t="s">
        <v>834</v>
      </c>
      <c r="B902" s="21" t="s">
        <v>835</v>
      </c>
      <c r="C902" s="26" t="s">
        <v>54</v>
      </c>
      <c r="D902" s="163">
        <v>7040</v>
      </c>
      <c r="E902" s="166">
        <v>70040</v>
      </c>
      <c r="F902" s="92" t="s">
        <v>152</v>
      </c>
      <c r="G902" s="20" t="s">
        <v>1490</v>
      </c>
      <c r="H902" s="18">
        <v>82775</v>
      </c>
      <c r="I902" s="18">
        <v>9</v>
      </c>
      <c r="J902" s="4" t="s">
        <v>12</v>
      </c>
      <c r="K902" s="26" t="s">
        <v>11</v>
      </c>
      <c r="L902" s="172">
        <v>3</v>
      </c>
      <c r="M902" s="6">
        <v>0</v>
      </c>
      <c r="N902" s="6"/>
      <c r="O902" s="6">
        <v>0</v>
      </c>
      <c r="P902" s="6"/>
      <c r="Q902" s="7">
        <v>0</v>
      </c>
      <c r="R902" s="6"/>
      <c r="S902" s="1">
        <v>0</v>
      </c>
      <c r="U902" s="1">
        <v>0</v>
      </c>
      <c r="W902" s="1" t="str">
        <f t="shared" si="14"/>
        <v>No</v>
      </c>
    </row>
    <row r="903" spans="1:23" s="1" customFormat="1" ht="11.25">
      <c r="A903" s="2" t="s">
        <v>1748</v>
      </c>
      <c r="B903" s="21" t="s">
        <v>1749</v>
      </c>
      <c r="C903" s="26" t="s">
        <v>19</v>
      </c>
      <c r="D903" s="163"/>
      <c r="E903" s="166">
        <v>90252</v>
      </c>
      <c r="F903" s="92" t="s">
        <v>152</v>
      </c>
      <c r="G903" s="20" t="s">
        <v>1490</v>
      </c>
      <c r="H903" s="18">
        <v>12150996</v>
      </c>
      <c r="I903" s="18">
        <v>9</v>
      </c>
      <c r="J903" s="4" t="s">
        <v>12</v>
      </c>
      <c r="K903" s="26" t="s">
        <v>15</v>
      </c>
      <c r="L903" s="172">
        <v>1</v>
      </c>
      <c r="M903" s="6">
        <v>0</v>
      </c>
      <c r="N903" s="6"/>
      <c r="O903" s="6">
        <v>0</v>
      </c>
      <c r="P903" s="6"/>
      <c r="Q903" s="7">
        <v>0</v>
      </c>
      <c r="R903" s="6"/>
      <c r="S903" s="1">
        <v>0</v>
      </c>
      <c r="U903" s="1">
        <v>0</v>
      </c>
      <c r="W903" s="1" t="str">
        <f t="shared" si="14"/>
        <v>No</v>
      </c>
    </row>
    <row r="904" spans="1:23" s="1" customFormat="1" ht="11.25">
      <c r="A904" s="2" t="s">
        <v>542</v>
      </c>
      <c r="B904" s="21" t="s">
        <v>543</v>
      </c>
      <c r="C904" s="26" t="s">
        <v>73</v>
      </c>
      <c r="D904" s="163">
        <v>6118</v>
      </c>
      <c r="E904" s="166">
        <v>60118</v>
      </c>
      <c r="F904" s="92" t="s">
        <v>152</v>
      </c>
      <c r="G904" s="20" t="s">
        <v>1490</v>
      </c>
      <c r="H904" s="18">
        <v>861505</v>
      </c>
      <c r="I904" s="18">
        <v>9</v>
      </c>
      <c r="J904" s="4" t="s">
        <v>12</v>
      </c>
      <c r="K904" s="26" t="s">
        <v>15</v>
      </c>
      <c r="L904" s="172">
        <v>4</v>
      </c>
      <c r="M904" s="6">
        <v>0</v>
      </c>
      <c r="N904" s="6"/>
      <c r="O904" s="6">
        <v>0</v>
      </c>
      <c r="P904" s="6"/>
      <c r="Q904" s="7">
        <v>0</v>
      </c>
      <c r="R904" s="6"/>
      <c r="S904" s="1">
        <v>0</v>
      </c>
      <c r="U904" s="1">
        <v>0</v>
      </c>
      <c r="W904" s="1" t="str">
        <f t="shared" si="14"/>
        <v>No</v>
      </c>
    </row>
    <row r="905" spans="1:23" s="1" customFormat="1" ht="11.25">
      <c r="A905" s="2" t="s">
        <v>1746</v>
      </c>
      <c r="B905" s="21" t="s">
        <v>1747</v>
      </c>
      <c r="C905" s="26" t="s">
        <v>35</v>
      </c>
      <c r="D905" s="163"/>
      <c r="E905" s="166">
        <v>40246</v>
      </c>
      <c r="F905" s="92" t="s">
        <v>197</v>
      </c>
      <c r="G905" s="20" t="s">
        <v>1490</v>
      </c>
      <c r="H905" s="18">
        <v>4515419</v>
      </c>
      <c r="I905" s="18">
        <v>9</v>
      </c>
      <c r="J905" s="4" t="s">
        <v>12</v>
      </c>
      <c r="K905" s="26" t="s">
        <v>11</v>
      </c>
      <c r="L905" s="172">
        <v>2</v>
      </c>
      <c r="M905" s="6">
        <v>0</v>
      </c>
      <c r="N905" s="6"/>
      <c r="O905" s="6">
        <v>0</v>
      </c>
      <c r="P905" s="6"/>
      <c r="Q905" s="7">
        <v>0</v>
      </c>
      <c r="R905" s="6"/>
      <c r="S905" s="1">
        <v>0</v>
      </c>
      <c r="U905" s="1">
        <v>0</v>
      </c>
      <c r="W905" s="1" t="str">
        <f t="shared" si="14"/>
        <v>No</v>
      </c>
    </row>
    <row r="906" spans="1:23" s="1" customFormat="1" ht="11.25">
      <c r="A906" s="2" t="s">
        <v>158</v>
      </c>
      <c r="B906" s="21" t="s">
        <v>159</v>
      </c>
      <c r="C906" s="26" t="s">
        <v>84</v>
      </c>
      <c r="D906" s="163">
        <v>6093</v>
      </c>
      <c r="E906" s="166">
        <v>60093</v>
      </c>
      <c r="F906" s="92" t="s">
        <v>160</v>
      </c>
      <c r="G906" s="20" t="s">
        <v>1490</v>
      </c>
      <c r="H906" s="18">
        <v>78162</v>
      </c>
      <c r="I906" s="18">
        <v>9</v>
      </c>
      <c r="J906" s="4" t="s">
        <v>12</v>
      </c>
      <c r="K906" s="26" t="s">
        <v>11</v>
      </c>
      <c r="L906" s="172">
        <v>6</v>
      </c>
      <c r="M906" s="6">
        <v>1</v>
      </c>
      <c r="N906" s="6"/>
      <c r="O906" s="6">
        <v>0</v>
      </c>
      <c r="P906" s="6"/>
      <c r="Q906" s="7">
        <v>1</v>
      </c>
      <c r="R906" s="6"/>
      <c r="S906" s="1">
        <v>0</v>
      </c>
      <c r="U906" s="1">
        <v>0</v>
      </c>
      <c r="W906" s="1" t="str">
        <f t="shared" si="14"/>
        <v>No</v>
      </c>
    </row>
    <row r="907" spans="1:23" s="1" customFormat="1" ht="11.25">
      <c r="A907" s="2" t="s">
        <v>541</v>
      </c>
      <c r="B907" s="21" t="s">
        <v>318</v>
      </c>
      <c r="C907" s="26" t="s">
        <v>61</v>
      </c>
      <c r="D907" s="163">
        <v>1123</v>
      </c>
      <c r="E907" s="166">
        <v>10123</v>
      </c>
      <c r="F907" s="92" t="s">
        <v>160</v>
      </c>
      <c r="G907" s="20" t="s">
        <v>1490</v>
      </c>
      <c r="H907" s="18">
        <v>4181019</v>
      </c>
      <c r="I907" s="18">
        <v>8</v>
      </c>
      <c r="J907" s="4" t="s">
        <v>12</v>
      </c>
      <c r="K907" s="26" t="s">
        <v>15</v>
      </c>
      <c r="L907" s="172">
        <v>1</v>
      </c>
      <c r="M907" s="6">
        <v>0</v>
      </c>
      <c r="N907" s="6"/>
      <c r="O907" s="6">
        <v>0</v>
      </c>
      <c r="P907" s="6"/>
      <c r="Q907" s="7">
        <v>0</v>
      </c>
      <c r="R907" s="6"/>
      <c r="S907" s="1">
        <v>0</v>
      </c>
      <c r="U907" s="1">
        <v>0</v>
      </c>
      <c r="W907" s="1" t="str">
        <f t="shared" si="14"/>
        <v>No</v>
      </c>
    </row>
    <row r="908" spans="1:23" s="1" customFormat="1" ht="11.25">
      <c r="A908" s="2" t="s">
        <v>749</v>
      </c>
      <c r="B908" s="21" t="s">
        <v>270</v>
      </c>
      <c r="C908" s="26" t="s">
        <v>92</v>
      </c>
      <c r="D908" s="163">
        <v>5109</v>
      </c>
      <c r="E908" s="166">
        <v>50109</v>
      </c>
      <c r="F908" s="92" t="s">
        <v>152</v>
      </c>
      <c r="G908" s="20" t="s">
        <v>1490</v>
      </c>
      <c r="H908" s="18">
        <v>63835</v>
      </c>
      <c r="I908" s="18">
        <v>8</v>
      </c>
      <c r="J908" s="4" t="s">
        <v>12</v>
      </c>
      <c r="K908" s="26" t="s">
        <v>11</v>
      </c>
      <c r="L908" s="172">
        <v>6</v>
      </c>
      <c r="M908" s="6">
        <v>1</v>
      </c>
      <c r="N908" s="6"/>
      <c r="O908" s="6">
        <v>0</v>
      </c>
      <c r="P908" s="6"/>
      <c r="Q908" s="7">
        <v>1</v>
      </c>
      <c r="R908" s="6"/>
      <c r="S908" s="1">
        <v>0</v>
      </c>
      <c r="U908" s="1">
        <v>0</v>
      </c>
      <c r="W908" s="1" t="str">
        <f t="shared" si="14"/>
        <v>No</v>
      </c>
    </row>
    <row r="909" spans="1:23" s="1" customFormat="1" ht="11.25">
      <c r="A909" s="2" t="s">
        <v>1145</v>
      </c>
      <c r="B909" s="21" t="s">
        <v>1146</v>
      </c>
      <c r="C909" s="26" t="s">
        <v>86</v>
      </c>
      <c r="D909" s="163">
        <v>3113</v>
      </c>
      <c r="E909" s="166">
        <v>30989</v>
      </c>
      <c r="F909" s="92" t="s">
        <v>188</v>
      </c>
      <c r="G909" s="20" t="s">
        <v>1490</v>
      </c>
      <c r="H909" s="18">
        <v>56611</v>
      </c>
      <c r="I909" s="18">
        <v>8</v>
      </c>
      <c r="J909" s="4" t="s">
        <v>12</v>
      </c>
      <c r="K909" s="26" t="s">
        <v>15</v>
      </c>
      <c r="L909" s="172">
        <v>6</v>
      </c>
      <c r="M909" s="6">
        <v>0</v>
      </c>
      <c r="N909" s="6"/>
      <c r="O909" s="6">
        <v>0</v>
      </c>
      <c r="P909" s="6"/>
      <c r="Q909" s="7">
        <v>0</v>
      </c>
      <c r="R909" s="6"/>
      <c r="S909" s="1">
        <v>0</v>
      </c>
      <c r="U909" s="1">
        <v>0</v>
      </c>
      <c r="W909" s="1" t="str">
        <f t="shared" si="14"/>
        <v>No</v>
      </c>
    </row>
    <row r="910" spans="1:23" s="1" customFormat="1" ht="11.25">
      <c r="A910" s="2" t="s">
        <v>124</v>
      </c>
      <c r="B910" s="21" t="s">
        <v>502</v>
      </c>
      <c r="C910" s="26" t="s">
        <v>77</v>
      </c>
      <c r="D910" s="163">
        <v>4182</v>
      </c>
      <c r="E910" s="166">
        <v>40182</v>
      </c>
      <c r="F910" s="92" t="s">
        <v>152</v>
      </c>
      <c r="G910" s="20" t="s">
        <v>1490</v>
      </c>
      <c r="H910" s="18">
        <v>2148346</v>
      </c>
      <c r="I910" s="18">
        <v>8</v>
      </c>
      <c r="J910" s="4" t="s">
        <v>12</v>
      </c>
      <c r="K910" s="26" t="s">
        <v>11</v>
      </c>
      <c r="L910" s="172">
        <v>3</v>
      </c>
      <c r="M910" s="6">
        <v>1</v>
      </c>
      <c r="N910" s="6"/>
      <c r="O910" s="6">
        <v>0</v>
      </c>
      <c r="P910" s="6"/>
      <c r="Q910" s="7">
        <v>1</v>
      </c>
      <c r="R910" s="6"/>
      <c r="S910" s="1">
        <v>0</v>
      </c>
      <c r="U910" s="1">
        <v>0</v>
      </c>
      <c r="W910" s="1" t="str">
        <f t="shared" si="14"/>
        <v>No</v>
      </c>
    </row>
    <row r="911" spans="1:23" s="1" customFormat="1" ht="11.25">
      <c r="A911" s="2" t="s">
        <v>788</v>
      </c>
      <c r="B911" s="21" t="s">
        <v>789</v>
      </c>
      <c r="C911" s="26" t="s">
        <v>86</v>
      </c>
      <c r="D911" s="163">
        <v>3058</v>
      </c>
      <c r="E911" s="166">
        <v>30058</v>
      </c>
      <c r="F911" s="92" t="s">
        <v>152</v>
      </c>
      <c r="G911" s="20" t="s">
        <v>149</v>
      </c>
      <c r="H911" s="18">
        <v>4586770</v>
      </c>
      <c r="I911" s="18">
        <v>8</v>
      </c>
      <c r="J911" s="4" t="s">
        <v>12</v>
      </c>
      <c r="K911" s="26" t="s">
        <v>11</v>
      </c>
      <c r="L911" s="172">
        <v>8</v>
      </c>
      <c r="M911" s="6">
        <v>0</v>
      </c>
      <c r="N911" s="6"/>
      <c r="O911" s="6">
        <v>0</v>
      </c>
      <c r="P911" s="6"/>
      <c r="Q911" s="7">
        <v>0</v>
      </c>
      <c r="R911" s="6"/>
      <c r="S911" s="1">
        <v>0</v>
      </c>
      <c r="U911" s="1">
        <v>0</v>
      </c>
      <c r="W911" s="1" t="str">
        <f t="shared" si="14"/>
        <v>No</v>
      </c>
    </row>
    <row r="912" spans="1:23" s="1" customFormat="1" ht="11.25">
      <c r="A912" s="2" t="s">
        <v>1754</v>
      </c>
      <c r="B912" s="21" t="s">
        <v>984</v>
      </c>
      <c r="C912" s="26" t="s">
        <v>19</v>
      </c>
      <c r="D912" s="163"/>
      <c r="E912" s="166">
        <v>90293</v>
      </c>
      <c r="F912" s="92" t="s">
        <v>152</v>
      </c>
      <c r="G912" s="20" t="s">
        <v>1490</v>
      </c>
      <c r="H912" s="18">
        <v>12150996</v>
      </c>
      <c r="I912" s="18">
        <v>8</v>
      </c>
      <c r="J912" s="4" t="s">
        <v>12</v>
      </c>
      <c r="K912" s="26" t="s">
        <v>15</v>
      </c>
      <c r="L912" s="172">
        <v>4</v>
      </c>
      <c r="M912" s="6">
        <v>0</v>
      </c>
      <c r="N912" s="6"/>
      <c r="O912" s="6">
        <v>0</v>
      </c>
      <c r="P912" s="6"/>
      <c r="Q912" s="7">
        <v>0</v>
      </c>
      <c r="R912" s="6"/>
      <c r="S912" s="1">
        <v>0</v>
      </c>
      <c r="U912" s="1">
        <v>0</v>
      </c>
      <c r="W912" s="1" t="str">
        <f t="shared" si="14"/>
        <v>No</v>
      </c>
    </row>
    <row r="913" spans="1:23" s="1" customFormat="1" ht="11.25">
      <c r="A913" s="2" t="s">
        <v>1637</v>
      </c>
      <c r="B913" s="21" t="s">
        <v>351</v>
      </c>
      <c r="C913" s="26" t="s">
        <v>69</v>
      </c>
      <c r="D913" s="163"/>
      <c r="E913" s="166">
        <v>22930</v>
      </c>
      <c r="F913" s="92" t="s">
        <v>197</v>
      </c>
      <c r="G913" s="20" t="s">
        <v>149</v>
      </c>
      <c r="H913" s="18">
        <v>18351295</v>
      </c>
      <c r="I913" s="18">
        <v>8</v>
      </c>
      <c r="J913" s="4" t="s">
        <v>22</v>
      </c>
      <c r="K913" s="26" t="s">
        <v>15</v>
      </c>
      <c r="L913" s="172">
        <v>8</v>
      </c>
      <c r="M913" s="6">
        <v>14</v>
      </c>
      <c r="N913" s="6"/>
      <c r="O913" s="6">
        <v>2</v>
      </c>
      <c r="P913" s="6"/>
      <c r="Q913" s="7">
        <v>16</v>
      </c>
      <c r="R913" s="6"/>
      <c r="S913" s="1">
        <v>0</v>
      </c>
      <c r="U913" s="1">
        <v>0</v>
      </c>
      <c r="W913" s="1" t="str">
        <f t="shared" si="14"/>
        <v>No</v>
      </c>
    </row>
    <row r="914" spans="1:23" s="1" customFormat="1" ht="11.25">
      <c r="A914" s="2" t="s">
        <v>852</v>
      </c>
      <c r="B914" s="21" t="s">
        <v>853</v>
      </c>
      <c r="C914" s="26" t="s">
        <v>69</v>
      </c>
      <c r="D914" s="163">
        <v>2006</v>
      </c>
      <c r="E914" s="166">
        <v>20006</v>
      </c>
      <c r="F914" s="92" t="s">
        <v>152</v>
      </c>
      <c r="G914" s="20" t="s">
        <v>149</v>
      </c>
      <c r="H914" s="18">
        <v>18351295</v>
      </c>
      <c r="I914" s="18">
        <v>8</v>
      </c>
      <c r="J914" s="4" t="s">
        <v>12</v>
      </c>
      <c r="K914" s="26" t="s">
        <v>11</v>
      </c>
      <c r="L914" s="172">
        <v>5</v>
      </c>
      <c r="M914" s="6">
        <v>1</v>
      </c>
      <c r="N914" s="6"/>
      <c r="O914" s="6">
        <v>0</v>
      </c>
      <c r="P914" s="6"/>
      <c r="Q914" s="7">
        <v>1</v>
      </c>
      <c r="R914" s="6"/>
      <c r="S914" s="1">
        <v>0</v>
      </c>
      <c r="U914" s="1">
        <v>0</v>
      </c>
      <c r="W914" s="1" t="str">
        <f t="shared" si="14"/>
        <v>No</v>
      </c>
    </row>
    <row r="915" spans="1:23" s="1" customFormat="1" ht="11.25">
      <c r="A915" s="2" t="s">
        <v>682</v>
      </c>
      <c r="B915" s="21" t="s">
        <v>683</v>
      </c>
      <c r="C915" s="26" t="s">
        <v>52</v>
      </c>
      <c r="D915" s="163" t="s">
        <v>684</v>
      </c>
      <c r="E915" s="166">
        <v>55252</v>
      </c>
      <c r="F915" s="92" t="s">
        <v>397</v>
      </c>
      <c r="G915" s="20" t="s">
        <v>1490</v>
      </c>
      <c r="H915" s="18">
        <v>0</v>
      </c>
      <c r="I915" s="18">
        <v>8</v>
      </c>
      <c r="J915" s="4" t="s">
        <v>21</v>
      </c>
      <c r="K915" s="26" t="s">
        <v>11</v>
      </c>
      <c r="L915" s="172">
        <v>4</v>
      </c>
      <c r="M915" s="6">
        <v>0</v>
      </c>
      <c r="N915" s="6"/>
      <c r="O915" s="6">
        <v>0</v>
      </c>
      <c r="P915" s="6"/>
      <c r="Q915" s="7">
        <v>0</v>
      </c>
      <c r="R915" s="6"/>
      <c r="S915" s="1">
        <v>0</v>
      </c>
      <c r="U915" s="1">
        <v>0</v>
      </c>
      <c r="W915" s="1" t="str">
        <f t="shared" si="14"/>
        <v>No</v>
      </c>
    </row>
    <row r="916" spans="1:23" s="1" customFormat="1" ht="11.25">
      <c r="A916" s="2" t="s">
        <v>475</v>
      </c>
      <c r="B916" s="21" t="s">
        <v>339</v>
      </c>
      <c r="C916" s="26" t="s">
        <v>74</v>
      </c>
      <c r="D916" s="163" t="s">
        <v>476</v>
      </c>
      <c r="E916" s="166">
        <v>119</v>
      </c>
      <c r="F916" s="92" t="s">
        <v>397</v>
      </c>
      <c r="G916" s="20" t="s">
        <v>1490</v>
      </c>
      <c r="H916" s="18">
        <v>0</v>
      </c>
      <c r="I916" s="18">
        <v>8</v>
      </c>
      <c r="J916" s="4" t="s">
        <v>21</v>
      </c>
      <c r="K916" s="26" t="s">
        <v>11</v>
      </c>
      <c r="L916" s="172">
        <v>5</v>
      </c>
      <c r="M916" s="6">
        <v>0</v>
      </c>
      <c r="N916" s="6"/>
      <c r="O916" s="6">
        <v>0</v>
      </c>
      <c r="P916" s="6"/>
      <c r="Q916" s="7">
        <v>0</v>
      </c>
      <c r="R916" s="6"/>
      <c r="S916" s="1">
        <v>0</v>
      </c>
      <c r="U916" s="1">
        <v>0</v>
      </c>
      <c r="W916" s="1" t="str">
        <f t="shared" si="14"/>
        <v>No</v>
      </c>
    </row>
    <row r="917" spans="1:23" s="1" customFormat="1" ht="11.25">
      <c r="A917" s="2" t="s">
        <v>490</v>
      </c>
      <c r="B917" s="21" t="s">
        <v>491</v>
      </c>
      <c r="C917" s="26" t="s">
        <v>77</v>
      </c>
      <c r="D917" s="163">
        <v>4183</v>
      </c>
      <c r="E917" s="166">
        <v>40183</v>
      </c>
      <c r="F917" s="92" t="s">
        <v>152</v>
      </c>
      <c r="G917" s="20" t="s">
        <v>1490</v>
      </c>
      <c r="H917" s="18">
        <v>306196</v>
      </c>
      <c r="I917" s="18">
        <v>8</v>
      </c>
      <c r="J917" s="4" t="s">
        <v>12</v>
      </c>
      <c r="K917" s="26" t="s">
        <v>11</v>
      </c>
      <c r="L917" s="172">
        <v>1</v>
      </c>
      <c r="M917" s="6">
        <v>1</v>
      </c>
      <c r="N917" s="6"/>
      <c r="O917" s="6">
        <v>0</v>
      </c>
      <c r="P917" s="6"/>
      <c r="Q917" s="7">
        <v>1</v>
      </c>
      <c r="R917" s="6"/>
      <c r="S917" s="1">
        <v>0</v>
      </c>
      <c r="U917" s="1">
        <v>0</v>
      </c>
      <c r="W917" s="1" t="str">
        <f t="shared" si="14"/>
        <v>No</v>
      </c>
    </row>
    <row r="918" spans="1:23" s="1" customFormat="1" ht="11.25">
      <c r="A918" s="2" t="s">
        <v>854</v>
      </c>
      <c r="B918" s="21" t="s">
        <v>359</v>
      </c>
      <c r="C918" s="26" t="s">
        <v>84</v>
      </c>
      <c r="D918" s="163">
        <v>6081</v>
      </c>
      <c r="E918" s="166">
        <v>60081</v>
      </c>
      <c r="F918" s="92" t="s">
        <v>152</v>
      </c>
      <c r="G918" s="20" t="s">
        <v>1490</v>
      </c>
      <c r="H918" s="18">
        <v>98884</v>
      </c>
      <c r="I918" s="18">
        <v>8</v>
      </c>
      <c r="J918" s="4" t="s">
        <v>12</v>
      </c>
      <c r="K918" s="26" t="s">
        <v>11</v>
      </c>
      <c r="L918" s="172">
        <v>5</v>
      </c>
      <c r="M918" s="6">
        <v>0</v>
      </c>
      <c r="N918" s="6"/>
      <c r="O918" s="6">
        <v>0</v>
      </c>
      <c r="P918" s="6"/>
      <c r="Q918" s="7">
        <v>0</v>
      </c>
      <c r="R918" s="6"/>
      <c r="S918" s="1">
        <v>0</v>
      </c>
      <c r="U918" s="1">
        <v>0</v>
      </c>
      <c r="W918" s="1" t="str">
        <f t="shared" si="14"/>
        <v>No</v>
      </c>
    </row>
    <row r="919" spans="1:23" s="1" customFormat="1" ht="11.25">
      <c r="A919" s="2" t="s">
        <v>443</v>
      </c>
      <c r="B919" s="21" t="s">
        <v>444</v>
      </c>
      <c r="C919" s="26" t="s">
        <v>68</v>
      </c>
      <c r="D919" s="163">
        <v>9215</v>
      </c>
      <c r="E919" s="166">
        <v>90215</v>
      </c>
      <c r="F919" s="92" t="s">
        <v>188</v>
      </c>
      <c r="G919" s="20" t="s">
        <v>1490</v>
      </c>
      <c r="H919" s="18">
        <v>58079</v>
      </c>
      <c r="I919" s="18">
        <v>8</v>
      </c>
      <c r="J919" s="4" t="s">
        <v>12</v>
      </c>
      <c r="K919" s="26" t="s">
        <v>15</v>
      </c>
      <c r="L919" s="172">
        <v>4</v>
      </c>
      <c r="M919" s="6">
        <v>0</v>
      </c>
      <c r="N919" s="6"/>
      <c r="O919" s="6">
        <v>0</v>
      </c>
      <c r="P919" s="6"/>
      <c r="Q919" s="7">
        <v>0</v>
      </c>
      <c r="R919" s="6"/>
      <c r="S919" s="1">
        <v>0</v>
      </c>
      <c r="U919" s="1">
        <v>0</v>
      </c>
      <c r="W919" s="1" t="str">
        <f t="shared" si="14"/>
        <v>No</v>
      </c>
    </row>
    <row r="920" spans="1:23" s="1" customFormat="1" ht="11.25">
      <c r="A920" s="2" t="s">
        <v>41</v>
      </c>
      <c r="B920" s="21" t="s">
        <v>361</v>
      </c>
      <c r="C920" s="26" t="s">
        <v>40</v>
      </c>
      <c r="D920" s="163">
        <v>5183</v>
      </c>
      <c r="E920" s="166">
        <v>50183</v>
      </c>
      <c r="F920" s="92" t="s">
        <v>152</v>
      </c>
      <c r="G920" s="20" t="s">
        <v>149</v>
      </c>
      <c r="H920" s="18">
        <v>8608208</v>
      </c>
      <c r="I920" s="18">
        <v>8</v>
      </c>
      <c r="J920" s="4" t="s">
        <v>21</v>
      </c>
      <c r="K920" s="26" t="s">
        <v>15</v>
      </c>
      <c r="L920" s="172">
        <v>4</v>
      </c>
      <c r="M920" s="6">
        <v>0</v>
      </c>
      <c r="N920" s="6"/>
      <c r="O920" s="6">
        <v>0</v>
      </c>
      <c r="P920" s="6"/>
      <c r="Q920" s="7">
        <v>0</v>
      </c>
      <c r="R920" s="6"/>
      <c r="S920" s="1">
        <v>0</v>
      </c>
      <c r="U920" s="1">
        <v>0</v>
      </c>
      <c r="W920" s="1" t="str">
        <f t="shared" si="14"/>
        <v>No</v>
      </c>
    </row>
    <row r="921" spans="1:23" s="1" customFormat="1" ht="11.25">
      <c r="A921" s="2" t="s">
        <v>475</v>
      </c>
      <c r="B921" s="21" t="s">
        <v>339</v>
      </c>
      <c r="C921" s="26" t="s">
        <v>74</v>
      </c>
      <c r="D921" s="163" t="s">
        <v>476</v>
      </c>
      <c r="E921" s="166">
        <v>119</v>
      </c>
      <c r="F921" s="92" t="s">
        <v>397</v>
      </c>
      <c r="G921" s="20" t="s">
        <v>1490</v>
      </c>
      <c r="H921" s="18">
        <v>0</v>
      </c>
      <c r="I921" s="18">
        <v>8</v>
      </c>
      <c r="J921" s="4" t="s">
        <v>12</v>
      </c>
      <c r="K921" s="26" t="s">
        <v>11</v>
      </c>
      <c r="L921" s="172">
        <v>3</v>
      </c>
      <c r="M921" s="6">
        <v>0</v>
      </c>
      <c r="N921" s="6"/>
      <c r="O921" s="6">
        <v>0</v>
      </c>
      <c r="P921" s="6"/>
      <c r="Q921" s="7">
        <v>0</v>
      </c>
      <c r="R921" s="6"/>
      <c r="S921" s="1">
        <v>0</v>
      </c>
      <c r="U921" s="1">
        <v>0</v>
      </c>
      <c r="W921" s="1" t="str">
        <f t="shared" si="14"/>
        <v>No</v>
      </c>
    </row>
    <row r="922" spans="1:23" s="1" customFormat="1" ht="11.25">
      <c r="A922" s="2" t="s">
        <v>1866</v>
      </c>
      <c r="B922" s="21" t="s">
        <v>1668</v>
      </c>
      <c r="C922" s="26" t="s">
        <v>86</v>
      </c>
      <c r="D922" s="163"/>
      <c r="E922" s="166">
        <v>30198</v>
      </c>
      <c r="F922" s="92" t="s">
        <v>152</v>
      </c>
      <c r="G922" s="20" t="s">
        <v>1490</v>
      </c>
      <c r="H922" s="18">
        <v>1439666</v>
      </c>
      <c r="I922" s="18">
        <v>8</v>
      </c>
      <c r="J922" s="4" t="s">
        <v>12</v>
      </c>
      <c r="K922" s="26" t="s">
        <v>15</v>
      </c>
      <c r="L922" s="172">
        <v>7</v>
      </c>
      <c r="M922" s="6">
        <v>1</v>
      </c>
      <c r="N922" s="6"/>
      <c r="O922" s="6">
        <v>0</v>
      </c>
      <c r="P922" s="6"/>
      <c r="Q922" s="7">
        <v>1</v>
      </c>
      <c r="R922" s="6"/>
      <c r="S922" s="1">
        <v>0</v>
      </c>
      <c r="U922" s="1">
        <v>0</v>
      </c>
      <c r="W922" s="1" t="str">
        <f t="shared" si="14"/>
        <v>No</v>
      </c>
    </row>
    <row r="923" spans="1:23" s="1" customFormat="1" ht="11.25">
      <c r="A923" s="2" t="s">
        <v>472</v>
      </c>
      <c r="B923" s="21" t="s">
        <v>189</v>
      </c>
      <c r="C923" s="26" t="s">
        <v>50</v>
      </c>
      <c r="D923" s="163">
        <v>1015</v>
      </c>
      <c r="E923" s="166">
        <v>10015</v>
      </c>
      <c r="F923" s="92" t="s">
        <v>152</v>
      </c>
      <c r="G923" s="20" t="s">
        <v>1490</v>
      </c>
      <c r="H923" s="18">
        <v>59397</v>
      </c>
      <c r="I923" s="18">
        <v>8</v>
      </c>
      <c r="J923" s="4" t="s">
        <v>12</v>
      </c>
      <c r="K923" s="26" t="s">
        <v>15</v>
      </c>
      <c r="L923" s="172">
        <v>6</v>
      </c>
      <c r="M923" s="6">
        <v>2</v>
      </c>
      <c r="N923" s="6"/>
      <c r="O923" s="6">
        <v>0</v>
      </c>
      <c r="P923" s="6"/>
      <c r="Q923" s="7">
        <v>2</v>
      </c>
      <c r="R923" s="6"/>
      <c r="S923" s="1">
        <v>0</v>
      </c>
      <c r="U923" s="1">
        <v>0</v>
      </c>
      <c r="W923" s="1" t="str">
        <f t="shared" si="14"/>
        <v>No</v>
      </c>
    </row>
    <row r="924" spans="1:23" s="1" customFormat="1" ht="11.25">
      <c r="A924" s="2" t="s">
        <v>1287</v>
      </c>
      <c r="B924" s="21" t="s">
        <v>1286</v>
      </c>
      <c r="C924" s="26" t="s">
        <v>81</v>
      </c>
      <c r="D924" s="163">
        <v>4101</v>
      </c>
      <c r="E924" s="166">
        <v>40101</v>
      </c>
      <c r="F924" s="92" t="s">
        <v>160</v>
      </c>
      <c r="G924" s="20" t="s">
        <v>1490</v>
      </c>
      <c r="H924" s="18">
        <v>180786</v>
      </c>
      <c r="I924" s="18">
        <v>8</v>
      </c>
      <c r="J924" s="4" t="s">
        <v>12</v>
      </c>
      <c r="K924" s="26" t="s">
        <v>11</v>
      </c>
      <c r="L924" s="172">
        <v>8</v>
      </c>
      <c r="M924" s="6">
        <v>1</v>
      </c>
      <c r="N924" s="6"/>
      <c r="O924" s="6">
        <v>0</v>
      </c>
      <c r="P924" s="6"/>
      <c r="Q924" s="7">
        <v>1</v>
      </c>
      <c r="R924" s="6"/>
      <c r="S924" s="1">
        <v>1</v>
      </c>
      <c r="U924" s="1">
        <v>0</v>
      </c>
      <c r="W924" s="1" t="str">
        <f t="shared" si="14"/>
        <v>No</v>
      </c>
    </row>
    <row r="925" spans="1:23" s="1" customFormat="1" ht="11.25">
      <c r="A925" s="2" t="s">
        <v>381</v>
      </c>
      <c r="B925" s="21" t="s">
        <v>382</v>
      </c>
      <c r="C925" s="26" t="s">
        <v>40</v>
      </c>
      <c r="D925" s="163">
        <v>5098</v>
      </c>
      <c r="E925" s="166">
        <v>50098</v>
      </c>
      <c r="F925" s="92" t="s">
        <v>152</v>
      </c>
      <c r="G925" s="20" t="s">
        <v>1490</v>
      </c>
      <c r="H925" s="18">
        <v>66025</v>
      </c>
      <c r="I925" s="18">
        <v>8</v>
      </c>
      <c r="J925" s="4" t="s">
        <v>21</v>
      </c>
      <c r="K925" s="26" t="s">
        <v>11</v>
      </c>
      <c r="L925" s="172">
        <v>2</v>
      </c>
      <c r="M925" s="6">
        <v>0</v>
      </c>
      <c r="N925" s="6"/>
      <c r="O925" s="6">
        <v>0</v>
      </c>
      <c r="P925" s="6"/>
      <c r="Q925" s="7">
        <v>0</v>
      </c>
      <c r="R925" s="6"/>
      <c r="S925" s="1">
        <v>0</v>
      </c>
      <c r="U925" s="1">
        <v>0</v>
      </c>
      <c r="W925" s="1" t="str">
        <f t="shared" si="14"/>
        <v>No</v>
      </c>
    </row>
    <row r="926" spans="1:23" s="1" customFormat="1" ht="11.25">
      <c r="A926" s="2" t="s">
        <v>888</v>
      </c>
      <c r="B926" s="21" t="s">
        <v>509</v>
      </c>
      <c r="C926" s="26" t="s">
        <v>88</v>
      </c>
      <c r="D926" s="163">
        <v>23</v>
      </c>
      <c r="E926" s="166">
        <v>23</v>
      </c>
      <c r="F926" s="92" t="s">
        <v>152</v>
      </c>
      <c r="G926" s="20" t="s">
        <v>149</v>
      </c>
      <c r="H926" s="18">
        <v>3059393</v>
      </c>
      <c r="I926" s="18">
        <v>8</v>
      </c>
      <c r="J926" s="4" t="s">
        <v>34</v>
      </c>
      <c r="K926" s="26" t="s">
        <v>15</v>
      </c>
      <c r="L926" s="172">
        <v>8</v>
      </c>
      <c r="M926" s="6">
        <v>2</v>
      </c>
      <c r="N926" s="6"/>
      <c r="O926" s="6">
        <v>0</v>
      </c>
      <c r="P926" s="6"/>
      <c r="Q926" s="7">
        <v>2</v>
      </c>
      <c r="R926" s="6"/>
      <c r="S926" s="1">
        <v>1</v>
      </c>
      <c r="U926" s="1">
        <v>0</v>
      </c>
      <c r="W926" s="1" t="str">
        <f t="shared" si="14"/>
        <v>No</v>
      </c>
    </row>
    <row r="927" spans="1:23" s="1" customFormat="1" ht="11.25">
      <c r="A927" s="2" t="s">
        <v>41</v>
      </c>
      <c r="B927" s="21" t="s">
        <v>361</v>
      </c>
      <c r="C927" s="26" t="s">
        <v>40</v>
      </c>
      <c r="D927" s="163">
        <v>5183</v>
      </c>
      <c r="E927" s="166">
        <v>50183</v>
      </c>
      <c r="F927" s="92" t="s">
        <v>152</v>
      </c>
      <c r="G927" s="20" t="s">
        <v>149</v>
      </c>
      <c r="H927" s="18">
        <v>8608208</v>
      </c>
      <c r="I927" s="18">
        <v>8</v>
      </c>
      <c r="J927" s="4" t="s">
        <v>12</v>
      </c>
      <c r="K927" s="26" t="s">
        <v>15</v>
      </c>
      <c r="L927" s="172">
        <v>4</v>
      </c>
      <c r="M927" s="6">
        <v>0</v>
      </c>
      <c r="N927" s="6"/>
      <c r="O927" s="6">
        <v>0</v>
      </c>
      <c r="P927" s="6"/>
      <c r="Q927" s="7">
        <v>0</v>
      </c>
      <c r="R927" s="6"/>
      <c r="S927" s="1">
        <v>0</v>
      </c>
      <c r="U927" s="1">
        <v>0</v>
      </c>
      <c r="W927" s="1" t="str">
        <f t="shared" si="14"/>
        <v>No</v>
      </c>
    </row>
    <row r="928" spans="1:23" s="1" customFormat="1" ht="11.25">
      <c r="A928" s="2" t="s">
        <v>1867</v>
      </c>
      <c r="B928" s="21" t="s">
        <v>1868</v>
      </c>
      <c r="C928" s="26" t="s">
        <v>52</v>
      </c>
      <c r="D928" s="163" t="s">
        <v>1869</v>
      </c>
      <c r="E928" s="166">
        <v>55234</v>
      </c>
      <c r="F928" s="92" t="s">
        <v>397</v>
      </c>
      <c r="G928" s="20" t="s">
        <v>1490</v>
      </c>
      <c r="H928" s="18">
        <v>0</v>
      </c>
      <c r="I928" s="18">
        <v>8</v>
      </c>
      <c r="J928" s="4" t="s">
        <v>12</v>
      </c>
      <c r="K928" s="26" t="s">
        <v>11</v>
      </c>
      <c r="L928" s="172">
        <v>2</v>
      </c>
      <c r="M928" s="6">
        <v>0</v>
      </c>
      <c r="N928" s="6"/>
      <c r="O928" s="6">
        <v>0</v>
      </c>
      <c r="P928" s="6"/>
      <c r="Q928" s="7">
        <v>0</v>
      </c>
      <c r="R928" s="6"/>
      <c r="S928" s="1">
        <v>0</v>
      </c>
      <c r="U928" s="1">
        <v>0</v>
      </c>
      <c r="W928" s="1" t="str">
        <f t="shared" si="14"/>
        <v>No</v>
      </c>
    </row>
    <row r="929" spans="1:23" s="1" customFormat="1" ht="11.25">
      <c r="A929" s="2" t="s">
        <v>1300</v>
      </c>
      <c r="B929" s="21" t="s">
        <v>1301</v>
      </c>
      <c r="C929" s="26" t="s">
        <v>71</v>
      </c>
      <c r="D929" s="163">
        <v>5142</v>
      </c>
      <c r="E929" s="166">
        <v>50142</v>
      </c>
      <c r="F929" s="92" t="s">
        <v>160</v>
      </c>
      <c r="G929" s="20" t="s">
        <v>1490</v>
      </c>
      <c r="H929" s="18">
        <v>70889</v>
      </c>
      <c r="I929" s="18">
        <v>8</v>
      </c>
      <c r="J929" s="4" t="s">
        <v>12</v>
      </c>
      <c r="K929" s="26" t="s">
        <v>11</v>
      </c>
      <c r="L929" s="172">
        <v>7</v>
      </c>
      <c r="M929" s="6">
        <v>0</v>
      </c>
      <c r="N929" s="6"/>
      <c r="O929" s="6">
        <v>0</v>
      </c>
      <c r="P929" s="6"/>
      <c r="Q929" s="7">
        <v>0</v>
      </c>
      <c r="R929" s="6"/>
      <c r="S929" s="1">
        <v>0</v>
      </c>
      <c r="U929" s="1">
        <v>0</v>
      </c>
      <c r="W929" s="1" t="str">
        <f t="shared" si="14"/>
        <v>No</v>
      </c>
    </row>
    <row r="930" spans="1:23" s="1" customFormat="1" ht="11.25">
      <c r="A930" s="2" t="s">
        <v>381</v>
      </c>
      <c r="B930" s="21" t="s">
        <v>382</v>
      </c>
      <c r="C930" s="26" t="s">
        <v>40</v>
      </c>
      <c r="D930" s="163">
        <v>5098</v>
      </c>
      <c r="E930" s="166">
        <v>50098</v>
      </c>
      <c r="F930" s="92" t="s">
        <v>152</v>
      </c>
      <c r="G930" s="20" t="s">
        <v>1490</v>
      </c>
      <c r="H930" s="18">
        <v>66025</v>
      </c>
      <c r="I930" s="18">
        <v>8</v>
      </c>
      <c r="J930" s="4" t="s">
        <v>12</v>
      </c>
      <c r="K930" s="26" t="s">
        <v>11</v>
      </c>
      <c r="L930" s="172">
        <v>4</v>
      </c>
      <c r="M930" s="6">
        <v>0</v>
      </c>
      <c r="N930" s="6"/>
      <c r="O930" s="6">
        <v>0</v>
      </c>
      <c r="P930" s="6"/>
      <c r="Q930" s="7">
        <v>0</v>
      </c>
      <c r="R930" s="6"/>
      <c r="S930" s="1">
        <v>0</v>
      </c>
      <c r="U930" s="1">
        <v>0</v>
      </c>
      <c r="W930" s="1" t="str">
        <f t="shared" si="14"/>
        <v>No</v>
      </c>
    </row>
    <row r="931" spans="1:23" s="1" customFormat="1" ht="11.25">
      <c r="A931" s="2" t="s">
        <v>1306</v>
      </c>
      <c r="B931" s="21" t="s">
        <v>1307</v>
      </c>
      <c r="C931" s="26" t="s">
        <v>32</v>
      </c>
      <c r="D931" s="163">
        <v>4120</v>
      </c>
      <c r="E931" s="166">
        <v>40120</v>
      </c>
      <c r="F931" s="92" t="s">
        <v>152</v>
      </c>
      <c r="G931" s="20" t="s">
        <v>149</v>
      </c>
      <c r="H931" s="18">
        <v>156909</v>
      </c>
      <c r="I931" s="18">
        <v>8</v>
      </c>
      <c r="J931" s="4" t="s">
        <v>12</v>
      </c>
      <c r="K931" s="26" t="s">
        <v>15</v>
      </c>
      <c r="L931" s="172">
        <v>6</v>
      </c>
      <c r="M931" s="6">
        <v>1</v>
      </c>
      <c r="N931" s="6"/>
      <c r="O931" s="6">
        <v>0</v>
      </c>
      <c r="P931" s="6"/>
      <c r="Q931" s="7">
        <v>1</v>
      </c>
      <c r="R931" s="6"/>
      <c r="S931" s="1">
        <v>0</v>
      </c>
      <c r="U931" s="1">
        <v>0</v>
      </c>
      <c r="W931" s="1" t="str">
        <f t="shared" si="14"/>
        <v>No</v>
      </c>
    </row>
    <row r="932" spans="1:23" s="1" customFormat="1" ht="11.25">
      <c r="A932" s="2" t="s">
        <v>1651</v>
      </c>
      <c r="B932" s="21" t="s">
        <v>1677</v>
      </c>
      <c r="C932" s="26" t="s">
        <v>52</v>
      </c>
      <c r="D932" s="163">
        <v>5220</v>
      </c>
      <c r="E932" s="166">
        <v>50517</v>
      </c>
      <c r="F932" s="92" t="s">
        <v>152</v>
      </c>
      <c r="G932" s="20" t="s">
        <v>149</v>
      </c>
      <c r="H932" s="18">
        <v>2650890</v>
      </c>
      <c r="I932" s="18">
        <v>7</v>
      </c>
      <c r="J932" s="4" t="s">
        <v>12</v>
      </c>
      <c r="K932" s="26" t="s">
        <v>15</v>
      </c>
      <c r="L932" s="172">
        <v>1</v>
      </c>
      <c r="M932" s="6">
        <v>2</v>
      </c>
      <c r="N932" s="6"/>
      <c r="O932" s="6">
        <v>0</v>
      </c>
      <c r="P932" s="6"/>
      <c r="Q932" s="7">
        <v>2</v>
      </c>
      <c r="R932" s="6"/>
      <c r="S932" s="1">
        <v>1</v>
      </c>
      <c r="U932" s="1">
        <v>0</v>
      </c>
      <c r="W932" s="1" t="str">
        <f t="shared" si="14"/>
        <v>No</v>
      </c>
    </row>
    <row r="933" spans="1:23" s="1" customFormat="1" ht="11.25">
      <c r="A933" s="2" t="s">
        <v>1757</v>
      </c>
      <c r="B933" s="21" t="s">
        <v>883</v>
      </c>
      <c r="C933" s="26" t="s">
        <v>81</v>
      </c>
      <c r="D933" s="163">
        <v>4156</v>
      </c>
      <c r="E933" s="166">
        <v>40156</v>
      </c>
      <c r="F933" s="92" t="s">
        <v>188</v>
      </c>
      <c r="G933" s="20" t="s">
        <v>1490</v>
      </c>
      <c r="H933" s="18">
        <v>386787</v>
      </c>
      <c r="I933" s="18">
        <v>7</v>
      </c>
      <c r="J933" s="4" t="s">
        <v>12</v>
      </c>
      <c r="K933" s="26" t="s">
        <v>15</v>
      </c>
      <c r="L933" s="172">
        <v>3</v>
      </c>
      <c r="M933" s="6">
        <v>1</v>
      </c>
      <c r="N933" s="6"/>
      <c r="O933" s="6">
        <v>0</v>
      </c>
      <c r="P933" s="6"/>
      <c r="Q933" s="7">
        <v>1</v>
      </c>
      <c r="R933" s="6"/>
      <c r="S933" s="1">
        <v>0</v>
      </c>
      <c r="U933" s="1">
        <v>0</v>
      </c>
      <c r="W933" s="1" t="str">
        <f t="shared" si="14"/>
        <v>No</v>
      </c>
    </row>
    <row r="934" spans="1:23" s="1" customFormat="1" ht="11.25">
      <c r="A934" s="2" t="s">
        <v>1058</v>
      </c>
      <c r="B934" s="21" t="s">
        <v>274</v>
      </c>
      <c r="C934" s="26" t="s">
        <v>44</v>
      </c>
      <c r="D934" s="163">
        <v>6023</v>
      </c>
      <c r="E934" s="166">
        <v>60023</v>
      </c>
      <c r="F934" s="92" t="s">
        <v>152</v>
      </c>
      <c r="G934" s="20" t="s">
        <v>1490</v>
      </c>
      <c r="H934" s="18">
        <v>143440</v>
      </c>
      <c r="I934" s="18">
        <v>7</v>
      </c>
      <c r="J934" s="4" t="s">
        <v>12</v>
      </c>
      <c r="K934" s="26" t="s">
        <v>11</v>
      </c>
      <c r="L934" s="172">
        <v>5</v>
      </c>
      <c r="M934" s="6">
        <v>1</v>
      </c>
      <c r="N934" s="6"/>
      <c r="O934" s="6">
        <v>0</v>
      </c>
      <c r="P934" s="6"/>
      <c r="Q934" s="7">
        <v>1</v>
      </c>
      <c r="R934" s="6"/>
      <c r="S934" s="1">
        <v>1</v>
      </c>
      <c r="U934" s="1">
        <v>0</v>
      </c>
      <c r="W934" s="1" t="str">
        <f t="shared" si="14"/>
        <v>No</v>
      </c>
    </row>
    <row r="935" spans="1:23" s="1" customFormat="1" ht="11.25">
      <c r="A935" s="2" t="s">
        <v>391</v>
      </c>
      <c r="B935" s="21" t="s">
        <v>392</v>
      </c>
      <c r="C935" s="26" t="s">
        <v>77</v>
      </c>
      <c r="D935" s="163">
        <v>4160</v>
      </c>
      <c r="E935" s="166">
        <v>40160</v>
      </c>
      <c r="F935" s="92" t="s">
        <v>152</v>
      </c>
      <c r="G935" s="20" t="s">
        <v>1490</v>
      </c>
      <c r="H935" s="18">
        <v>139171</v>
      </c>
      <c r="I935" s="18">
        <v>7</v>
      </c>
      <c r="J935" s="4" t="s">
        <v>12</v>
      </c>
      <c r="K935" s="26" t="s">
        <v>11</v>
      </c>
      <c r="L935" s="172">
        <v>4</v>
      </c>
      <c r="M935" s="6">
        <v>1</v>
      </c>
      <c r="N935" s="6"/>
      <c r="O935" s="6">
        <v>0</v>
      </c>
      <c r="P935" s="6"/>
      <c r="Q935" s="7">
        <v>1</v>
      </c>
      <c r="R935" s="6"/>
      <c r="S935" s="1">
        <v>1</v>
      </c>
      <c r="U935" s="1">
        <v>0</v>
      </c>
      <c r="W935" s="1" t="str">
        <f t="shared" si="14"/>
        <v>No</v>
      </c>
    </row>
    <row r="936" spans="1:23" s="1" customFormat="1" ht="11.25">
      <c r="A936" s="2" t="s">
        <v>450</v>
      </c>
      <c r="B936" s="21" t="s">
        <v>451</v>
      </c>
      <c r="C936" s="26" t="s">
        <v>77</v>
      </c>
      <c r="D936" s="163">
        <v>4165</v>
      </c>
      <c r="E936" s="166">
        <v>40165</v>
      </c>
      <c r="F936" s="92" t="s">
        <v>152</v>
      </c>
      <c r="G936" s="20" t="s">
        <v>1490</v>
      </c>
      <c r="H936" s="18">
        <v>2148346</v>
      </c>
      <c r="I936" s="18">
        <v>7</v>
      </c>
      <c r="J936" s="4" t="s">
        <v>12</v>
      </c>
      <c r="K936" s="26" t="s">
        <v>11</v>
      </c>
      <c r="L936" s="172">
        <v>5</v>
      </c>
      <c r="M936" s="6">
        <v>1</v>
      </c>
      <c r="N936" s="6"/>
      <c r="O936" s="6">
        <v>0</v>
      </c>
      <c r="P936" s="6"/>
      <c r="Q936" s="7">
        <v>1</v>
      </c>
      <c r="R936" s="6"/>
      <c r="S936" s="1">
        <v>0</v>
      </c>
      <c r="U936" s="1">
        <v>0</v>
      </c>
      <c r="W936" s="1" t="str">
        <f t="shared" si="14"/>
        <v>No</v>
      </c>
    </row>
    <row r="937" spans="1:23" s="1" customFormat="1" ht="11.25">
      <c r="A937" s="2" t="s">
        <v>507</v>
      </c>
      <c r="B937" s="21" t="s">
        <v>508</v>
      </c>
      <c r="C937" s="26" t="s">
        <v>83</v>
      </c>
      <c r="D937" s="163">
        <v>4186</v>
      </c>
      <c r="E937" s="166">
        <v>40186</v>
      </c>
      <c r="F937" s="92" t="s">
        <v>152</v>
      </c>
      <c r="G937" s="20" t="s">
        <v>1490</v>
      </c>
      <c r="H937" s="18">
        <v>133228</v>
      </c>
      <c r="I937" s="18">
        <v>7</v>
      </c>
      <c r="J937" s="4" t="s">
        <v>12</v>
      </c>
      <c r="K937" s="26" t="s">
        <v>11</v>
      </c>
      <c r="L937" s="172">
        <v>7</v>
      </c>
      <c r="M937" s="6">
        <v>0</v>
      </c>
      <c r="N937" s="6"/>
      <c r="O937" s="6">
        <v>0</v>
      </c>
      <c r="P937" s="6"/>
      <c r="Q937" s="7">
        <v>0</v>
      </c>
      <c r="R937" s="6"/>
      <c r="S937" s="1">
        <v>0</v>
      </c>
      <c r="U937" s="1">
        <v>0</v>
      </c>
      <c r="W937" s="1" t="str">
        <f t="shared" si="14"/>
        <v>No</v>
      </c>
    </row>
    <row r="938" spans="1:23" s="1" customFormat="1" ht="11.25">
      <c r="A938" s="2" t="s">
        <v>1758</v>
      </c>
      <c r="B938" s="21" t="s">
        <v>1759</v>
      </c>
      <c r="C938" s="26" t="s">
        <v>19</v>
      </c>
      <c r="D938" s="163"/>
      <c r="E938" s="166">
        <v>90260</v>
      </c>
      <c r="F938" s="92" t="s">
        <v>152</v>
      </c>
      <c r="G938" s="20" t="s">
        <v>1490</v>
      </c>
      <c r="H938" s="18">
        <v>12150996</v>
      </c>
      <c r="I938" s="18">
        <v>7</v>
      </c>
      <c r="J938" s="4" t="s">
        <v>12</v>
      </c>
      <c r="K938" s="26" t="s">
        <v>15</v>
      </c>
      <c r="L938" s="172">
        <v>5</v>
      </c>
      <c r="M938" s="6">
        <v>1</v>
      </c>
      <c r="N938" s="6"/>
      <c r="O938" s="6">
        <v>0</v>
      </c>
      <c r="P938" s="6"/>
      <c r="Q938" s="7">
        <v>1</v>
      </c>
      <c r="R938" s="6"/>
      <c r="S938" s="1">
        <v>0</v>
      </c>
      <c r="U938" s="1">
        <v>0</v>
      </c>
      <c r="W938" s="1" t="str">
        <f t="shared" si="14"/>
        <v>No</v>
      </c>
    </row>
    <row r="939" spans="1:23" s="1" customFormat="1" ht="11.25">
      <c r="A939" s="2" t="s">
        <v>1762</v>
      </c>
      <c r="B939" s="21" t="s">
        <v>267</v>
      </c>
      <c r="C939" s="26" t="s">
        <v>57</v>
      </c>
      <c r="D939" s="163"/>
      <c r="E939" s="166">
        <v>40252</v>
      </c>
      <c r="F939" s="92" t="s">
        <v>152</v>
      </c>
      <c r="G939" s="20" t="s">
        <v>1490</v>
      </c>
      <c r="H939" s="18">
        <v>119911</v>
      </c>
      <c r="I939" s="18">
        <v>7</v>
      </c>
      <c r="J939" s="4" t="s">
        <v>12</v>
      </c>
      <c r="K939" s="26" t="s">
        <v>15</v>
      </c>
      <c r="L939" s="172">
        <v>5</v>
      </c>
      <c r="M939" s="6">
        <v>0</v>
      </c>
      <c r="N939" s="6"/>
      <c r="O939" s="6">
        <v>0</v>
      </c>
      <c r="P939" s="6"/>
      <c r="Q939" s="7">
        <v>0</v>
      </c>
      <c r="R939" s="6"/>
      <c r="S939" s="1">
        <v>0</v>
      </c>
      <c r="U939" s="1">
        <v>0</v>
      </c>
      <c r="W939" s="1" t="str">
        <f t="shared" si="14"/>
        <v>No</v>
      </c>
    </row>
    <row r="940" spans="1:23" s="1" customFormat="1" ht="11.25">
      <c r="A940" s="2" t="s">
        <v>79</v>
      </c>
      <c r="B940" s="21" t="s">
        <v>616</v>
      </c>
      <c r="C940" s="26" t="s">
        <v>77</v>
      </c>
      <c r="D940" s="163">
        <v>4198</v>
      </c>
      <c r="E940" s="166">
        <v>40198</v>
      </c>
      <c r="F940" s="92" t="s">
        <v>152</v>
      </c>
      <c r="G940" s="20" t="s">
        <v>1490</v>
      </c>
      <c r="H940" s="18">
        <v>2148346</v>
      </c>
      <c r="I940" s="18">
        <v>7</v>
      </c>
      <c r="J940" s="4" t="s">
        <v>12</v>
      </c>
      <c r="K940" s="26" t="s">
        <v>15</v>
      </c>
      <c r="L940" s="172">
        <v>3</v>
      </c>
      <c r="M940" s="6">
        <v>0</v>
      </c>
      <c r="N940" s="6"/>
      <c r="O940" s="6">
        <v>0</v>
      </c>
      <c r="P940" s="6"/>
      <c r="Q940" s="7">
        <v>0</v>
      </c>
      <c r="R940" s="6"/>
      <c r="S940" s="1">
        <v>0</v>
      </c>
      <c r="U940" s="1">
        <v>0</v>
      </c>
      <c r="W940" s="1" t="str">
        <f t="shared" si="14"/>
        <v>No</v>
      </c>
    </row>
    <row r="941" spans="1:23" s="1" customFormat="1" ht="11.25">
      <c r="A941" s="2" t="s">
        <v>500</v>
      </c>
      <c r="B941" s="21" t="s">
        <v>501</v>
      </c>
      <c r="C941" s="26" t="s">
        <v>19</v>
      </c>
      <c r="D941" s="163">
        <v>9220</v>
      </c>
      <c r="E941" s="166">
        <v>90220</v>
      </c>
      <c r="F941" s="92" t="s">
        <v>152</v>
      </c>
      <c r="G941" s="20" t="s">
        <v>1490</v>
      </c>
      <c r="H941" s="18">
        <v>1723634</v>
      </c>
      <c r="I941" s="18">
        <v>7</v>
      </c>
      <c r="J941" s="4" t="s">
        <v>12</v>
      </c>
      <c r="K941" s="26" t="s">
        <v>11</v>
      </c>
      <c r="L941" s="172">
        <v>4</v>
      </c>
      <c r="M941" s="6">
        <v>0</v>
      </c>
      <c r="N941" s="6"/>
      <c r="O941" s="6">
        <v>0</v>
      </c>
      <c r="P941" s="6"/>
      <c r="Q941" s="7">
        <v>0</v>
      </c>
      <c r="R941" s="6"/>
      <c r="S941" s="1">
        <v>0</v>
      </c>
      <c r="U941" s="1">
        <v>0</v>
      </c>
      <c r="W941" s="1" t="str">
        <f t="shared" si="14"/>
        <v>No</v>
      </c>
    </row>
    <row r="942" spans="1:23" s="1" customFormat="1" ht="11.25">
      <c r="A942" s="2" t="s">
        <v>1873</v>
      </c>
      <c r="B942" s="21" t="s">
        <v>1874</v>
      </c>
      <c r="C942" s="26" t="s">
        <v>51</v>
      </c>
      <c r="D942" s="163"/>
      <c r="E942" s="166">
        <v>50523</v>
      </c>
      <c r="F942" s="92" t="s">
        <v>397</v>
      </c>
      <c r="G942" s="20" t="s">
        <v>1490</v>
      </c>
      <c r="H942" s="18">
        <v>0</v>
      </c>
      <c r="I942" s="18">
        <v>7</v>
      </c>
      <c r="J942" s="4" t="s">
        <v>12</v>
      </c>
      <c r="K942" s="26" t="s">
        <v>11</v>
      </c>
      <c r="L942" s="172">
        <v>1</v>
      </c>
      <c r="M942" s="6">
        <v>1</v>
      </c>
      <c r="N942" s="6"/>
      <c r="O942" s="6">
        <v>0</v>
      </c>
      <c r="P942" s="6"/>
      <c r="Q942" s="7">
        <v>1</v>
      </c>
      <c r="R942" s="6"/>
      <c r="S942" s="1">
        <v>0</v>
      </c>
      <c r="U942" s="1">
        <v>0</v>
      </c>
      <c r="W942" s="1" t="str">
        <f t="shared" si="14"/>
        <v>No</v>
      </c>
    </row>
    <row r="943" spans="1:23" s="1" customFormat="1" ht="11.25">
      <c r="A943" s="2" t="s">
        <v>1872</v>
      </c>
      <c r="B943" s="21" t="s">
        <v>189</v>
      </c>
      <c r="C943" s="26" t="s">
        <v>88</v>
      </c>
      <c r="D943" s="163"/>
      <c r="E943" s="166">
        <v>407</v>
      </c>
      <c r="F943" s="92" t="s">
        <v>397</v>
      </c>
      <c r="G943" s="20" t="s">
        <v>1490</v>
      </c>
      <c r="H943" s="18">
        <v>3059393</v>
      </c>
      <c r="I943" s="18">
        <v>7</v>
      </c>
      <c r="J943" s="4" t="s">
        <v>12</v>
      </c>
      <c r="K943" s="26" t="s">
        <v>11</v>
      </c>
      <c r="L943" s="172">
        <v>4</v>
      </c>
      <c r="M943" s="6">
        <v>1</v>
      </c>
      <c r="N943" s="6"/>
      <c r="O943" s="6">
        <v>0</v>
      </c>
      <c r="P943" s="6"/>
      <c r="Q943" s="7">
        <v>1</v>
      </c>
      <c r="R943" s="6"/>
      <c r="S943" s="1">
        <v>0</v>
      </c>
      <c r="U943" s="1">
        <v>0</v>
      </c>
      <c r="W943" s="1" t="str">
        <f t="shared" si="14"/>
        <v>No</v>
      </c>
    </row>
    <row r="944" spans="1:23" s="1" customFormat="1" ht="11.25">
      <c r="A944" s="2" t="s">
        <v>643</v>
      </c>
      <c r="B944" s="21" t="s">
        <v>221</v>
      </c>
      <c r="C944" s="26" t="s">
        <v>83</v>
      </c>
      <c r="D944" s="163">
        <v>4055</v>
      </c>
      <c r="E944" s="166">
        <v>40055</v>
      </c>
      <c r="F944" s="92" t="s">
        <v>152</v>
      </c>
      <c r="G944" s="20" t="s">
        <v>1490</v>
      </c>
      <c r="H944" s="18">
        <v>69501</v>
      </c>
      <c r="I944" s="18">
        <v>7</v>
      </c>
      <c r="J944" s="4" t="s">
        <v>12</v>
      </c>
      <c r="K944" s="26" t="s">
        <v>11</v>
      </c>
      <c r="L944" s="172">
        <v>3</v>
      </c>
      <c r="M944" s="6">
        <v>1</v>
      </c>
      <c r="N944" s="6"/>
      <c r="O944" s="6">
        <v>0</v>
      </c>
      <c r="P944" s="6"/>
      <c r="Q944" s="7">
        <v>1</v>
      </c>
      <c r="R944" s="6"/>
      <c r="S944" s="1">
        <v>0</v>
      </c>
      <c r="U944" s="1">
        <v>0</v>
      </c>
      <c r="W944" s="1" t="str">
        <f t="shared" si="14"/>
        <v>No</v>
      </c>
    </row>
    <row r="945" spans="1:23" s="1" customFormat="1" ht="11.25">
      <c r="A945" s="2" t="s">
        <v>70</v>
      </c>
      <c r="B945" s="21" t="s">
        <v>351</v>
      </c>
      <c r="C945" s="26" t="s">
        <v>69</v>
      </c>
      <c r="D945" s="163">
        <v>2189</v>
      </c>
      <c r="E945" s="166">
        <v>20189</v>
      </c>
      <c r="F945" s="92" t="s">
        <v>148</v>
      </c>
      <c r="G945" s="20" t="s">
        <v>149</v>
      </c>
      <c r="H945" s="18">
        <v>18351295</v>
      </c>
      <c r="I945" s="18">
        <v>7</v>
      </c>
      <c r="J945" s="4" t="s">
        <v>22</v>
      </c>
      <c r="K945" s="26" t="s">
        <v>11</v>
      </c>
      <c r="L945" s="172">
        <v>7</v>
      </c>
      <c r="M945" s="6">
        <v>7</v>
      </c>
      <c r="N945" s="6"/>
      <c r="O945" s="6">
        <v>0</v>
      </c>
      <c r="P945" s="6"/>
      <c r="Q945" s="7">
        <v>7</v>
      </c>
      <c r="R945" s="6"/>
      <c r="S945" s="1">
        <v>0</v>
      </c>
      <c r="U945" s="1">
        <v>0</v>
      </c>
      <c r="W945" s="1" t="str">
        <f t="shared" si="14"/>
        <v>No</v>
      </c>
    </row>
    <row r="946" spans="1:23" s="1" customFormat="1" ht="11.25">
      <c r="A946" s="2" t="s">
        <v>1020</v>
      </c>
      <c r="B946" s="21" t="s">
        <v>295</v>
      </c>
      <c r="C946" s="26" t="s">
        <v>55</v>
      </c>
      <c r="D946" s="163">
        <v>4060</v>
      </c>
      <c r="E946" s="166">
        <v>40060</v>
      </c>
      <c r="F946" s="92" t="s">
        <v>152</v>
      </c>
      <c r="G946" s="20" t="s">
        <v>1490</v>
      </c>
      <c r="H946" s="18">
        <v>80358</v>
      </c>
      <c r="I946" s="18">
        <v>7</v>
      </c>
      <c r="J946" s="4" t="s">
        <v>12</v>
      </c>
      <c r="K946" s="26" t="s">
        <v>11</v>
      </c>
      <c r="L946" s="172">
        <v>4</v>
      </c>
      <c r="M946" s="6">
        <v>1</v>
      </c>
      <c r="N946" s="6"/>
      <c r="O946" s="6">
        <v>0</v>
      </c>
      <c r="P946" s="6"/>
      <c r="Q946" s="7">
        <v>1</v>
      </c>
      <c r="R946" s="6"/>
      <c r="S946" s="1">
        <v>0</v>
      </c>
      <c r="U946" s="1">
        <v>0</v>
      </c>
      <c r="W946" s="1" t="str">
        <f t="shared" si="14"/>
        <v>No</v>
      </c>
    </row>
    <row r="947" spans="1:23" s="1" customFormat="1" ht="11.25">
      <c r="A947" s="2" t="s">
        <v>79</v>
      </c>
      <c r="B947" s="21" t="s">
        <v>616</v>
      </c>
      <c r="C947" s="26" t="s">
        <v>77</v>
      </c>
      <c r="D947" s="163">
        <v>4198</v>
      </c>
      <c r="E947" s="166">
        <v>40198</v>
      </c>
      <c r="F947" s="92" t="s">
        <v>152</v>
      </c>
      <c r="G947" s="20" t="s">
        <v>1490</v>
      </c>
      <c r="H947" s="18">
        <v>2148346</v>
      </c>
      <c r="I947" s="18">
        <v>7</v>
      </c>
      <c r="J947" s="4" t="s">
        <v>12</v>
      </c>
      <c r="K947" s="26" t="s">
        <v>11</v>
      </c>
      <c r="L947" s="172">
        <v>2</v>
      </c>
      <c r="M947" s="6">
        <v>1</v>
      </c>
      <c r="N947" s="6"/>
      <c r="O947" s="6">
        <v>0</v>
      </c>
      <c r="P947" s="6"/>
      <c r="Q947" s="7">
        <v>1</v>
      </c>
      <c r="R947" s="6"/>
      <c r="S947" s="1">
        <v>0</v>
      </c>
      <c r="U947" s="1">
        <v>0</v>
      </c>
      <c r="W947" s="1" t="str">
        <f t="shared" si="14"/>
        <v>No</v>
      </c>
    </row>
    <row r="948" spans="1:23" s="1" customFormat="1" ht="11.25">
      <c r="A948" s="2" t="s">
        <v>1647</v>
      </c>
      <c r="B948" s="21" t="s">
        <v>1674</v>
      </c>
      <c r="C948" s="26" t="s">
        <v>32</v>
      </c>
      <c r="D948" s="163"/>
      <c r="E948" s="166">
        <v>40241</v>
      </c>
      <c r="F948" s="92" t="s">
        <v>152</v>
      </c>
      <c r="G948" s="20" t="s">
        <v>1490</v>
      </c>
      <c r="H948" s="18">
        <v>5502379</v>
      </c>
      <c r="I948" s="18">
        <v>7</v>
      </c>
      <c r="J948" s="4" t="s">
        <v>12</v>
      </c>
      <c r="K948" s="26" t="s">
        <v>11</v>
      </c>
      <c r="L948" s="172">
        <v>4</v>
      </c>
      <c r="M948" s="6">
        <v>1</v>
      </c>
      <c r="N948" s="6"/>
      <c r="O948" s="6">
        <v>0</v>
      </c>
      <c r="P948" s="6"/>
      <c r="Q948" s="7">
        <v>1</v>
      </c>
      <c r="R948" s="6"/>
      <c r="S948" s="1">
        <v>0</v>
      </c>
      <c r="U948" s="1">
        <v>0</v>
      </c>
      <c r="W948" s="1" t="str">
        <f t="shared" si="14"/>
        <v>No</v>
      </c>
    </row>
    <row r="949" spans="1:23" s="1" customFormat="1" ht="11.25">
      <c r="A949" s="2" t="s">
        <v>174</v>
      </c>
      <c r="B949" s="21" t="s">
        <v>175</v>
      </c>
      <c r="C949" s="26" t="s">
        <v>50</v>
      </c>
      <c r="D949" s="163">
        <v>1112</v>
      </c>
      <c r="E949" s="166">
        <v>10112</v>
      </c>
      <c r="F949" s="92" t="s">
        <v>152</v>
      </c>
      <c r="G949" s="20" t="s">
        <v>1490</v>
      </c>
      <c r="H949" s="18">
        <v>203914</v>
      </c>
      <c r="I949" s="18">
        <v>7</v>
      </c>
      <c r="J949" s="4" t="s">
        <v>12</v>
      </c>
      <c r="K949" s="26" t="s">
        <v>11</v>
      </c>
      <c r="L949" s="172">
        <v>7</v>
      </c>
      <c r="M949" s="6">
        <v>1</v>
      </c>
      <c r="N949" s="6"/>
      <c r="O949" s="6">
        <v>0</v>
      </c>
      <c r="P949" s="6"/>
      <c r="Q949" s="7">
        <v>1</v>
      </c>
      <c r="R949" s="6"/>
      <c r="S949" s="1">
        <v>0</v>
      </c>
      <c r="U949" s="1">
        <v>0</v>
      </c>
      <c r="W949" s="1" t="str">
        <f t="shared" si="14"/>
        <v>No</v>
      </c>
    </row>
    <row r="950" spans="1:23" s="1" customFormat="1" ht="11.25">
      <c r="A950" s="2" t="s">
        <v>505</v>
      </c>
      <c r="B950" s="21" t="s">
        <v>506</v>
      </c>
      <c r="C950" s="26" t="s">
        <v>2</v>
      </c>
      <c r="D950" s="163">
        <v>53</v>
      </c>
      <c r="E950" s="166">
        <v>53</v>
      </c>
      <c r="F950" s="92" t="s">
        <v>397</v>
      </c>
      <c r="G950" s="20" t="s">
        <v>1490</v>
      </c>
      <c r="H950" s="18">
        <v>98378</v>
      </c>
      <c r="I950" s="18">
        <v>7</v>
      </c>
      <c r="J950" s="4" t="s">
        <v>12</v>
      </c>
      <c r="K950" s="26" t="s">
        <v>11</v>
      </c>
      <c r="L950" s="172">
        <v>5</v>
      </c>
      <c r="M950" s="6">
        <v>0</v>
      </c>
      <c r="N950" s="6"/>
      <c r="O950" s="6">
        <v>0</v>
      </c>
      <c r="P950" s="6"/>
      <c r="Q950" s="7">
        <v>0</v>
      </c>
      <c r="R950" s="6"/>
      <c r="S950" s="1">
        <v>0</v>
      </c>
      <c r="U950" s="1">
        <v>0</v>
      </c>
      <c r="W950" s="1" t="str">
        <f t="shared" si="14"/>
        <v>No</v>
      </c>
    </row>
    <row r="951" spans="1:23" s="1" customFormat="1" ht="11.25">
      <c r="A951" s="2" t="s">
        <v>1413</v>
      </c>
      <c r="B951" s="21" t="s">
        <v>1414</v>
      </c>
      <c r="C951" s="26" t="s">
        <v>69</v>
      </c>
      <c r="D951" s="163">
        <v>2148</v>
      </c>
      <c r="E951" s="166">
        <v>20148</v>
      </c>
      <c r="F951" s="92" t="s">
        <v>323</v>
      </c>
      <c r="G951" s="20" t="s">
        <v>1490</v>
      </c>
      <c r="H951" s="18">
        <v>423566</v>
      </c>
      <c r="I951" s="18">
        <v>7</v>
      </c>
      <c r="J951" s="4" t="s">
        <v>12</v>
      </c>
      <c r="K951" s="26" t="s">
        <v>11</v>
      </c>
      <c r="L951" s="172">
        <v>7</v>
      </c>
      <c r="M951" s="6">
        <v>0</v>
      </c>
      <c r="N951" s="6"/>
      <c r="O951" s="6">
        <v>0</v>
      </c>
      <c r="P951" s="6"/>
      <c r="Q951" s="7">
        <v>0</v>
      </c>
      <c r="R951" s="6"/>
      <c r="S951" s="1">
        <v>0</v>
      </c>
      <c r="U951" s="1">
        <v>0</v>
      </c>
      <c r="W951" s="1" t="str">
        <f t="shared" si="14"/>
        <v>No</v>
      </c>
    </row>
    <row r="952" spans="1:23" s="1" customFormat="1" ht="11.25">
      <c r="A952" s="2" t="s">
        <v>448</v>
      </c>
      <c r="B952" s="21" t="s">
        <v>224</v>
      </c>
      <c r="C952" s="26" t="s">
        <v>83</v>
      </c>
      <c r="D952" s="163">
        <v>4162</v>
      </c>
      <c r="E952" s="166">
        <v>40162</v>
      </c>
      <c r="F952" s="92" t="s">
        <v>152</v>
      </c>
      <c r="G952" s="20" t="s">
        <v>1490</v>
      </c>
      <c r="H952" s="18">
        <v>969587</v>
      </c>
      <c r="I952" s="18">
        <v>7</v>
      </c>
      <c r="J952" s="4" t="s">
        <v>12</v>
      </c>
      <c r="K952" s="26" t="s">
        <v>15</v>
      </c>
      <c r="L952" s="172">
        <v>3</v>
      </c>
      <c r="M952" s="6">
        <v>1</v>
      </c>
      <c r="N952" s="6"/>
      <c r="O952" s="6">
        <v>0</v>
      </c>
      <c r="P952" s="6"/>
      <c r="Q952" s="7">
        <v>1</v>
      </c>
      <c r="R952" s="6"/>
      <c r="S952" s="1">
        <v>1</v>
      </c>
      <c r="U952" s="1">
        <v>0</v>
      </c>
      <c r="W952" s="1" t="str">
        <f t="shared" si="14"/>
        <v>No</v>
      </c>
    </row>
    <row r="953" spans="1:23" s="1" customFormat="1" ht="11.25">
      <c r="A953" s="2" t="s">
        <v>352</v>
      </c>
      <c r="B953" s="21" t="s">
        <v>353</v>
      </c>
      <c r="C953" s="26" t="s">
        <v>86</v>
      </c>
      <c r="D953" s="163">
        <v>3099</v>
      </c>
      <c r="E953" s="166">
        <v>30099</v>
      </c>
      <c r="F953" s="92" t="s">
        <v>152</v>
      </c>
      <c r="G953" s="20" t="s">
        <v>1490</v>
      </c>
      <c r="H953" s="18">
        <v>69449</v>
      </c>
      <c r="I953" s="18">
        <v>7</v>
      </c>
      <c r="J953" s="4" t="s">
        <v>12</v>
      </c>
      <c r="K953" s="26" t="s">
        <v>11</v>
      </c>
      <c r="L953" s="172">
        <v>4</v>
      </c>
      <c r="M953" s="6">
        <v>0</v>
      </c>
      <c r="N953" s="6"/>
      <c r="O953" s="6">
        <v>0</v>
      </c>
      <c r="P953" s="6"/>
      <c r="Q953" s="7">
        <v>0</v>
      </c>
      <c r="R953" s="6"/>
      <c r="S953" s="1">
        <v>0</v>
      </c>
      <c r="U953" s="1">
        <v>0</v>
      </c>
      <c r="W953" s="1" t="str">
        <f t="shared" si="14"/>
        <v>No</v>
      </c>
    </row>
    <row r="954" spans="1:23" s="1" customFormat="1" ht="11.25">
      <c r="A954" s="2" t="s">
        <v>937</v>
      </c>
      <c r="B954" s="21" t="s">
        <v>938</v>
      </c>
      <c r="C954" s="26" t="s">
        <v>37</v>
      </c>
      <c r="D954" s="163">
        <v>7030</v>
      </c>
      <c r="E954" s="166">
        <v>70030</v>
      </c>
      <c r="F954" s="92" t="s">
        <v>152</v>
      </c>
      <c r="G954" s="20" t="s">
        <v>149</v>
      </c>
      <c r="H954" s="18">
        <v>106621</v>
      </c>
      <c r="I954" s="18">
        <v>7</v>
      </c>
      <c r="J954" s="4" t="s">
        <v>12</v>
      </c>
      <c r="K954" s="26" t="s">
        <v>11</v>
      </c>
      <c r="L954" s="172">
        <v>7</v>
      </c>
      <c r="M954" s="6">
        <v>1</v>
      </c>
      <c r="N954" s="6"/>
      <c r="O954" s="6">
        <v>0</v>
      </c>
      <c r="P954" s="6"/>
      <c r="Q954" s="7">
        <v>1</v>
      </c>
      <c r="R954" s="6"/>
      <c r="S954" s="1">
        <v>2</v>
      </c>
      <c r="U954" s="1">
        <v>0</v>
      </c>
      <c r="W954" s="1" t="str">
        <f t="shared" si="14"/>
        <v>No</v>
      </c>
    </row>
    <row r="955" spans="1:23" s="1" customFormat="1" ht="11.25">
      <c r="A955" s="2" t="s">
        <v>1755</v>
      </c>
      <c r="B955" s="21" t="s">
        <v>1756</v>
      </c>
      <c r="C955" s="26" t="s">
        <v>32</v>
      </c>
      <c r="D955" s="163"/>
      <c r="E955" s="166">
        <v>40254</v>
      </c>
      <c r="F955" s="92" t="s">
        <v>152</v>
      </c>
      <c r="G955" s="20" t="s">
        <v>1490</v>
      </c>
      <c r="H955" s="18">
        <v>5502379</v>
      </c>
      <c r="I955" s="18">
        <v>7</v>
      </c>
      <c r="J955" s="4" t="s">
        <v>12</v>
      </c>
      <c r="K955" s="26" t="s">
        <v>15</v>
      </c>
      <c r="L955" s="172">
        <v>7</v>
      </c>
      <c r="M955" s="6">
        <v>1</v>
      </c>
      <c r="N955" s="6"/>
      <c r="O955" s="6">
        <v>0</v>
      </c>
      <c r="P955" s="6"/>
      <c r="Q955" s="7">
        <v>1</v>
      </c>
      <c r="R955" s="6"/>
      <c r="S955" s="1">
        <v>0</v>
      </c>
      <c r="U955" s="1">
        <v>0</v>
      </c>
      <c r="W955" s="1" t="str">
        <f t="shared" si="14"/>
        <v>No</v>
      </c>
    </row>
    <row r="956" spans="1:23" s="1" customFormat="1" ht="11.25">
      <c r="A956" s="2" t="s">
        <v>1636</v>
      </c>
      <c r="B956" s="21" t="s">
        <v>1667</v>
      </c>
      <c r="C956" s="26" t="s">
        <v>62</v>
      </c>
      <c r="D956" s="163">
        <v>2222</v>
      </c>
      <c r="E956" s="166">
        <v>20222</v>
      </c>
      <c r="F956" s="92" t="s">
        <v>148</v>
      </c>
      <c r="G956" s="20" t="s">
        <v>1490</v>
      </c>
      <c r="H956" s="18">
        <v>18351295</v>
      </c>
      <c r="I956" s="18">
        <v>7</v>
      </c>
      <c r="J956" s="4" t="s">
        <v>21</v>
      </c>
      <c r="K956" s="26" t="s">
        <v>11</v>
      </c>
      <c r="L956" s="172">
        <v>7</v>
      </c>
      <c r="M956" s="6">
        <v>0</v>
      </c>
      <c r="N956" s="6"/>
      <c r="O956" s="6">
        <v>0</v>
      </c>
      <c r="P956" s="6"/>
      <c r="Q956" s="7">
        <v>0</v>
      </c>
      <c r="R956" s="6"/>
      <c r="S956" s="1">
        <v>0</v>
      </c>
      <c r="U956" s="1">
        <v>0</v>
      </c>
      <c r="W956" s="1" t="str">
        <f t="shared" si="14"/>
        <v>No</v>
      </c>
    </row>
    <row r="957" spans="1:23" s="1" customFormat="1" ht="11.25">
      <c r="A957" s="2" t="s">
        <v>129</v>
      </c>
      <c r="B957" s="21" t="s">
        <v>464</v>
      </c>
      <c r="C957" s="26" t="s">
        <v>19</v>
      </c>
      <c r="D957" s="163">
        <v>9217</v>
      </c>
      <c r="E957" s="166">
        <v>90217</v>
      </c>
      <c r="F957" s="92" t="s">
        <v>152</v>
      </c>
      <c r="G957" s="20" t="s">
        <v>1490</v>
      </c>
      <c r="H957" s="18">
        <v>83578</v>
      </c>
      <c r="I957" s="18">
        <v>7</v>
      </c>
      <c r="J957" s="4" t="s">
        <v>12</v>
      </c>
      <c r="K957" s="26" t="s">
        <v>15</v>
      </c>
      <c r="L957" s="172">
        <v>4</v>
      </c>
      <c r="M957" s="6">
        <v>1</v>
      </c>
      <c r="N957" s="6"/>
      <c r="O957" s="6">
        <v>0</v>
      </c>
      <c r="P957" s="6"/>
      <c r="Q957" s="7">
        <v>1</v>
      </c>
      <c r="R957" s="6"/>
      <c r="S957" s="1">
        <v>0</v>
      </c>
      <c r="U957" s="1">
        <v>0</v>
      </c>
      <c r="W957" s="1" t="str">
        <f t="shared" si="14"/>
        <v>No</v>
      </c>
    </row>
    <row r="958" spans="1:23" s="1" customFormat="1" ht="11.25">
      <c r="A958" s="2" t="s">
        <v>17</v>
      </c>
      <c r="B958" s="21" t="s">
        <v>818</v>
      </c>
      <c r="C958" s="26" t="s">
        <v>16</v>
      </c>
      <c r="D958" s="163">
        <v>9239</v>
      </c>
      <c r="E958" s="166">
        <v>90239</v>
      </c>
      <c r="F958" s="92" t="s">
        <v>152</v>
      </c>
      <c r="G958" s="20" t="s">
        <v>1490</v>
      </c>
      <c r="H958" s="18">
        <v>52745</v>
      </c>
      <c r="I958" s="18">
        <v>7</v>
      </c>
      <c r="J958" s="4" t="s">
        <v>12</v>
      </c>
      <c r="K958" s="26" t="s">
        <v>11</v>
      </c>
      <c r="L958" s="172">
        <v>5</v>
      </c>
      <c r="M958" s="6">
        <v>1</v>
      </c>
      <c r="N958" s="6"/>
      <c r="O958" s="6">
        <v>0</v>
      </c>
      <c r="P958" s="6"/>
      <c r="Q958" s="7">
        <v>1</v>
      </c>
      <c r="R958" s="6"/>
      <c r="S958" s="1">
        <v>0</v>
      </c>
      <c r="U958" s="1">
        <v>0</v>
      </c>
      <c r="W958" s="1" t="str">
        <f t="shared" si="14"/>
        <v>No</v>
      </c>
    </row>
    <row r="959" spans="1:23" s="1" customFormat="1" ht="11.25">
      <c r="A959" s="2" t="s">
        <v>1870</v>
      </c>
      <c r="B959" s="21" t="s">
        <v>1871</v>
      </c>
      <c r="C959" s="26" t="s">
        <v>2</v>
      </c>
      <c r="D959" s="163"/>
      <c r="E959" s="166">
        <v>416</v>
      </c>
      <c r="F959" s="92" t="s">
        <v>98</v>
      </c>
      <c r="G959" s="20" t="s">
        <v>1490</v>
      </c>
      <c r="H959" s="18">
        <v>349684</v>
      </c>
      <c r="I959" s="18">
        <v>7</v>
      </c>
      <c r="J959" s="4" t="s">
        <v>12</v>
      </c>
      <c r="K959" s="26" t="s">
        <v>11</v>
      </c>
      <c r="L959" s="172">
        <v>7</v>
      </c>
      <c r="M959" s="6">
        <v>0</v>
      </c>
      <c r="N959" s="6"/>
      <c r="O959" s="6">
        <v>0</v>
      </c>
      <c r="P959" s="6"/>
      <c r="Q959" s="7">
        <v>0</v>
      </c>
      <c r="R959" s="6"/>
      <c r="S959" s="1">
        <v>0</v>
      </c>
      <c r="U959" s="1">
        <v>0</v>
      </c>
      <c r="W959" s="1" t="str">
        <f t="shared" si="14"/>
        <v>No</v>
      </c>
    </row>
    <row r="960" spans="1:23" s="1" customFormat="1" ht="11.25">
      <c r="A960" s="2" t="s">
        <v>1645</v>
      </c>
      <c r="B960" s="21" t="s">
        <v>1672</v>
      </c>
      <c r="C960" s="26" t="s">
        <v>32</v>
      </c>
      <c r="D960" s="163"/>
      <c r="E960" s="166">
        <v>40239</v>
      </c>
      <c r="F960" s="92" t="s">
        <v>152</v>
      </c>
      <c r="G960" s="20" t="s">
        <v>1490</v>
      </c>
      <c r="H960" s="18">
        <v>5502379</v>
      </c>
      <c r="I960" s="18">
        <v>7</v>
      </c>
      <c r="J960" s="4" t="s">
        <v>12</v>
      </c>
      <c r="K960" s="26" t="s">
        <v>11</v>
      </c>
      <c r="L960" s="172">
        <v>2</v>
      </c>
      <c r="M960" s="6">
        <v>0</v>
      </c>
      <c r="N960" s="6"/>
      <c r="O960" s="6">
        <v>0</v>
      </c>
      <c r="P960" s="6"/>
      <c r="Q960" s="7">
        <v>0</v>
      </c>
      <c r="R960" s="6"/>
      <c r="S960" s="1">
        <v>0</v>
      </c>
      <c r="U960" s="1">
        <v>0</v>
      </c>
      <c r="W960" s="1" t="str">
        <f t="shared" si="14"/>
        <v>No</v>
      </c>
    </row>
    <row r="961" spans="1:23" s="1" customFormat="1" ht="11.25">
      <c r="A961" s="2" t="s">
        <v>1760</v>
      </c>
      <c r="B961" s="21" t="s">
        <v>1761</v>
      </c>
      <c r="C961" s="26" t="s">
        <v>32</v>
      </c>
      <c r="D961" s="163"/>
      <c r="E961" s="166">
        <v>40251</v>
      </c>
      <c r="F961" s="92" t="s">
        <v>152</v>
      </c>
      <c r="G961" s="20" t="s">
        <v>1490</v>
      </c>
      <c r="H961" s="18">
        <v>5502379</v>
      </c>
      <c r="I961" s="18">
        <v>7</v>
      </c>
      <c r="J961" s="4" t="s">
        <v>12</v>
      </c>
      <c r="K961" s="26" t="s">
        <v>15</v>
      </c>
      <c r="L961" s="172">
        <v>7</v>
      </c>
      <c r="M961" s="6">
        <v>0</v>
      </c>
      <c r="N961" s="6"/>
      <c r="O961" s="6">
        <v>0</v>
      </c>
      <c r="P961" s="6"/>
      <c r="Q961" s="7">
        <v>0</v>
      </c>
      <c r="R961" s="6"/>
      <c r="S961" s="1">
        <v>0</v>
      </c>
      <c r="U961" s="1">
        <v>0</v>
      </c>
      <c r="W961" s="1" t="str">
        <f t="shared" si="14"/>
        <v>No</v>
      </c>
    </row>
    <row r="962" spans="1:23" s="1" customFormat="1" ht="11.25">
      <c r="A962" s="2" t="s">
        <v>1763</v>
      </c>
      <c r="B962" s="21" t="s">
        <v>1764</v>
      </c>
      <c r="C962" s="26" t="s">
        <v>19</v>
      </c>
      <c r="D962" s="163"/>
      <c r="E962" s="166">
        <v>90253</v>
      </c>
      <c r="F962" s="92" t="s">
        <v>152</v>
      </c>
      <c r="G962" s="20" t="s">
        <v>1490</v>
      </c>
      <c r="H962" s="18">
        <v>12150996</v>
      </c>
      <c r="I962" s="18">
        <v>6</v>
      </c>
      <c r="J962" s="4" t="s">
        <v>12</v>
      </c>
      <c r="K962" s="26" t="s">
        <v>15</v>
      </c>
      <c r="L962" s="172">
        <v>3</v>
      </c>
      <c r="M962" s="6">
        <v>0</v>
      </c>
      <c r="N962" s="6"/>
      <c r="O962" s="6">
        <v>0</v>
      </c>
      <c r="P962" s="6"/>
      <c r="Q962" s="7">
        <v>0</v>
      </c>
      <c r="R962" s="6"/>
      <c r="S962" s="1">
        <v>0</v>
      </c>
      <c r="U962" s="1">
        <v>0</v>
      </c>
      <c r="W962" s="1" t="str">
        <f t="shared" ref="W962:W1025" si="15">IF(V962&amp;T962&amp;R962&amp;P962&amp;N962&lt;&gt;"","Yes","No")</f>
        <v>No</v>
      </c>
    </row>
    <row r="963" spans="1:23" s="1" customFormat="1" ht="11.25">
      <c r="A963" s="2" t="s">
        <v>605</v>
      </c>
      <c r="B963" s="21" t="s">
        <v>606</v>
      </c>
      <c r="C963" s="26" t="s">
        <v>67</v>
      </c>
      <c r="D963" s="163" t="s">
        <v>607</v>
      </c>
      <c r="E963" s="166">
        <v>60620</v>
      </c>
      <c r="F963" s="92" t="s">
        <v>397</v>
      </c>
      <c r="G963" s="20" t="s">
        <v>1490</v>
      </c>
      <c r="H963" s="18">
        <v>0</v>
      </c>
      <c r="I963" s="18">
        <v>6</v>
      </c>
      <c r="J963" s="4" t="s">
        <v>12</v>
      </c>
      <c r="K963" s="26" t="s">
        <v>11</v>
      </c>
      <c r="L963" s="172">
        <v>1</v>
      </c>
      <c r="M963" s="6">
        <v>0</v>
      </c>
      <c r="N963" s="6"/>
      <c r="O963" s="6">
        <v>0</v>
      </c>
      <c r="P963" s="6"/>
      <c r="Q963" s="7">
        <v>0</v>
      </c>
      <c r="R963" s="6"/>
      <c r="S963" s="1">
        <v>0</v>
      </c>
      <c r="U963" s="1">
        <v>0</v>
      </c>
      <c r="W963" s="1" t="str">
        <f t="shared" si="15"/>
        <v>No</v>
      </c>
    </row>
    <row r="964" spans="1:23" s="1" customFormat="1" ht="11.25">
      <c r="A964" s="2" t="s">
        <v>1875</v>
      </c>
      <c r="B964" s="21" t="s">
        <v>758</v>
      </c>
      <c r="C964" s="26" t="s">
        <v>56</v>
      </c>
      <c r="D964" s="163" t="s">
        <v>759</v>
      </c>
      <c r="E964" s="166">
        <v>80018</v>
      </c>
      <c r="F964" s="92" t="s">
        <v>397</v>
      </c>
      <c r="G964" s="20" t="s">
        <v>1490</v>
      </c>
      <c r="H964" s="18">
        <v>0</v>
      </c>
      <c r="I964" s="18">
        <v>6</v>
      </c>
      <c r="J964" s="4" t="s">
        <v>12</v>
      </c>
      <c r="K964" s="26" t="s">
        <v>11</v>
      </c>
      <c r="L964" s="172">
        <v>2</v>
      </c>
      <c r="M964" s="6">
        <v>0</v>
      </c>
      <c r="N964" s="6"/>
      <c r="O964" s="6">
        <v>0</v>
      </c>
      <c r="P964" s="6"/>
      <c r="Q964" s="7">
        <v>0</v>
      </c>
      <c r="R964" s="6"/>
      <c r="S964" s="1">
        <v>0</v>
      </c>
      <c r="U964" s="1">
        <v>0</v>
      </c>
      <c r="W964" s="1" t="str">
        <f t="shared" si="15"/>
        <v>No</v>
      </c>
    </row>
    <row r="965" spans="1:23" s="1" customFormat="1" ht="11.25">
      <c r="A965" s="2" t="s">
        <v>1194</v>
      </c>
      <c r="B965" s="21" t="s">
        <v>202</v>
      </c>
      <c r="C965" s="26" t="s">
        <v>10</v>
      </c>
      <c r="D965" s="163">
        <v>6034</v>
      </c>
      <c r="E965" s="166">
        <v>60034</v>
      </c>
      <c r="F965" s="92" t="s">
        <v>152</v>
      </c>
      <c r="G965" s="20" t="s">
        <v>1490</v>
      </c>
      <c r="H965" s="18">
        <v>53495</v>
      </c>
      <c r="I965" s="18">
        <v>6</v>
      </c>
      <c r="J965" s="4" t="s">
        <v>12</v>
      </c>
      <c r="K965" s="26" t="s">
        <v>11</v>
      </c>
      <c r="L965" s="172">
        <v>4</v>
      </c>
      <c r="M965" s="6">
        <v>1</v>
      </c>
      <c r="N965" s="6"/>
      <c r="O965" s="6">
        <v>0</v>
      </c>
      <c r="P965" s="6"/>
      <c r="Q965" s="7">
        <v>1</v>
      </c>
      <c r="R965" s="6"/>
      <c r="S965" s="1">
        <v>0</v>
      </c>
      <c r="U965" s="1">
        <v>0</v>
      </c>
      <c r="W965" s="1" t="str">
        <f t="shared" si="15"/>
        <v>No</v>
      </c>
    </row>
    <row r="966" spans="1:23" s="1" customFormat="1" ht="11.25">
      <c r="A966" s="2" t="s">
        <v>725</v>
      </c>
      <c r="B966" s="21" t="s">
        <v>726</v>
      </c>
      <c r="C966" s="26" t="s">
        <v>44</v>
      </c>
      <c r="D966" s="163">
        <v>6127</v>
      </c>
      <c r="E966" s="166">
        <v>60127</v>
      </c>
      <c r="F966" s="92" t="s">
        <v>152</v>
      </c>
      <c r="G966" s="20" t="s">
        <v>149</v>
      </c>
      <c r="H966" s="18">
        <v>899703</v>
      </c>
      <c r="I966" s="18">
        <v>6</v>
      </c>
      <c r="J966" s="4" t="s">
        <v>22</v>
      </c>
      <c r="K966" s="26" t="s">
        <v>11</v>
      </c>
      <c r="L966" s="172">
        <v>2</v>
      </c>
      <c r="M966" s="6">
        <v>4</v>
      </c>
      <c r="N966" s="6"/>
      <c r="O966" s="6">
        <v>0</v>
      </c>
      <c r="P966" s="6"/>
      <c r="Q966" s="7">
        <v>4</v>
      </c>
      <c r="R966" s="6"/>
      <c r="S966" s="1">
        <v>0</v>
      </c>
      <c r="U966" s="1">
        <v>0</v>
      </c>
      <c r="W966" s="1" t="str">
        <f t="shared" si="15"/>
        <v>No</v>
      </c>
    </row>
    <row r="967" spans="1:23" s="1" customFormat="1" ht="11.25">
      <c r="A967" s="2" t="s">
        <v>419</v>
      </c>
      <c r="B967" s="21" t="s">
        <v>420</v>
      </c>
      <c r="C967" s="26" t="s">
        <v>67</v>
      </c>
      <c r="D967" s="163" t="s">
        <v>421</v>
      </c>
      <c r="E967" s="166">
        <v>66152</v>
      </c>
      <c r="F967" s="92" t="s">
        <v>397</v>
      </c>
      <c r="G967" s="20" t="s">
        <v>1490</v>
      </c>
      <c r="H967" s="18">
        <v>0</v>
      </c>
      <c r="I967" s="18">
        <v>6</v>
      </c>
      <c r="J967" s="4" t="s">
        <v>12</v>
      </c>
      <c r="K967" s="26" t="s">
        <v>11</v>
      </c>
      <c r="L967" s="172">
        <v>6</v>
      </c>
      <c r="M967" s="6">
        <v>0</v>
      </c>
      <c r="N967" s="6"/>
      <c r="O967" s="6">
        <v>0</v>
      </c>
      <c r="P967" s="6"/>
      <c r="Q967" s="7">
        <v>0</v>
      </c>
      <c r="R967" s="6"/>
      <c r="S967" s="1">
        <v>0</v>
      </c>
      <c r="U967" s="1">
        <v>0</v>
      </c>
      <c r="W967" s="1" t="str">
        <f t="shared" si="15"/>
        <v>No</v>
      </c>
    </row>
    <row r="968" spans="1:23" s="1" customFormat="1" ht="11.25">
      <c r="A968" s="2" t="s">
        <v>639</v>
      </c>
      <c r="B968" s="21" t="s">
        <v>640</v>
      </c>
      <c r="C968" s="26" t="s">
        <v>75</v>
      </c>
      <c r="D968" s="163">
        <v>3077</v>
      </c>
      <c r="E968" s="166">
        <v>30077</v>
      </c>
      <c r="F968" s="92" t="s">
        <v>152</v>
      </c>
      <c r="G968" s="20" t="s">
        <v>149</v>
      </c>
      <c r="H968" s="18">
        <v>107682</v>
      </c>
      <c r="I968" s="18">
        <v>6</v>
      </c>
      <c r="J968" s="4" t="s">
        <v>12</v>
      </c>
      <c r="K968" s="26" t="s">
        <v>15</v>
      </c>
      <c r="L968" s="172">
        <v>5</v>
      </c>
      <c r="M968" s="6">
        <v>1</v>
      </c>
      <c r="N968" s="6"/>
      <c r="O968" s="6">
        <v>0</v>
      </c>
      <c r="P968" s="6"/>
      <c r="Q968" s="7">
        <v>1</v>
      </c>
      <c r="R968" s="6"/>
      <c r="S968" s="1">
        <v>0</v>
      </c>
      <c r="U968" s="1">
        <v>0</v>
      </c>
      <c r="W968" s="1" t="str">
        <f t="shared" si="15"/>
        <v>No</v>
      </c>
    </row>
    <row r="969" spans="1:23" s="1" customFormat="1" ht="11.25">
      <c r="A969" s="2" t="s">
        <v>384</v>
      </c>
      <c r="B969" s="21" t="s">
        <v>385</v>
      </c>
      <c r="C969" s="26" t="s">
        <v>77</v>
      </c>
      <c r="D969" s="163">
        <v>4122</v>
      </c>
      <c r="E969" s="166">
        <v>40122</v>
      </c>
      <c r="F969" s="92" t="s">
        <v>152</v>
      </c>
      <c r="G969" s="20" t="s">
        <v>1490</v>
      </c>
      <c r="H969" s="18">
        <v>2148346</v>
      </c>
      <c r="I969" s="18">
        <v>6</v>
      </c>
      <c r="J969" s="4" t="s">
        <v>12</v>
      </c>
      <c r="K969" s="26" t="s">
        <v>11</v>
      </c>
      <c r="L969" s="172">
        <v>4</v>
      </c>
      <c r="M969" s="6">
        <v>2</v>
      </c>
      <c r="N969" s="6"/>
      <c r="O969" s="6">
        <v>0</v>
      </c>
      <c r="P969" s="6"/>
      <c r="Q969" s="7">
        <v>2</v>
      </c>
      <c r="R969" s="6"/>
      <c r="S969" s="1">
        <v>0</v>
      </c>
      <c r="U969" s="1">
        <v>0</v>
      </c>
      <c r="W969" s="1" t="str">
        <f t="shared" si="15"/>
        <v>No</v>
      </c>
    </row>
    <row r="970" spans="1:23" s="1" customFormat="1" ht="11.25">
      <c r="A970" s="2" t="s">
        <v>1767</v>
      </c>
      <c r="B970" s="21" t="s">
        <v>1768</v>
      </c>
      <c r="C970" s="26" t="s">
        <v>19</v>
      </c>
      <c r="D970" s="163"/>
      <c r="E970" s="166">
        <v>90262</v>
      </c>
      <c r="F970" s="92" t="s">
        <v>152</v>
      </c>
      <c r="G970" s="20" t="s">
        <v>1490</v>
      </c>
      <c r="H970" s="18">
        <v>12150996</v>
      </c>
      <c r="I970" s="18">
        <v>6</v>
      </c>
      <c r="J970" s="4" t="s">
        <v>12</v>
      </c>
      <c r="K970" s="26" t="s">
        <v>15</v>
      </c>
      <c r="L970" s="172">
        <v>1</v>
      </c>
      <c r="M970" s="6">
        <v>0</v>
      </c>
      <c r="N970" s="6"/>
      <c r="O970" s="6">
        <v>0</v>
      </c>
      <c r="P970" s="6"/>
      <c r="Q970" s="7">
        <v>0</v>
      </c>
      <c r="R970" s="6"/>
      <c r="S970" s="1">
        <v>0</v>
      </c>
      <c r="U970" s="1">
        <v>0</v>
      </c>
      <c r="W970" s="1" t="str">
        <f t="shared" si="15"/>
        <v>No</v>
      </c>
    </row>
    <row r="971" spans="1:23" s="1" customFormat="1" ht="11.25">
      <c r="A971" s="2" t="s">
        <v>619</v>
      </c>
      <c r="B971" s="21" t="s">
        <v>620</v>
      </c>
      <c r="C971" s="26" t="s">
        <v>77</v>
      </c>
      <c r="D971" s="163">
        <v>4199</v>
      </c>
      <c r="E971" s="166">
        <v>40199</v>
      </c>
      <c r="F971" s="92" t="s">
        <v>152</v>
      </c>
      <c r="G971" s="20" t="s">
        <v>1490</v>
      </c>
      <c r="H971" s="18">
        <v>2148346</v>
      </c>
      <c r="I971" s="18">
        <v>6</v>
      </c>
      <c r="J971" s="4" t="s">
        <v>12</v>
      </c>
      <c r="K971" s="26" t="s">
        <v>11</v>
      </c>
      <c r="L971" s="172">
        <v>5</v>
      </c>
      <c r="M971" s="6">
        <v>1</v>
      </c>
      <c r="N971" s="6"/>
      <c r="O971" s="6">
        <v>0</v>
      </c>
      <c r="P971" s="6"/>
      <c r="Q971" s="7">
        <v>1</v>
      </c>
      <c r="R971" s="6"/>
      <c r="S971" s="1">
        <v>0</v>
      </c>
      <c r="U971" s="1">
        <v>0</v>
      </c>
      <c r="W971" s="1" t="str">
        <f t="shared" si="15"/>
        <v>No</v>
      </c>
    </row>
    <row r="972" spans="1:23" s="1" customFormat="1" ht="11.25">
      <c r="A972" s="2" t="s">
        <v>477</v>
      </c>
      <c r="B972" s="21" t="s">
        <v>478</v>
      </c>
      <c r="C972" s="26" t="s">
        <v>74</v>
      </c>
      <c r="D972" s="163" t="s">
        <v>479</v>
      </c>
      <c r="E972" s="166">
        <v>10</v>
      </c>
      <c r="F972" s="92" t="s">
        <v>397</v>
      </c>
      <c r="G972" s="20" t="s">
        <v>1490</v>
      </c>
      <c r="H972" s="18">
        <v>0</v>
      </c>
      <c r="I972" s="18">
        <v>6</v>
      </c>
      <c r="J972" s="4" t="s">
        <v>21</v>
      </c>
      <c r="K972" s="26" t="s">
        <v>11</v>
      </c>
      <c r="L972" s="172">
        <v>2</v>
      </c>
      <c r="M972" s="6">
        <v>0</v>
      </c>
      <c r="N972" s="6"/>
      <c r="O972" s="6">
        <v>0</v>
      </c>
      <c r="P972" s="6"/>
      <c r="Q972" s="7">
        <v>0</v>
      </c>
      <c r="R972" s="6"/>
      <c r="S972" s="1">
        <v>0</v>
      </c>
      <c r="U972" s="1">
        <v>0</v>
      </c>
      <c r="W972" s="1" t="str">
        <f t="shared" si="15"/>
        <v>No</v>
      </c>
    </row>
    <row r="973" spans="1:23" s="1" customFormat="1" ht="11.25">
      <c r="A973" s="2" t="s">
        <v>1752</v>
      </c>
      <c r="B973" s="21" t="s">
        <v>1753</v>
      </c>
      <c r="C973" s="26" t="s">
        <v>19</v>
      </c>
      <c r="D973" s="163"/>
      <c r="E973" s="166">
        <v>90251</v>
      </c>
      <c r="F973" s="92" t="s">
        <v>152</v>
      </c>
      <c r="G973" s="20" t="s">
        <v>1490</v>
      </c>
      <c r="H973" s="18">
        <v>12150996</v>
      </c>
      <c r="I973" s="18">
        <v>6</v>
      </c>
      <c r="J973" s="4" t="s">
        <v>12</v>
      </c>
      <c r="K973" s="26" t="s">
        <v>15</v>
      </c>
      <c r="L973" s="172">
        <v>4</v>
      </c>
      <c r="M973" s="6">
        <v>1</v>
      </c>
      <c r="N973" s="6"/>
      <c r="O973" s="6">
        <v>0</v>
      </c>
      <c r="P973" s="6"/>
      <c r="Q973" s="7">
        <v>1</v>
      </c>
      <c r="R973" s="6"/>
      <c r="S973" s="1">
        <v>3</v>
      </c>
      <c r="U973" s="1">
        <v>0</v>
      </c>
      <c r="W973" s="1" t="str">
        <f t="shared" si="15"/>
        <v>No</v>
      </c>
    </row>
    <row r="974" spans="1:23" s="1" customFormat="1" ht="11.25">
      <c r="A974" s="2" t="s">
        <v>1434</v>
      </c>
      <c r="B974" s="21" t="s">
        <v>147</v>
      </c>
      <c r="C974" s="26" t="s">
        <v>69</v>
      </c>
      <c r="D974" s="163">
        <v>2175</v>
      </c>
      <c r="E974" s="166">
        <v>20175</v>
      </c>
      <c r="F974" s="92" t="s">
        <v>148</v>
      </c>
      <c r="G974" s="20" t="s">
        <v>149</v>
      </c>
      <c r="H974" s="18">
        <v>18351295</v>
      </c>
      <c r="I974" s="18">
        <v>6</v>
      </c>
      <c r="J974" s="4" t="s">
        <v>12</v>
      </c>
      <c r="K974" s="26" t="s">
        <v>15</v>
      </c>
      <c r="L974" s="172">
        <v>6</v>
      </c>
      <c r="M974" s="6">
        <v>0</v>
      </c>
      <c r="N974" s="6"/>
      <c r="O974" s="6">
        <v>0</v>
      </c>
      <c r="P974" s="6"/>
      <c r="Q974" s="7">
        <v>0</v>
      </c>
      <c r="R974" s="6"/>
      <c r="S974" s="1">
        <v>0</v>
      </c>
      <c r="U974" s="1">
        <v>0</v>
      </c>
      <c r="W974" s="1" t="str">
        <f t="shared" si="15"/>
        <v>No</v>
      </c>
    </row>
    <row r="975" spans="1:23" s="1" customFormat="1" ht="11.25">
      <c r="A975" s="2" t="s">
        <v>1766</v>
      </c>
      <c r="B975" s="21" t="s">
        <v>1327</v>
      </c>
      <c r="C975" s="26" t="s">
        <v>69</v>
      </c>
      <c r="D975" s="163">
        <v>2179</v>
      </c>
      <c r="E975" s="166">
        <v>20179</v>
      </c>
      <c r="F975" s="92" t="s">
        <v>323</v>
      </c>
      <c r="G975" s="20" t="s">
        <v>1490</v>
      </c>
      <c r="H975" s="18">
        <v>423566</v>
      </c>
      <c r="I975" s="18">
        <v>6</v>
      </c>
      <c r="J975" s="4" t="s">
        <v>21</v>
      </c>
      <c r="K975" s="26" t="s">
        <v>11</v>
      </c>
      <c r="L975" s="172">
        <v>6</v>
      </c>
      <c r="M975" s="6">
        <v>0</v>
      </c>
      <c r="N975" s="6"/>
      <c r="O975" s="6">
        <v>0</v>
      </c>
      <c r="P975" s="6"/>
      <c r="Q975" s="7">
        <v>0</v>
      </c>
      <c r="R975" s="6"/>
      <c r="S975" s="1">
        <v>0</v>
      </c>
      <c r="U975" s="1">
        <v>0</v>
      </c>
      <c r="W975" s="1" t="str">
        <f t="shared" si="15"/>
        <v>No</v>
      </c>
    </row>
    <row r="976" spans="1:23" s="1" customFormat="1" ht="11.25">
      <c r="A976" s="2" t="s">
        <v>688</v>
      </c>
      <c r="B976" s="21" t="s">
        <v>689</v>
      </c>
      <c r="C976" s="26" t="s">
        <v>56</v>
      </c>
      <c r="D976" s="163" t="s">
        <v>690</v>
      </c>
      <c r="E976" s="166">
        <v>88188</v>
      </c>
      <c r="F976" s="92" t="s">
        <v>397</v>
      </c>
      <c r="G976" s="20" t="s">
        <v>1490</v>
      </c>
      <c r="H976" s="18">
        <v>0</v>
      </c>
      <c r="I976" s="18">
        <v>6</v>
      </c>
      <c r="J976" s="4" t="s">
        <v>12</v>
      </c>
      <c r="K976" s="26" t="s">
        <v>11</v>
      </c>
      <c r="L976" s="172">
        <v>4</v>
      </c>
      <c r="M976" s="6">
        <v>0</v>
      </c>
      <c r="N976" s="6"/>
      <c r="O976" s="6">
        <v>0</v>
      </c>
      <c r="P976" s="6"/>
      <c r="Q976" s="7">
        <v>0</v>
      </c>
      <c r="R976" s="6"/>
      <c r="S976" s="1">
        <v>0</v>
      </c>
      <c r="U976" s="1">
        <v>0</v>
      </c>
      <c r="W976" s="1" t="str">
        <f t="shared" si="15"/>
        <v>No</v>
      </c>
    </row>
    <row r="977" spans="1:23" s="1" customFormat="1" ht="11.25">
      <c r="A977" s="2" t="s">
        <v>368</v>
      </c>
      <c r="B977" s="21" t="s">
        <v>297</v>
      </c>
      <c r="C977" s="26" t="s">
        <v>10</v>
      </c>
      <c r="D977" s="163">
        <v>6105</v>
      </c>
      <c r="E977" s="166">
        <v>60105</v>
      </c>
      <c r="F977" s="92" t="s">
        <v>152</v>
      </c>
      <c r="G977" s="20" t="s">
        <v>1490</v>
      </c>
      <c r="H977" s="18">
        <v>55121</v>
      </c>
      <c r="I977" s="18">
        <v>6</v>
      </c>
      <c r="J977" s="4" t="s">
        <v>12</v>
      </c>
      <c r="K977" s="26" t="s">
        <v>11</v>
      </c>
      <c r="L977" s="172">
        <v>3</v>
      </c>
      <c r="M977" s="6">
        <v>1</v>
      </c>
      <c r="N977" s="6"/>
      <c r="O977" s="6">
        <v>0</v>
      </c>
      <c r="P977" s="6"/>
      <c r="Q977" s="7">
        <v>1</v>
      </c>
      <c r="R977" s="6"/>
      <c r="S977" s="1">
        <v>0</v>
      </c>
      <c r="U977" s="1">
        <v>0</v>
      </c>
      <c r="W977" s="1" t="str">
        <f t="shared" si="15"/>
        <v>No</v>
      </c>
    </row>
    <row r="978" spans="1:23" s="1" customFormat="1" ht="11.25">
      <c r="A978" s="2" t="s">
        <v>1364</v>
      </c>
      <c r="B978" s="21" t="s">
        <v>1365</v>
      </c>
      <c r="C978" s="26" t="s">
        <v>95</v>
      </c>
      <c r="D978" s="163">
        <v>3066</v>
      </c>
      <c r="E978" s="166">
        <v>30066</v>
      </c>
      <c r="F978" s="92" t="s">
        <v>348</v>
      </c>
      <c r="G978" s="20" t="s">
        <v>1490</v>
      </c>
      <c r="H978" s="18">
        <v>70889</v>
      </c>
      <c r="I978" s="18">
        <v>6</v>
      </c>
      <c r="J978" s="4" t="s">
        <v>12</v>
      </c>
      <c r="K978" s="26" t="s">
        <v>11</v>
      </c>
      <c r="L978" s="172">
        <v>6</v>
      </c>
      <c r="M978" s="6">
        <v>1</v>
      </c>
      <c r="N978" s="6"/>
      <c r="O978" s="6">
        <v>0</v>
      </c>
      <c r="P978" s="6"/>
      <c r="Q978" s="7">
        <v>1</v>
      </c>
      <c r="R978" s="6"/>
      <c r="S978" s="1">
        <v>1</v>
      </c>
      <c r="U978" s="1">
        <v>0</v>
      </c>
      <c r="W978" s="1" t="str">
        <f t="shared" si="15"/>
        <v>No</v>
      </c>
    </row>
    <row r="979" spans="1:23" s="1" customFormat="1" ht="11.25">
      <c r="A979" s="2" t="s">
        <v>1003</v>
      </c>
      <c r="B979" s="21" t="s">
        <v>1004</v>
      </c>
      <c r="C979" s="26" t="s">
        <v>69</v>
      </c>
      <c r="D979" s="163">
        <v>2120</v>
      </c>
      <c r="E979" s="166">
        <v>20120</v>
      </c>
      <c r="F979" s="92" t="s">
        <v>152</v>
      </c>
      <c r="G979" s="20" t="s">
        <v>1490</v>
      </c>
      <c r="H979" s="18">
        <v>65443</v>
      </c>
      <c r="I979" s="18">
        <v>6</v>
      </c>
      <c r="J979" s="4" t="s">
        <v>12</v>
      </c>
      <c r="K979" s="26" t="s">
        <v>11</v>
      </c>
      <c r="L979" s="172">
        <v>5</v>
      </c>
      <c r="M979" s="6">
        <v>0</v>
      </c>
      <c r="N979" s="6"/>
      <c r="O979" s="6">
        <v>0</v>
      </c>
      <c r="P979" s="6"/>
      <c r="Q979" s="7">
        <v>0</v>
      </c>
      <c r="R979" s="6"/>
      <c r="S979" s="1">
        <v>0</v>
      </c>
      <c r="U979" s="1">
        <v>0</v>
      </c>
      <c r="W979" s="1" t="str">
        <f t="shared" si="15"/>
        <v>No</v>
      </c>
    </row>
    <row r="980" spans="1:23" s="1" customFormat="1" ht="11.25">
      <c r="A980" s="2" t="s">
        <v>1876</v>
      </c>
      <c r="B980" s="21" t="s">
        <v>603</v>
      </c>
      <c r="C980" s="26" t="s">
        <v>73</v>
      </c>
      <c r="D980" s="163" t="s">
        <v>604</v>
      </c>
      <c r="E980" s="166">
        <v>66194</v>
      </c>
      <c r="F980" s="92" t="s">
        <v>397</v>
      </c>
      <c r="G980" s="20" t="s">
        <v>1490</v>
      </c>
      <c r="H980" s="18">
        <v>0</v>
      </c>
      <c r="I980" s="18">
        <v>6</v>
      </c>
      <c r="J980" s="4" t="s">
        <v>12</v>
      </c>
      <c r="K980" s="26" t="s">
        <v>11</v>
      </c>
      <c r="L980" s="172">
        <v>4</v>
      </c>
      <c r="M980" s="6">
        <v>0</v>
      </c>
      <c r="N980" s="6"/>
      <c r="O980" s="6">
        <v>0</v>
      </c>
      <c r="P980" s="6"/>
      <c r="Q980" s="7">
        <v>0</v>
      </c>
      <c r="R980" s="6"/>
      <c r="S980" s="1">
        <v>0</v>
      </c>
      <c r="U980" s="1">
        <v>0</v>
      </c>
      <c r="W980" s="1" t="str">
        <f t="shared" si="15"/>
        <v>No</v>
      </c>
    </row>
    <row r="981" spans="1:23" s="1" customFormat="1" ht="11.25">
      <c r="A981" s="2" t="s">
        <v>874</v>
      </c>
      <c r="B981" s="21" t="s">
        <v>875</v>
      </c>
      <c r="C981" s="26" t="s">
        <v>69</v>
      </c>
      <c r="D981" s="163">
        <v>2009</v>
      </c>
      <c r="E981" s="166">
        <v>20009</v>
      </c>
      <c r="F981" s="92" t="s">
        <v>152</v>
      </c>
      <c r="G981" s="20" t="s">
        <v>1490</v>
      </c>
      <c r="H981" s="18">
        <v>423566</v>
      </c>
      <c r="I981" s="18">
        <v>6</v>
      </c>
      <c r="J981" s="4" t="s">
        <v>12</v>
      </c>
      <c r="K981" s="26" t="s">
        <v>11</v>
      </c>
      <c r="L981" s="172">
        <v>6</v>
      </c>
      <c r="M981" s="6">
        <v>0</v>
      </c>
      <c r="N981" s="6"/>
      <c r="O981" s="6">
        <v>0</v>
      </c>
      <c r="P981" s="6"/>
      <c r="Q981" s="7">
        <v>0</v>
      </c>
      <c r="R981" s="6"/>
      <c r="S981" s="1">
        <v>0</v>
      </c>
      <c r="U981" s="1">
        <v>0</v>
      </c>
      <c r="W981" s="1" t="str">
        <f t="shared" si="15"/>
        <v>No</v>
      </c>
    </row>
    <row r="982" spans="1:23" s="1" customFormat="1" ht="11.25">
      <c r="A982" s="2" t="s">
        <v>1877</v>
      </c>
      <c r="B982" s="21" t="s">
        <v>777</v>
      </c>
      <c r="C982" s="26" t="s">
        <v>51</v>
      </c>
      <c r="D982" s="163">
        <v>5213</v>
      </c>
      <c r="E982" s="166">
        <v>50213</v>
      </c>
      <c r="F982" s="92" t="s">
        <v>197</v>
      </c>
      <c r="G982" s="20" t="s">
        <v>149</v>
      </c>
      <c r="H982" s="18">
        <v>3734090</v>
      </c>
      <c r="I982" s="18">
        <v>5</v>
      </c>
      <c r="J982" s="4" t="s">
        <v>33</v>
      </c>
      <c r="K982" s="26" t="s">
        <v>15</v>
      </c>
      <c r="L982" s="172">
        <v>5</v>
      </c>
      <c r="M982" s="6">
        <v>0</v>
      </c>
      <c r="N982" s="6"/>
      <c r="O982" s="6">
        <v>0</v>
      </c>
      <c r="P982" s="6"/>
      <c r="Q982" s="7">
        <v>0</v>
      </c>
      <c r="R982" s="6"/>
      <c r="S982" s="1">
        <v>0</v>
      </c>
      <c r="U982" s="1">
        <v>0</v>
      </c>
      <c r="W982" s="1" t="str">
        <f t="shared" si="15"/>
        <v>No</v>
      </c>
    </row>
    <row r="983" spans="1:23" s="1" customFormat="1" ht="11.25">
      <c r="A983" s="2" t="s">
        <v>600</v>
      </c>
      <c r="B983" s="21" t="s">
        <v>601</v>
      </c>
      <c r="C983" s="26" t="s">
        <v>52</v>
      </c>
      <c r="D983" s="163" t="s">
        <v>602</v>
      </c>
      <c r="E983" s="166">
        <v>55246</v>
      </c>
      <c r="F983" s="92" t="s">
        <v>397</v>
      </c>
      <c r="G983" s="20" t="s">
        <v>1490</v>
      </c>
      <c r="H983" s="18">
        <v>0</v>
      </c>
      <c r="I983" s="18">
        <v>5</v>
      </c>
      <c r="J983" s="4" t="s">
        <v>12</v>
      </c>
      <c r="K983" s="26" t="s">
        <v>11</v>
      </c>
      <c r="L983" s="172">
        <v>1</v>
      </c>
      <c r="M983" s="6">
        <v>0</v>
      </c>
      <c r="N983" s="6"/>
      <c r="O983" s="6">
        <v>0</v>
      </c>
      <c r="P983" s="6"/>
      <c r="Q983" s="7">
        <v>0</v>
      </c>
      <c r="R983" s="6"/>
      <c r="S983" s="1">
        <v>0</v>
      </c>
      <c r="U983" s="1">
        <v>0</v>
      </c>
      <c r="W983" s="1" t="str">
        <f t="shared" si="15"/>
        <v>No</v>
      </c>
    </row>
    <row r="984" spans="1:23" s="1" customFormat="1" ht="11.25">
      <c r="A984" s="2" t="s">
        <v>567</v>
      </c>
      <c r="B984" s="21" t="s">
        <v>255</v>
      </c>
      <c r="C984" s="26" t="s">
        <v>81</v>
      </c>
      <c r="D984" s="163">
        <v>4081</v>
      </c>
      <c r="E984" s="166">
        <v>40081</v>
      </c>
      <c r="F984" s="92" t="s">
        <v>152</v>
      </c>
      <c r="G984" s="20" t="s">
        <v>1490</v>
      </c>
      <c r="H984" s="18">
        <v>75702</v>
      </c>
      <c r="I984" s="18">
        <v>5</v>
      </c>
      <c r="J984" s="4" t="s">
        <v>12</v>
      </c>
      <c r="K984" s="26" t="s">
        <v>11</v>
      </c>
      <c r="L984" s="172">
        <v>5</v>
      </c>
      <c r="M984" s="6">
        <v>0</v>
      </c>
      <c r="N984" s="6"/>
      <c r="O984" s="6">
        <v>0</v>
      </c>
      <c r="P984" s="6"/>
      <c r="Q984" s="7">
        <v>0</v>
      </c>
      <c r="R984" s="6"/>
      <c r="S984" s="1">
        <v>0</v>
      </c>
      <c r="U984" s="1">
        <v>0</v>
      </c>
      <c r="W984" s="1" t="str">
        <f t="shared" si="15"/>
        <v>No</v>
      </c>
    </row>
    <row r="985" spans="1:23" s="1" customFormat="1" ht="11.25">
      <c r="A985" s="2" t="s">
        <v>436</v>
      </c>
      <c r="B985" s="21" t="s">
        <v>437</v>
      </c>
      <c r="C985" s="26" t="s">
        <v>88</v>
      </c>
      <c r="D985" s="163" t="s">
        <v>438</v>
      </c>
      <c r="E985" s="166">
        <v>111</v>
      </c>
      <c r="F985" s="92" t="s">
        <v>397</v>
      </c>
      <c r="G985" s="20" t="s">
        <v>1490</v>
      </c>
      <c r="H985" s="18">
        <v>0</v>
      </c>
      <c r="I985" s="18">
        <v>5</v>
      </c>
      <c r="J985" s="4" t="s">
        <v>12</v>
      </c>
      <c r="K985" s="26" t="s">
        <v>11</v>
      </c>
      <c r="L985" s="172">
        <v>3</v>
      </c>
      <c r="M985" s="6">
        <v>0</v>
      </c>
      <c r="N985" s="6"/>
      <c r="O985" s="6">
        <v>0</v>
      </c>
      <c r="P985" s="6"/>
      <c r="Q985" s="7">
        <v>0</v>
      </c>
      <c r="R985" s="6"/>
      <c r="S985" s="1">
        <v>0</v>
      </c>
      <c r="U985" s="1">
        <v>0</v>
      </c>
      <c r="W985" s="1" t="str">
        <f t="shared" si="15"/>
        <v>No</v>
      </c>
    </row>
    <row r="986" spans="1:23" s="1" customFormat="1" ht="11.25">
      <c r="A986" s="2" t="s">
        <v>1769</v>
      </c>
      <c r="B986" s="21" t="s">
        <v>1770</v>
      </c>
      <c r="C986" s="26" t="s">
        <v>32</v>
      </c>
      <c r="D986" s="163"/>
      <c r="E986" s="166">
        <v>40262</v>
      </c>
      <c r="F986" s="92" t="s">
        <v>152</v>
      </c>
      <c r="G986" s="20" t="s">
        <v>1490</v>
      </c>
      <c r="H986" s="18">
        <v>5502379</v>
      </c>
      <c r="I986" s="18">
        <v>5</v>
      </c>
      <c r="J986" s="4" t="s">
        <v>12</v>
      </c>
      <c r="K986" s="26" t="s">
        <v>15</v>
      </c>
      <c r="L986" s="172">
        <v>5</v>
      </c>
      <c r="M986" s="6">
        <v>1</v>
      </c>
      <c r="N986" s="6"/>
      <c r="O986" s="6">
        <v>0</v>
      </c>
      <c r="P986" s="6"/>
      <c r="Q986" s="7">
        <v>1</v>
      </c>
      <c r="R986" s="6"/>
      <c r="S986" s="1">
        <v>0</v>
      </c>
      <c r="U986" s="1">
        <v>0</v>
      </c>
      <c r="W986" s="1" t="str">
        <f t="shared" si="15"/>
        <v>No</v>
      </c>
    </row>
    <row r="987" spans="1:23" s="1" customFormat="1" ht="11.25">
      <c r="A987" s="2" t="s">
        <v>172</v>
      </c>
      <c r="B987" s="21" t="s">
        <v>173</v>
      </c>
      <c r="C987" s="26" t="s">
        <v>28</v>
      </c>
      <c r="D987" s="163">
        <v>8025</v>
      </c>
      <c r="E987" s="166">
        <v>80025</v>
      </c>
      <c r="F987" s="92" t="s">
        <v>152</v>
      </c>
      <c r="G987" s="20" t="s">
        <v>149</v>
      </c>
      <c r="H987" s="18">
        <v>264465</v>
      </c>
      <c r="I987" s="18">
        <v>5</v>
      </c>
      <c r="J987" s="4" t="s">
        <v>12</v>
      </c>
      <c r="K987" s="26" t="s">
        <v>11</v>
      </c>
      <c r="L987" s="172">
        <v>3</v>
      </c>
      <c r="M987" s="6">
        <v>0</v>
      </c>
      <c r="N987" s="6"/>
      <c r="O987" s="6">
        <v>0</v>
      </c>
      <c r="P987" s="6"/>
      <c r="Q987" s="7">
        <v>0</v>
      </c>
      <c r="R987" s="6"/>
      <c r="S987" s="1">
        <v>0</v>
      </c>
      <c r="U987" s="1">
        <v>0</v>
      </c>
      <c r="W987" s="1" t="str">
        <f t="shared" si="15"/>
        <v>No</v>
      </c>
    </row>
    <row r="988" spans="1:23" s="1" customFormat="1" ht="11.25">
      <c r="A988" s="2" t="s">
        <v>538</v>
      </c>
      <c r="B988" s="21" t="s">
        <v>539</v>
      </c>
      <c r="C988" s="26" t="s">
        <v>69</v>
      </c>
      <c r="D988" s="163">
        <v>2191</v>
      </c>
      <c r="E988" s="166">
        <v>20191</v>
      </c>
      <c r="F988" s="92" t="s">
        <v>152</v>
      </c>
      <c r="G988" s="20" t="s">
        <v>1490</v>
      </c>
      <c r="H988" s="18">
        <v>57442</v>
      </c>
      <c r="I988" s="18">
        <v>5</v>
      </c>
      <c r="J988" s="4" t="s">
        <v>12</v>
      </c>
      <c r="K988" s="26" t="s">
        <v>11</v>
      </c>
      <c r="L988" s="172">
        <v>3</v>
      </c>
      <c r="M988" s="6">
        <v>0</v>
      </c>
      <c r="N988" s="6"/>
      <c r="O988" s="6">
        <v>0</v>
      </c>
      <c r="P988" s="6"/>
      <c r="Q988" s="7">
        <v>0</v>
      </c>
      <c r="R988" s="6"/>
      <c r="S988" s="1">
        <v>0</v>
      </c>
      <c r="U988" s="1">
        <v>0</v>
      </c>
      <c r="W988" s="1" t="str">
        <f t="shared" si="15"/>
        <v>No</v>
      </c>
    </row>
    <row r="989" spans="1:23" s="1" customFormat="1" ht="11.25">
      <c r="A989" s="2" t="s">
        <v>1292</v>
      </c>
      <c r="B989" s="21" t="s">
        <v>1293</v>
      </c>
      <c r="C989" s="26" t="s">
        <v>44</v>
      </c>
      <c r="D989" s="163">
        <v>6058</v>
      </c>
      <c r="E989" s="166">
        <v>60058</v>
      </c>
      <c r="F989" s="92" t="s">
        <v>152</v>
      </c>
      <c r="G989" s="20" t="s">
        <v>1490</v>
      </c>
      <c r="H989" s="18">
        <v>899703</v>
      </c>
      <c r="I989" s="18">
        <v>5</v>
      </c>
      <c r="J989" s="4" t="s">
        <v>12</v>
      </c>
      <c r="K989" s="26" t="s">
        <v>11</v>
      </c>
      <c r="L989" s="172">
        <v>5</v>
      </c>
      <c r="M989" s="6">
        <v>0</v>
      </c>
      <c r="N989" s="6"/>
      <c r="O989" s="6">
        <v>0</v>
      </c>
      <c r="P989" s="6"/>
      <c r="Q989" s="7">
        <v>0</v>
      </c>
      <c r="R989" s="6"/>
      <c r="S989" s="1">
        <v>0</v>
      </c>
      <c r="U989" s="1">
        <v>0</v>
      </c>
      <c r="W989" s="1" t="str">
        <f t="shared" si="15"/>
        <v>No</v>
      </c>
    </row>
    <row r="990" spans="1:23" s="1" customFormat="1" ht="11.25">
      <c r="A990" s="2" t="s">
        <v>1391</v>
      </c>
      <c r="B990" s="21" t="s">
        <v>1392</v>
      </c>
      <c r="C990" s="26" t="s">
        <v>77</v>
      </c>
      <c r="D990" s="163">
        <v>4121</v>
      </c>
      <c r="E990" s="166">
        <v>40121</v>
      </c>
      <c r="F990" s="92" t="s">
        <v>152</v>
      </c>
      <c r="G990" s="20" t="s">
        <v>1490</v>
      </c>
      <c r="H990" s="18">
        <v>109572</v>
      </c>
      <c r="I990" s="18">
        <v>5</v>
      </c>
      <c r="J990" s="4" t="s">
        <v>12</v>
      </c>
      <c r="K990" s="26" t="s">
        <v>11</v>
      </c>
      <c r="L990" s="172">
        <v>3</v>
      </c>
      <c r="M990" s="6">
        <v>0</v>
      </c>
      <c r="N990" s="6"/>
      <c r="O990" s="6">
        <v>0</v>
      </c>
      <c r="P990" s="6"/>
      <c r="Q990" s="7">
        <v>0</v>
      </c>
      <c r="R990" s="6"/>
      <c r="S990" s="1">
        <v>0</v>
      </c>
      <c r="U990" s="1">
        <v>0</v>
      </c>
      <c r="W990" s="1" t="str">
        <f t="shared" si="15"/>
        <v>No</v>
      </c>
    </row>
    <row r="991" spans="1:23" s="1" customFormat="1" ht="11.25">
      <c r="A991" s="2" t="s">
        <v>136</v>
      </c>
      <c r="B991" s="21" t="s">
        <v>803</v>
      </c>
      <c r="C991" s="26" t="s">
        <v>54</v>
      </c>
      <c r="D991" s="163">
        <v>7050</v>
      </c>
      <c r="E991" s="166">
        <v>70050</v>
      </c>
      <c r="F991" s="92" t="s">
        <v>98</v>
      </c>
      <c r="G991" s="20" t="s">
        <v>1490</v>
      </c>
      <c r="H991" s="18">
        <v>52900</v>
      </c>
      <c r="I991" s="18">
        <v>5</v>
      </c>
      <c r="J991" s="4" t="s">
        <v>12</v>
      </c>
      <c r="K991" s="26" t="s">
        <v>11</v>
      </c>
      <c r="L991" s="172">
        <v>5</v>
      </c>
      <c r="M991" s="6">
        <v>1</v>
      </c>
      <c r="N991" s="6"/>
      <c r="O991" s="6">
        <v>0</v>
      </c>
      <c r="P991" s="6"/>
      <c r="Q991" s="7">
        <v>1</v>
      </c>
      <c r="R991" s="6"/>
      <c r="S991" s="1">
        <v>0</v>
      </c>
      <c r="U991" s="1">
        <v>0</v>
      </c>
      <c r="W991" s="1" t="str">
        <f t="shared" si="15"/>
        <v>No</v>
      </c>
    </row>
    <row r="992" spans="1:23" s="1" customFormat="1" ht="11.25">
      <c r="A992" s="2" t="s">
        <v>871</v>
      </c>
      <c r="B992" s="21" t="s">
        <v>872</v>
      </c>
      <c r="C992" s="26" t="s">
        <v>57</v>
      </c>
      <c r="D992" s="163">
        <v>4229</v>
      </c>
      <c r="E992" s="166">
        <v>40229</v>
      </c>
      <c r="F992" s="92" t="s">
        <v>152</v>
      </c>
      <c r="G992" s="20" t="s">
        <v>1490</v>
      </c>
      <c r="H992" s="18">
        <v>280648</v>
      </c>
      <c r="I992" s="18">
        <v>5</v>
      </c>
      <c r="J992" s="4" t="s">
        <v>12</v>
      </c>
      <c r="K992" s="26" t="s">
        <v>15</v>
      </c>
      <c r="L992" s="172">
        <v>3</v>
      </c>
      <c r="M992" s="6">
        <v>0</v>
      </c>
      <c r="N992" s="6"/>
      <c r="O992" s="6">
        <v>0</v>
      </c>
      <c r="P992" s="6"/>
      <c r="Q992" s="7">
        <v>0</v>
      </c>
      <c r="R992" s="6"/>
      <c r="S992" s="1">
        <v>0</v>
      </c>
      <c r="U992" s="1">
        <v>0</v>
      </c>
      <c r="W992" s="1" t="str">
        <f t="shared" si="15"/>
        <v>No</v>
      </c>
    </row>
    <row r="993" spans="1:23" s="1" customFormat="1" ht="11.25">
      <c r="A993" s="2" t="s">
        <v>1632</v>
      </c>
      <c r="B993" s="21" t="s">
        <v>1664</v>
      </c>
      <c r="C993" s="26" t="s">
        <v>29</v>
      </c>
      <c r="D993" s="163" t="s">
        <v>1631</v>
      </c>
      <c r="E993" s="166">
        <v>11152</v>
      </c>
      <c r="F993" s="92" t="s">
        <v>397</v>
      </c>
      <c r="G993" s="20" t="s">
        <v>1490</v>
      </c>
      <c r="H993" s="18">
        <v>0</v>
      </c>
      <c r="I993" s="18">
        <v>5</v>
      </c>
      <c r="J993" s="4" t="s">
        <v>12</v>
      </c>
      <c r="K993" s="26" t="s">
        <v>11</v>
      </c>
      <c r="L993" s="172">
        <v>5</v>
      </c>
      <c r="M993" s="6">
        <v>0</v>
      </c>
      <c r="N993" s="6"/>
      <c r="O993" s="6">
        <v>0</v>
      </c>
      <c r="P993" s="6"/>
      <c r="Q993" s="7">
        <v>0</v>
      </c>
      <c r="R993" s="6"/>
      <c r="S993" s="1">
        <v>0</v>
      </c>
      <c r="U993" s="1">
        <v>0</v>
      </c>
      <c r="W993" s="1" t="str">
        <f t="shared" si="15"/>
        <v>No</v>
      </c>
    </row>
    <row r="994" spans="1:23" s="1" customFormat="1" ht="11.25">
      <c r="A994" s="2" t="s">
        <v>401</v>
      </c>
      <c r="B994" s="21" t="s">
        <v>402</v>
      </c>
      <c r="C994" s="26" t="s">
        <v>9</v>
      </c>
      <c r="D994" s="163" t="s">
        <v>403</v>
      </c>
      <c r="E994" s="166">
        <v>85</v>
      </c>
      <c r="F994" s="92" t="s">
        <v>397</v>
      </c>
      <c r="G994" s="20" t="s">
        <v>1490</v>
      </c>
      <c r="H994" s="18">
        <v>0</v>
      </c>
      <c r="I994" s="18">
        <v>5</v>
      </c>
      <c r="J994" s="4" t="s">
        <v>12</v>
      </c>
      <c r="K994" s="26" t="s">
        <v>11</v>
      </c>
      <c r="L994" s="172">
        <v>3</v>
      </c>
      <c r="M994" s="6">
        <v>0</v>
      </c>
      <c r="N994" s="6"/>
      <c r="O994" s="6">
        <v>0</v>
      </c>
      <c r="P994" s="6"/>
      <c r="Q994" s="7">
        <v>0</v>
      </c>
      <c r="R994" s="6"/>
      <c r="S994" s="1">
        <v>0</v>
      </c>
      <c r="U994" s="1">
        <v>0</v>
      </c>
      <c r="W994" s="1" t="str">
        <f t="shared" si="15"/>
        <v>No</v>
      </c>
    </row>
    <row r="995" spans="1:23" s="1" customFormat="1" ht="11.25">
      <c r="A995" s="2" t="s">
        <v>859</v>
      </c>
      <c r="B995" s="21" t="s">
        <v>860</v>
      </c>
      <c r="C995" s="26" t="s">
        <v>71</v>
      </c>
      <c r="D995" s="163">
        <v>5019</v>
      </c>
      <c r="E995" s="166">
        <v>50019</v>
      </c>
      <c r="F995" s="92" t="s">
        <v>152</v>
      </c>
      <c r="G995" s="20" t="s">
        <v>1490</v>
      </c>
      <c r="H995" s="18">
        <v>97503</v>
      </c>
      <c r="I995" s="18">
        <v>5</v>
      </c>
      <c r="J995" s="4" t="s">
        <v>12</v>
      </c>
      <c r="K995" s="26" t="s">
        <v>11</v>
      </c>
      <c r="L995" s="172">
        <v>4</v>
      </c>
      <c r="M995" s="6">
        <v>1</v>
      </c>
      <c r="N995" s="6"/>
      <c r="O995" s="6">
        <v>0</v>
      </c>
      <c r="P995" s="6"/>
      <c r="Q995" s="7">
        <v>1</v>
      </c>
      <c r="R995" s="6"/>
      <c r="S995" s="1">
        <v>0</v>
      </c>
      <c r="U995" s="1">
        <v>0</v>
      </c>
      <c r="W995" s="1" t="str">
        <f t="shared" si="15"/>
        <v>No</v>
      </c>
    </row>
    <row r="996" spans="1:23" s="1" customFormat="1" ht="11.25">
      <c r="A996" s="2" t="s">
        <v>1779</v>
      </c>
      <c r="B996" s="21" t="s">
        <v>1780</v>
      </c>
      <c r="C996" s="26" t="s">
        <v>32</v>
      </c>
      <c r="D996" s="163"/>
      <c r="E996" s="166">
        <v>40249</v>
      </c>
      <c r="F996" s="92" t="s">
        <v>152</v>
      </c>
      <c r="G996" s="20" t="s">
        <v>1490</v>
      </c>
      <c r="H996" s="18">
        <v>5502379</v>
      </c>
      <c r="I996" s="18">
        <v>5</v>
      </c>
      <c r="J996" s="4" t="s">
        <v>12</v>
      </c>
      <c r="K996" s="26" t="s">
        <v>15</v>
      </c>
      <c r="L996" s="172">
        <v>5</v>
      </c>
      <c r="M996" s="6">
        <v>0</v>
      </c>
      <c r="N996" s="6"/>
      <c r="O996" s="6">
        <v>0</v>
      </c>
      <c r="P996" s="6"/>
      <c r="Q996" s="7">
        <v>0</v>
      </c>
      <c r="R996" s="6"/>
      <c r="S996" s="1">
        <v>0</v>
      </c>
      <c r="U996" s="1">
        <v>0</v>
      </c>
      <c r="W996" s="1" t="str">
        <f t="shared" si="15"/>
        <v>No</v>
      </c>
    </row>
    <row r="997" spans="1:23" s="1" customFormat="1" ht="11.25">
      <c r="A997" s="2" t="s">
        <v>823</v>
      </c>
      <c r="B997" s="21" t="s">
        <v>824</v>
      </c>
      <c r="C997" s="26" t="s">
        <v>69</v>
      </c>
      <c r="D997" s="163">
        <v>2214</v>
      </c>
      <c r="E997" s="166">
        <v>20214</v>
      </c>
      <c r="F997" s="92" t="s">
        <v>152</v>
      </c>
      <c r="G997" s="20" t="s">
        <v>1490</v>
      </c>
      <c r="H997" s="18">
        <v>423566</v>
      </c>
      <c r="I997" s="18">
        <v>5</v>
      </c>
      <c r="J997" s="4" t="s">
        <v>12</v>
      </c>
      <c r="K997" s="26" t="s">
        <v>11</v>
      </c>
      <c r="L997" s="172">
        <v>1</v>
      </c>
      <c r="M997" s="6">
        <v>0</v>
      </c>
      <c r="N997" s="6"/>
      <c r="O997" s="6">
        <v>0</v>
      </c>
      <c r="P997" s="6"/>
      <c r="Q997" s="7">
        <v>0</v>
      </c>
      <c r="R997" s="6"/>
      <c r="S997" s="1">
        <v>0</v>
      </c>
      <c r="U997" s="1">
        <v>0</v>
      </c>
      <c r="W997" s="1" t="str">
        <f t="shared" si="15"/>
        <v>No</v>
      </c>
    </row>
    <row r="998" spans="1:23" s="1" customFormat="1" ht="11.25">
      <c r="A998" s="2" t="s">
        <v>1878</v>
      </c>
      <c r="B998" s="21" t="s">
        <v>1001</v>
      </c>
      <c r="C998" s="26" t="s">
        <v>45</v>
      </c>
      <c r="D998" s="163"/>
      <c r="E998" s="166">
        <v>11159</v>
      </c>
      <c r="F998" s="92" t="s">
        <v>148</v>
      </c>
      <c r="G998" s="20" t="s">
        <v>1490</v>
      </c>
      <c r="H998" s="18">
        <v>4181019</v>
      </c>
      <c r="I998" s="18">
        <v>5</v>
      </c>
      <c r="J998" s="4" t="s">
        <v>21</v>
      </c>
      <c r="K998" s="26" t="s">
        <v>11</v>
      </c>
      <c r="L998" s="172">
        <v>5</v>
      </c>
      <c r="M998" s="6">
        <v>1</v>
      </c>
      <c r="N998" s="6"/>
      <c r="O998" s="6">
        <v>0</v>
      </c>
      <c r="P998" s="6"/>
      <c r="Q998" s="7">
        <v>1</v>
      </c>
      <c r="R998" s="6"/>
      <c r="S998" s="1">
        <v>0</v>
      </c>
      <c r="U998" s="1">
        <v>0</v>
      </c>
      <c r="W998" s="1" t="str">
        <f t="shared" si="15"/>
        <v>No</v>
      </c>
    </row>
    <row r="999" spans="1:23" s="1" customFormat="1" ht="11.25">
      <c r="A999" s="2" t="s">
        <v>316</v>
      </c>
      <c r="B999" s="21" t="s">
        <v>317</v>
      </c>
      <c r="C999" s="26" t="s">
        <v>77</v>
      </c>
      <c r="D999" s="163">
        <v>4151</v>
      </c>
      <c r="E999" s="166">
        <v>40151</v>
      </c>
      <c r="F999" s="92" t="s">
        <v>152</v>
      </c>
      <c r="G999" s="20" t="s">
        <v>1490</v>
      </c>
      <c r="H999" s="18">
        <v>139171</v>
      </c>
      <c r="I999" s="18">
        <v>5</v>
      </c>
      <c r="J999" s="4" t="s">
        <v>12</v>
      </c>
      <c r="K999" s="26" t="s">
        <v>11</v>
      </c>
      <c r="L999" s="172">
        <v>3</v>
      </c>
      <c r="M999" s="6">
        <v>2</v>
      </c>
      <c r="N999" s="6"/>
      <c r="O999" s="6">
        <v>0</v>
      </c>
      <c r="P999" s="6"/>
      <c r="Q999" s="7">
        <v>2</v>
      </c>
      <c r="R999" s="6"/>
      <c r="S999" s="1">
        <v>0</v>
      </c>
      <c r="U999" s="1">
        <v>0</v>
      </c>
      <c r="W999" s="1" t="str">
        <f t="shared" si="15"/>
        <v>No</v>
      </c>
    </row>
    <row r="1000" spans="1:23" s="1" customFormat="1" ht="11.25">
      <c r="A1000" s="2" t="s">
        <v>1023</v>
      </c>
      <c r="B1000" s="21" t="s">
        <v>305</v>
      </c>
      <c r="C1000" s="26" t="s">
        <v>43</v>
      </c>
      <c r="D1000" s="163">
        <v>5107</v>
      </c>
      <c r="E1000" s="166">
        <v>50107</v>
      </c>
      <c r="F1000" s="92" t="s">
        <v>152</v>
      </c>
      <c r="G1000" s="20" t="s">
        <v>1490</v>
      </c>
      <c r="H1000" s="18">
        <v>229351</v>
      </c>
      <c r="I1000" s="18">
        <v>5</v>
      </c>
      <c r="J1000" s="4" t="s">
        <v>12</v>
      </c>
      <c r="K1000" s="26" t="s">
        <v>11</v>
      </c>
      <c r="L1000" s="172">
        <v>3</v>
      </c>
      <c r="M1000" s="6">
        <v>0</v>
      </c>
      <c r="N1000" s="6"/>
      <c r="O1000" s="6">
        <v>0</v>
      </c>
      <c r="P1000" s="6"/>
      <c r="Q1000" s="7">
        <v>0</v>
      </c>
      <c r="R1000" s="6"/>
      <c r="S1000" s="1">
        <v>0</v>
      </c>
      <c r="U1000" s="1">
        <v>0</v>
      </c>
      <c r="W1000" s="1" t="str">
        <f t="shared" si="15"/>
        <v>No</v>
      </c>
    </row>
    <row r="1001" spans="1:23" s="1" customFormat="1" ht="11.25">
      <c r="A1001" s="2" t="s">
        <v>1771</v>
      </c>
      <c r="B1001" s="21" t="s">
        <v>1772</v>
      </c>
      <c r="C1001" s="26" t="s">
        <v>19</v>
      </c>
      <c r="D1001" s="163"/>
      <c r="E1001" s="166">
        <v>90289</v>
      </c>
      <c r="F1001" s="92" t="s">
        <v>152</v>
      </c>
      <c r="G1001" s="20" t="s">
        <v>1490</v>
      </c>
      <c r="H1001" s="18">
        <v>12150996</v>
      </c>
      <c r="I1001" s="18">
        <v>5</v>
      </c>
      <c r="J1001" s="4" t="s">
        <v>12</v>
      </c>
      <c r="K1001" s="26" t="s">
        <v>15</v>
      </c>
      <c r="L1001" s="172">
        <v>2</v>
      </c>
      <c r="M1001" s="6">
        <v>0</v>
      </c>
      <c r="N1001" s="6"/>
      <c r="O1001" s="6">
        <v>0</v>
      </c>
      <c r="P1001" s="6"/>
      <c r="Q1001" s="7">
        <v>0</v>
      </c>
      <c r="R1001" s="6"/>
      <c r="S1001" s="1">
        <v>0</v>
      </c>
      <c r="U1001" s="1">
        <v>0</v>
      </c>
      <c r="W1001" s="1" t="str">
        <f t="shared" si="15"/>
        <v>No</v>
      </c>
    </row>
    <row r="1002" spans="1:23" s="1" customFormat="1" ht="11.25">
      <c r="A1002" s="2" t="s">
        <v>825</v>
      </c>
      <c r="B1002" s="21" t="s">
        <v>345</v>
      </c>
      <c r="C1002" s="26" t="s">
        <v>69</v>
      </c>
      <c r="D1002" s="163">
        <v>2215</v>
      </c>
      <c r="E1002" s="166">
        <v>20215</v>
      </c>
      <c r="F1002" s="92" t="s">
        <v>152</v>
      </c>
      <c r="G1002" s="20" t="s">
        <v>1490</v>
      </c>
      <c r="H1002" s="18">
        <v>57840</v>
      </c>
      <c r="I1002" s="18">
        <v>5</v>
      </c>
      <c r="J1002" s="4" t="s">
        <v>12</v>
      </c>
      <c r="K1002" s="26" t="s">
        <v>11</v>
      </c>
      <c r="L1002" s="172">
        <v>3</v>
      </c>
      <c r="M1002" s="6">
        <v>0</v>
      </c>
      <c r="N1002" s="6"/>
      <c r="O1002" s="6">
        <v>0</v>
      </c>
      <c r="P1002" s="6"/>
      <c r="Q1002" s="7">
        <v>0</v>
      </c>
      <c r="R1002" s="6"/>
      <c r="S1002" s="1">
        <v>0</v>
      </c>
      <c r="U1002" s="1">
        <v>0</v>
      </c>
      <c r="W1002" s="1" t="str">
        <f t="shared" si="15"/>
        <v>No</v>
      </c>
    </row>
    <row r="1003" spans="1:23" s="1" customFormat="1" ht="11.25">
      <c r="A1003" s="2" t="s">
        <v>499</v>
      </c>
      <c r="B1003" s="21" t="s">
        <v>298</v>
      </c>
      <c r="C1003" s="26" t="s">
        <v>56</v>
      </c>
      <c r="D1003" s="163">
        <v>8107</v>
      </c>
      <c r="E1003" s="166">
        <v>80107</v>
      </c>
      <c r="F1003" s="92" t="s">
        <v>98</v>
      </c>
      <c r="G1003" s="20" t="s">
        <v>149</v>
      </c>
      <c r="H1003" s="18">
        <v>82157</v>
      </c>
      <c r="I1003" s="18">
        <v>5</v>
      </c>
      <c r="J1003" s="4" t="s">
        <v>12</v>
      </c>
      <c r="K1003" s="26" t="s">
        <v>11</v>
      </c>
      <c r="L1003" s="172">
        <v>5</v>
      </c>
      <c r="M1003" s="6">
        <v>0</v>
      </c>
      <c r="N1003" s="6"/>
      <c r="O1003" s="6">
        <v>0</v>
      </c>
      <c r="P1003" s="6"/>
      <c r="Q1003" s="7">
        <v>0</v>
      </c>
      <c r="R1003" s="6"/>
      <c r="S1003" s="1">
        <v>0</v>
      </c>
      <c r="U1003" s="1">
        <v>0</v>
      </c>
      <c r="W1003" s="1" t="str">
        <f t="shared" si="15"/>
        <v>No</v>
      </c>
    </row>
    <row r="1004" spans="1:23" s="1" customFormat="1" ht="11.25">
      <c r="A1004" s="2" t="s">
        <v>1879</v>
      </c>
      <c r="B1004" s="21" t="s">
        <v>1163</v>
      </c>
      <c r="C1004" s="26" t="s">
        <v>51</v>
      </c>
      <c r="D1004" s="163">
        <v>5038</v>
      </c>
      <c r="E1004" s="166">
        <v>50038</v>
      </c>
      <c r="F1004" s="92" t="s">
        <v>152</v>
      </c>
      <c r="G1004" s="20" t="s">
        <v>1490</v>
      </c>
      <c r="H1004" s="18">
        <v>278165</v>
      </c>
      <c r="I1004" s="18">
        <v>5</v>
      </c>
      <c r="J1004" s="4" t="s">
        <v>12</v>
      </c>
      <c r="K1004" s="26" t="s">
        <v>11</v>
      </c>
      <c r="L1004" s="172">
        <v>1</v>
      </c>
      <c r="M1004" s="6">
        <v>1</v>
      </c>
      <c r="N1004" s="6"/>
      <c r="O1004" s="6">
        <v>0</v>
      </c>
      <c r="P1004" s="6"/>
      <c r="Q1004" s="7">
        <v>1</v>
      </c>
      <c r="R1004" s="6"/>
      <c r="S1004" s="1">
        <v>0</v>
      </c>
      <c r="U1004" s="1">
        <v>0</v>
      </c>
      <c r="W1004" s="1" t="str">
        <f t="shared" si="15"/>
        <v>No</v>
      </c>
    </row>
    <row r="1005" spans="1:23" s="1" customFormat="1" ht="11.25">
      <c r="A1005" s="2" t="s">
        <v>456</v>
      </c>
      <c r="B1005" s="21" t="s">
        <v>457</v>
      </c>
      <c r="C1005" s="26" t="s">
        <v>59</v>
      </c>
      <c r="D1005" s="163" t="s">
        <v>458</v>
      </c>
      <c r="E1005" s="166">
        <v>70004</v>
      </c>
      <c r="F1005" s="92" t="s">
        <v>397</v>
      </c>
      <c r="G1005" s="20" t="s">
        <v>1490</v>
      </c>
      <c r="H1005" s="18">
        <v>0</v>
      </c>
      <c r="I1005" s="18">
        <v>4</v>
      </c>
      <c r="J1005" s="4" t="s">
        <v>12</v>
      </c>
      <c r="K1005" s="26" t="s">
        <v>11</v>
      </c>
      <c r="L1005" s="172">
        <v>3</v>
      </c>
      <c r="M1005" s="6">
        <v>0</v>
      </c>
      <c r="N1005" s="6"/>
      <c r="O1005" s="6">
        <v>0</v>
      </c>
      <c r="P1005" s="6"/>
      <c r="Q1005" s="7">
        <v>0</v>
      </c>
      <c r="R1005" s="6"/>
      <c r="S1005" s="1">
        <v>0</v>
      </c>
      <c r="U1005" s="1">
        <v>0</v>
      </c>
      <c r="W1005" s="1" t="str">
        <f t="shared" si="15"/>
        <v>No</v>
      </c>
    </row>
    <row r="1006" spans="1:23" s="1" customFormat="1" ht="11.25">
      <c r="A1006" s="2" t="s">
        <v>281</v>
      </c>
      <c r="B1006" s="21" t="s">
        <v>243</v>
      </c>
      <c r="C1006" s="26" t="s">
        <v>2</v>
      </c>
      <c r="D1006" s="163">
        <v>48</v>
      </c>
      <c r="E1006" s="166">
        <v>48</v>
      </c>
      <c r="F1006" s="92" t="s">
        <v>152</v>
      </c>
      <c r="G1006" s="20" t="s">
        <v>1490</v>
      </c>
      <c r="H1006" s="18">
        <v>51924</v>
      </c>
      <c r="I1006" s="18">
        <v>4</v>
      </c>
      <c r="J1006" s="4" t="s">
        <v>12</v>
      </c>
      <c r="K1006" s="26" t="s">
        <v>11</v>
      </c>
      <c r="L1006" s="172">
        <v>2</v>
      </c>
      <c r="M1006" s="6">
        <v>0</v>
      </c>
      <c r="N1006" s="6"/>
      <c r="O1006" s="6">
        <v>0</v>
      </c>
      <c r="P1006" s="6"/>
      <c r="Q1006" s="7">
        <v>0</v>
      </c>
      <c r="R1006" s="6"/>
      <c r="S1006" s="1">
        <v>0</v>
      </c>
      <c r="U1006" s="1">
        <v>0</v>
      </c>
      <c r="W1006" s="1" t="str">
        <f t="shared" si="15"/>
        <v>No</v>
      </c>
    </row>
    <row r="1007" spans="1:23" s="1" customFormat="1" ht="11.25">
      <c r="A1007" s="2" t="s">
        <v>205</v>
      </c>
      <c r="B1007" s="21" t="s">
        <v>206</v>
      </c>
      <c r="C1007" s="26" t="s">
        <v>77</v>
      </c>
      <c r="D1007" s="163">
        <v>4145</v>
      </c>
      <c r="E1007" s="166">
        <v>40145</v>
      </c>
      <c r="F1007" s="92" t="s">
        <v>152</v>
      </c>
      <c r="G1007" s="20" t="s">
        <v>1490</v>
      </c>
      <c r="H1007" s="18">
        <v>2148346</v>
      </c>
      <c r="I1007" s="18">
        <v>4</v>
      </c>
      <c r="J1007" s="4" t="s">
        <v>12</v>
      </c>
      <c r="K1007" s="26" t="s">
        <v>11</v>
      </c>
      <c r="L1007" s="172">
        <v>2</v>
      </c>
      <c r="M1007" s="6">
        <v>2</v>
      </c>
      <c r="N1007" s="6"/>
      <c r="O1007" s="6">
        <v>0</v>
      </c>
      <c r="P1007" s="6"/>
      <c r="Q1007" s="7">
        <v>2</v>
      </c>
      <c r="R1007" s="6"/>
      <c r="S1007" s="1">
        <v>1</v>
      </c>
      <c r="U1007" s="1">
        <v>0</v>
      </c>
      <c r="W1007" s="1" t="str">
        <f t="shared" si="15"/>
        <v>No</v>
      </c>
    </row>
    <row r="1008" spans="1:23" s="1" customFormat="1" ht="11.25">
      <c r="A1008" s="2" t="s">
        <v>514</v>
      </c>
      <c r="B1008" s="21" t="s">
        <v>515</v>
      </c>
      <c r="C1008" s="26" t="s">
        <v>56</v>
      </c>
      <c r="D1008" s="163" t="s">
        <v>516</v>
      </c>
      <c r="E1008" s="166">
        <v>88164</v>
      </c>
      <c r="F1008" s="92" t="s">
        <v>397</v>
      </c>
      <c r="G1008" s="20" t="s">
        <v>1490</v>
      </c>
      <c r="H1008" s="18">
        <v>0</v>
      </c>
      <c r="I1008" s="18">
        <v>4</v>
      </c>
      <c r="J1008" s="4" t="s">
        <v>12</v>
      </c>
      <c r="K1008" s="26" t="s">
        <v>11</v>
      </c>
      <c r="L1008" s="172">
        <v>2</v>
      </c>
      <c r="M1008" s="6">
        <v>0</v>
      </c>
      <c r="N1008" s="6"/>
      <c r="O1008" s="6">
        <v>0</v>
      </c>
      <c r="P1008" s="6"/>
      <c r="Q1008" s="7">
        <v>0</v>
      </c>
      <c r="R1008" s="6"/>
      <c r="S1008" s="1">
        <v>0</v>
      </c>
      <c r="U1008" s="1">
        <v>0</v>
      </c>
      <c r="W1008" s="1" t="str">
        <f t="shared" si="15"/>
        <v>No</v>
      </c>
    </row>
    <row r="1009" spans="1:23" s="1" customFormat="1" ht="11.25">
      <c r="A1009" s="2" t="s">
        <v>646</v>
      </c>
      <c r="B1009" s="21" t="s">
        <v>221</v>
      </c>
      <c r="C1009" s="26" t="s">
        <v>86</v>
      </c>
      <c r="D1009" s="163">
        <v>3053</v>
      </c>
      <c r="E1009" s="166">
        <v>30053</v>
      </c>
      <c r="F1009" s="92" t="s">
        <v>152</v>
      </c>
      <c r="G1009" s="20" t="s">
        <v>1490</v>
      </c>
      <c r="H1009" s="18">
        <v>69501</v>
      </c>
      <c r="I1009" s="18">
        <v>4</v>
      </c>
      <c r="J1009" s="4" t="s">
        <v>12</v>
      </c>
      <c r="K1009" s="26" t="s">
        <v>11</v>
      </c>
      <c r="L1009" s="172">
        <v>3</v>
      </c>
      <c r="M1009" s="6">
        <v>1</v>
      </c>
      <c r="N1009" s="6"/>
      <c r="O1009" s="6">
        <v>0</v>
      </c>
      <c r="P1009" s="6"/>
      <c r="Q1009" s="7">
        <v>1</v>
      </c>
      <c r="R1009" s="6"/>
      <c r="S1009" s="1">
        <v>0</v>
      </c>
      <c r="U1009" s="1">
        <v>0</v>
      </c>
      <c r="W1009" s="1" t="str">
        <f t="shared" si="15"/>
        <v>No</v>
      </c>
    </row>
    <row r="1010" spans="1:23" s="1" customFormat="1" ht="11.25">
      <c r="A1010" s="2" t="s">
        <v>1777</v>
      </c>
      <c r="B1010" s="21" t="s">
        <v>1778</v>
      </c>
      <c r="C1010" s="26" t="s">
        <v>19</v>
      </c>
      <c r="D1010" s="163"/>
      <c r="E1010" s="166">
        <v>90254</v>
      </c>
      <c r="F1010" s="92" t="s">
        <v>152</v>
      </c>
      <c r="G1010" s="20" t="s">
        <v>1490</v>
      </c>
      <c r="H1010" s="18">
        <v>12150996</v>
      </c>
      <c r="I1010" s="18">
        <v>4</v>
      </c>
      <c r="J1010" s="4" t="s">
        <v>12</v>
      </c>
      <c r="K1010" s="26" t="s">
        <v>15</v>
      </c>
      <c r="L1010" s="172">
        <v>2</v>
      </c>
      <c r="M1010" s="6">
        <v>0</v>
      </c>
      <c r="N1010" s="6"/>
      <c r="O1010" s="6">
        <v>0</v>
      </c>
      <c r="P1010" s="6"/>
      <c r="Q1010" s="7">
        <v>0</v>
      </c>
      <c r="R1010" s="6"/>
      <c r="S1010" s="1">
        <v>0</v>
      </c>
      <c r="U1010" s="1">
        <v>0</v>
      </c>
      <c r="W1010" s="1" t="str">
        <f t="shared" si="15"/>
        <v>No</v>
      </c>
    </row>
    <row r="1011" spans="1:23" s="1" customFormat="1" ht="11.25">
      <c r="A1011" s="2" t="s">
        <v>1714</v>
      </c>
      <c r="B1011" s="21" t="s">
        <v>1715</v>
      </c>
      <c r="C1011" s="26" t="s">
        <v>19</v>
      </c>
      <c r="D1011" s="163"/>
      <c r="E1011" s="166">
        <v>90249</v>
      </c>
      <c r="F1011" s="92" t="s">
        <v>152</v>
      </c>
      <c r="G1011" s="20" t="s">
        <v>1490</v>
      </c>
      <c r="H1011" s="18">
        <v>12150996</v>
      </c>
      <c r="I1011" s="18">
        <v>4</v>
      </c>
      <c r="J1011" s="4" t="s">
        <v>12</v>
      </c>
      <c r="K1011" s="26" t="s">
        <v>15</v>
      </c>
      <c r="L1011" s="172">
        <v>2</v>
      </c>
      <c r="M1011" s="6">
        <v>1</v>
      </c>
      <c r="N1011" s="6"/>
      <c r="O1011" s="6">
        <v>0</v>
      </c>
      <c r="P1011" s="6"/>
      <c r="Q1011" s="7">
        <v>1</v>
      </c>
      <c r="R1011" s="6"/>
      <c r="S1011" s="1">
        <v>0</v>
      </c>
      <c r="U1011" s="1">
        <v>0</v>
      </c>
      <c r="W1011" s="1" t="str">
        <f t="shared" si="15"/>
        <v>No</v>
      </c>
    </row>
    <row r="1012" spans="1:23" s="1" customFormat="1" ht="11.25">
      <c r="A1012" s="2" t="s">
        <v>967</v>
      </c>
      <c r="B1012" s="21" t="s">
        <v>968</v>
      </c>
      <c r="C1012" s="26" t="s">
        <v>40</v>
      </c>
      <c r="D1012" s="163">
        <v>5042</v>
      </c>
      <c r="E1012" s="166">
        <v>50042</v>
      </c>
      <c r="F1012" s="92" t="s">
        <v>152</v>
      </c>
      <c r="G1012" s="20" t="s">
        <v>149</v>
      </c>
      <c r="H1012" s="18">
        <v>8608208</v>
      </c>
      <c r="I1012" s="18">
        <v>4</v>
      </c>
      <c r="J1012" s="4" t="s">
        <v>12</v>
      </c>
      <c r="K1012" s="26" t="s">
        <v>11</v>
      </c>
      <c r="L1012" s="172">
        <v>3</v>
      </c>
      <c r="M1012" s="6">
        <v>0</v>
      </c>
      <c r="N1012" s="6"/>
      <c r="O1012" s="6">
        <v>0</v>
      </c>
      <c r="P1012" s="6"/>
      <c r="Q1012" s="7">
        <v>0</v>
      </c>
      <c r="R1012" s="6"/>
      <c r="S1012" s="1">
        <v>0</v>
      </c>
      <c r="U1012" s="1">
        <v>0</v>
      </c>
      <c r="W1012" s="1" t="str">
        <f t="shared" si="15"/>
        <v>No</v>
      </c>
    </row>
    <row r="1013" spans="1:23" s="1" customFormat="1" ht="11.25">
      <c r="A1013" s="2" t="s">
        <v>427</v>
      </c>
      <c r="B1013" s="21" t="s">
        <v>428</v>
      </c>
      <c r="C1013" s="26" t="s">
        <v>19</v>
      </c>
      <c r="D1013" s="163" t="s">
        <v>429</v>
      </c>
      <c r="E1013" s="166">
        <v>99256</v>
      </c>
      <c r="F1013" s="92" t="s">
        <v>397</v>
      </c>
      <c r="G1013" s="20" t="s">
        <v>1490</v>
      </c>
      <c r="H1013" s="18">
        <v>0</v>
      </c>
      <c r="I1013" s="18">
        <v>4</v>
      </c>
      <c r="J1013" s="4" t="s">
        <v>12</v>
      </c>
      <c r="K1013" s="26" t="s">
        <v>11</v>
      </c>
      <c r="L1013" s="172">
        <v>3</v>
      </c>
      <c r="M1013" s="6">
        <v>0</v>
      </c>
      <c r="N1013" s="6"/>
      <c r="O1013" s="6">
        <v>0</v>
      </c>
      <c r="P1013" s="6"/>
      <c r="Q1013" s="7">
        <v>0</v>
      </c>
      <c r="R1013" s="6"/>
      <c r="S1013" s="1">
        <v>0</v>
      </c>
      <c r="U1013" s="1">
        <v>0</v>
      </c>
      <c r="W1013" s="1" t="str">
        <f t="shared" si="15"/>
        <v>No</v>
      </c>
    </row>
    <row r="1014" spans="1:23" s="1" customFormat="1" ht="11.25">
      <c r="A1014" s="2" t="s">
        <v>1782</v>
      </c>
      <c r="B1014" s="21" t="s">
        <v>1338</v>
      </c>
      <c r="C1014" s="26" t="s">
        <v>32</v>
      </c>
      <c r="D1014" s="163"/>
      <c r="E1014" s="166">
        <v>40257</v>
      </c>
      <c r="F1014" s="92" t="s">
        <v>152</v>
      </c>
      <c r="G1014" s="20" t="s">
        <v>1490</v>
      </c>
      <c r="H1014" s="18">
        <v>5502379</v>
      </c>
      <c r="I1014" s="18">
        <v>4</v>
      </c>
      <c r="J1014" s="4" t="s">
        <v>12</v>
      </c>
      <c r="K1014" s="26" t="s">
        <v>15</v>
      </c>
      <c r="L1014" s="172">
        <v>4</v>
      </c>
      <c r="M1014" s="6">
        <v>1</v>
      </c>
      <c r="N1014" s="6"/>
      <c r="O1014" s="6">
        <v>0</v>
      </c>
      <c r="P1014" s="6"/>
      <c r="Q1014" s="7">
        <v>1</v>
      </c>
      <c r="R1014" s="6"/>
      <c r="S1014" s="1">
        <v>0</v>
      </c>
      <c r="U1014" s="1">
        <v>0</v>
      </c>
      <c r="W1014" s="1" t="str">
        <f t="shared" si="15"/>
        <v>No</v>
      </c>
    </row>
    <row r="1015" spans="1:23" s="1" customFormat="1" ht="11.25">
      <c r="A1015" s="2" t="s">
        <v>433</v>
      </c>
      <c r="B1015" s="21" t="s">
        <v>434</v>
      </c>
      <c r="C1015" s="26" t="s">
        <v>88</v>
      </c>
      <c r="D1015" s="163" t="s">
        <v>435</v>
      </c>
      <c r="E1015" s="166">
        <v>4</v>
      </c>
      <c r="F1015" s="92" t="s">
        <v>397</v>
      </c>
      <c r="G1015" s="20" t="s">
        <v>1490</v>
      </c>
      <c r="H1015" s="18">
        <v>0</v>
      </c>
      <c r="I1015" s="18">
        <v>4</v>
      </c>
      <c r="J1015" s="4" t="s">
        <v>22</v>
      </c>
      <c r="K1015" s="26" t="s">
        <v>11</v>
      </c>
      <c r="L1015" s="172">
        <v>1</v>
      </c>
      <c r="M1015" s="6">
        <v>0</v>
      </c>
      <c r="N1015" s="6"/>
      <c r="O1015" s="6">
        <v>2</v>
      </c>
      <c r="P1015" s="6"/>
      <c r="Q1015" s="7">
        <v>2</v>
      </c>
      <c r="R1015" s="6"/>
      <c r="S1015" s="1">
        <v>0</v>
      </c>
      <c r="U1015" s="1">
        <v>0</v>
      </c>
      <c r="W1015" s="1" t="str">
        <f t="shared" si="15"/>
        <v>No</v>
      </c>
    </row>
    <row r="1016" spans="1:23" s="1" customFormat="1" ht="11.25">
      <c r="A1016" s="2" t="s">
        <v>1654</v>
      </c>
      <c r="B1016" s="21" t="s">
        <v>1680</v>
      </c>
      <c r="C1016" s="26" t="s">
        <v>84</v>
      </c>
      <c r="D1016" s="163">
        <v>6129</v>
      </c>
      <c r="E1016" s="166">
        <v>60129</v>
      </c>
      <c r="F1016" s="92" t="s">
        <v>152</v>
      </c>
      <c r="G1016" s="20" t="s">
        <v>1490</v>
      </c>
      <c r="H1016" s="18">
        <v>239938</v>
      </c>
      <c r="I1016" s="18">
        <v>4</v>
      </c>
      <c r="J1016" s="4" t="s">
        <v>12</v>
      </c>
      <c r="K1016" s="26" t="s">
        <v>15</v>
      </c>
      <c r="L1016" s="172">
        <v>2</v>
      </c>
      <c r="M1016" s="6">
        <v>0</v>
      </c>
      <c r="N1016" s="6"/>
      <c r="O1016" s="6">
        <v>0</v>
      </c>
      <c r="P1016" s="6"/>
      <c r="Q1016" s="7">
        <v>0</v>
      </c>
      <c r="R1016" s="6"/>
      <c r="S1016" s="1">
        <v>0</v>
      </c>
      <c r="U1016" s="1">
        <v>0</v>
      </c>
      <c r="W1016" s="1" t="str">
        <f t="shared" si="15"/>
        <v>No</v>
      </c>
    </row>
    <row r="1017" spans="1:23" s="1" customFormat="1" ht="11.25">
      <c r="A1017" s="2" t="s">
        <v>1644</v>
      </c>
      <c r="B1017" s="21" t="s">
        <v>1671</v>
      </c>
      <c r="C1017" s="26" t="s">
        <v>32</v>
      </c>
      <c r="D1017" s="163"/>
      <c r="E1017" s="166">
        <v>40238</v>
      </c>
      <c r="F1017" s="92" t="s">
        <v>152</v>
      </c>
      <c r="G1017" s="20" t="s">
        <v>1490</v>
      </c>
      <c r="H1017" s="18">
        <v>5502379</v>
      </c>
      <c r="I1017" s="18">
        <v>4</v>
      </c>
      <c r="J1017" s="4" t="s">
        <v>12</v>
      </c>
      <c r="K1017" s="26" t="s">
        <v>11</v>
      </c>
      <c r="L1017" s="172">
        <v>4</v>
      </c>
      <c r="M1017" s="6">
        <v>0</v>
      </c>
      <c r="N1017" s="6"/>
      <c r="O1017" s="6">
        <v>0</v>
      </c>
      <c r="P1017" s="6"/>
      <c r="Q1017" s="7">
        <v>0</v>
      </c>
      <c r="R1017" s="6"/>
      <c r="S1017" s="1">
        <v>0</v>
      </c>
      <c r="U1017" s="1">
        <v>0</v>
      </c>
      <c r="W1017" s="1" t="str">
        <f t="shared" si="15"/>
        <v>No</v>
      </c>
    </row>
    <row r="1018" spans="1:23" s="1" customFormat="1" ht="11.25">
      <c r="A1018" s="2" t="s">
        <v>1773</v>
      </c>
      <c r="B1018" s="21" t="s">
        <v>1774</v>
      </c>
      <c r="C1018" s="26" t="s">
        <v>19</v>
      </c>
      <c r="D1018" s="163"/>
      <c r="E1018" s="166">
        <v>90281</v>
      </c>
      <c r="F1018" s="92" t="s">
        <v>152</v>
      </c>
      <c r="G1018" s="20" t="s">
        <v>1490</v>
      </c>
      <c r="H1018" s="18">
        <v>12150996</v>
      </c>
      <c r="I1018" s="18">
        <v>4</v>
      </c>
      <c r="J1018" s="4" t="s">
        <v>12</v>
      </c>
      <c r="K1018" s="26" t="s">
        <v>15</v>
      </c>
      <c r="L1018" s="172">
        <v>4</v>
      </c>
      <c r="M1018" s="6">
        <v>0</v>
      </c>
      <c r="N1018" s="6"/>
      <c r="O1018" s="6">
        <v>0</v>
      </c>
      <c r="P1018" s="6"/>
      <c r="Q1018" s="7">
        <v>0</v>
      </c>
      <c r="R1018" s="6"/>
      <c r="S1018" s="1">
        <v>0</v>
      </c>
      <c r="U1018" s="1">
        <v>0</v>
      </c>
      <c r="W1018" s="1" t="str">
        <f t="shared" si="15"/>
        <v>No</v>
      </c>
    </row>
    <row r="1019" spans="1:23" s="1" customFormat="1" ht="11.25">
      <c r="A1019" s="2" t="s">
        <v>1765</v>
      </c>
      <c r="B1019" s="21" t="s">
        <v>1350</v>
      </c>
      <c r="C1019" s="26" t="s">
        <v>19</v>
      </c>
      <c r="D1019" s="163"/>
      <c r="E1019" s="166">
        <v>90298</v>
      </c>
      <c r="F1019" s="92" t="s">
        <v>152</v>
      </c>
      <c r="G1019" s="20" t="s">
        <v>1490</v>
      </c>
      <c r="H1019" s="18">
        <v>214811</v>
      </c>
      <c r="I1019" s="18">
        <v>4</v>
      </c>
      <c r="J1019" s="4" t="s">
        <v>12</v>
      </c>
      <c r="K1019" s="26" t="s">
        <v>15</v>
      </c>
      <c r="L1019" s="172">
        <v>4</v>
      </c>
      <c r="M1019" s="6">
        <v>0</v>
      </c>
      <c r="N1019" s="6"/>
      <c r="O1019" s="6">
        <v>0</v>
      </c>
      <c r="P1019" s="6"/>
      <c r="Q1019" s="7">
        <v>0</v>
      </c>
      <c r="R1019" s="6"/>
      <c r="S1019" s="1">
        <v>0</v>
      </c>
      <c r="U1019" s="1">
        <v>0</v>
      </c>
      <c r="W1019" s="1" t="str">
        <f t="shared" si="15"/>
        <v>No</v>
      </c>
    </row>
    <row r="1020" spans="1:23" s="1" customFormat="1" ht="11.25">
      <c r="A1020" s="2" t="s">
        <v>766</v>
      </c>
      <c r="B1020" s="21" t="s">
        <v>767</v>
      </c>
      <c r="C1020" s="26" t="s">
        <v>16</v>
      </c>
      <c r="D1020" s="163" t="s">
        <v>768</v>
      </c>
      <c r="E1020" s="166">
        <v>99382</v>
      </c>
      <c r="F1020" s="92" t="s">
        <v>397</v>
      </c>
      <c r="G1020" s="20" t="s">
        <v>1490</v>
      </c>
      <c r="H1020" s="18">
        <v>0</v>
      </c>
      <c r="I1020" s="18">
        <v>4</v>
      </c>
      <c r="J1020" s="4" t="s">
        <v>12</v>
      </c>
      <c r="K1020" s="26" t="s">
        <v>11</v>
      </c>
      <c r="L1020" s="172">
        <v>4</v>
      </c>
      <c r="M1020" s="6">
        <v>0</v>
      </c>
      <c r="N1020" s="6"/>
      <c r="O1020" s="6">
        <v>0</v>
      </c>
      <c r="P1020" s="6"/>
      <c r="Q1020" s="7">
        <v>0</v>
      </c>
      <c r="R1020" s="6"/>
      <c r="S1020" s="1">
        <v>0</v>
      </c>
      <c r="U1020" s="1">
        <v>0</v>
      </c>
      <c r="W1020" s="1" t="str">
        <f t="shared" si="15"/>
        <v>No</v>
      </c>
    </row>
    <row r="1021" spans="1:23" s="1" customFormat="1" ht="11.25">
      <c r="A1021" s="2" t="s">
        <v>433</v>
      </c>
      <c r="B1021" s="21" t="s">
        <v>434</v>
      </c>
      <c r="C1021" s="26" t="s">
        <v>88</v>
      </c>
      <c r="D1021" s="163" t="s">
        <v>435</v>
      </c>
      <c r="E1021" s="166">
        <v>4</v>
      </c>
      <c r="F1021" s="92" t="s">
        <v>397</v>
      </c>
      <c r="G1021" s="20" t="s">
        <v>1490</v>
      </c>
      <c r="H1021" s="18">
        <v>0</v>
      </c>
      <c r="I1021" s="18">
        <v>4</v>
      </c>
      <c r="J1021" s="4" t="s">
        <v>12</v>
      </c>
      <c r="K1021" s="26" t="s">
        <v>11</v>
      </c>
      <c r="L1021" s="172">
        <v>3</v>
      </c>
      <c r="M1021" s="6">
        <v>0</v>
      </c>
      <c r="N1021" s="6"/>
      <c r="O1021" s="6">
        <v>0</v>
      </c>
      <c r="P1021" s="6"/>
      <c r="Q1021" s="7">
        <v>0</v>
      </c>
      <c r="R1021" s="6"/>
      <c r="S1021" s="1">
        <v>0</v>
      </c>
      <c r="U1021" s="1">
        <v>0</v>
      </c>
      <c r="W1021" s="1" t="str">
        <f t="shared" si="15"/>
        <v>No</v>
      </c>
    </row>
    <row r="1022" spans="1:23" s="1" customFormat="1" ht="11.25">
      <c r="A1022" s="2" t="s">
        <v>851</v>
      </c>
      <c r="B1022" s="21" t="s">
        <v>218</v>
      </c>
      <c r="C1022" s="26" t="s">
        <v>29</v>
      </c>
      <c r="D1022" s="163">
        <v>1132</v>
      </c>
      <c r="E1022" s="166">
        <v>10132</v>
      </c>
      <c r="F1022" s="92" t="s">
        <v>148</v>
      </c>
      <c r="G1022" s="20" t="s">
        <v>1490</v>
      </c>
      <c r="H1022" s="18">
        <v>924859</v>
      </c>
      <c r="I1022" s="18">
        <v>4</v>
      </c>
      <c r="J1022" s="4" t="s">
        <v>21</v>
      </c>
      <c r="K1022" s="26" t="s">
        <v>15</v>
      </c>
      <c r="L1022" s="172">
        <v>4</v>
      </c>
      <c r="M1022" s="6">
        <v>0</v>
      </c>
      <c r="N1022" s="6"/>
      <c r="O1022" s="6">
        <v>0</v>
      </c>
      <c r="P1022" s="6"/>
      <c r="Q1022" s="7">
        <v>0</v>
      </c>
      <c r="R1022" s="6"/>
      <c r="S1022" s="1">
        <v>0</v>
      </c>
      <c r="U1022" s="1">
        <v>0</v>
      </c>
      <c r="W1022" s="1" t="str">
        <f t="shared" si="15"/>
        <v>No</v>
      </c>
    </row>
    <row r="1023" spans="1:23" s="1" customFormat="1" ht="11.25">
      <c r="A1023" s="2" t="s">
        <v>1881</v>
      </c>
      <c r="B1023" s="21" t="s">
        <v>720</v>
      </c>
      <c r="C1023" s="26" t="s">
        <v>39</v>
      </c>
      <c r="D1023" s="163"/>
      <c r="E1023" s="166">
        <v>50521</v>
      </c>
      <c r="F1023" s="92" t="s">
        <v>148</v>
      </c>
      <c r="G1023" s="20" t="s">
        <v>149</v>
      </c>
      <c r="H1023" s="18">
        <v>8608208</v>
      </c>
      <c r="I1023" s="18">
        <v>4</v>
      </c>
      <c r="J1023" s="4" t="s">
        <v>22</v>
      </c>
      <c r="K1023" s="26" t="s">
        <v>11</v>
      </c>
      <c r="L1023" s="172">
        <v>4</v>
      </c>
      <c r="M1023" s="6">
        <v>4</v>
      </c>
      <c r="N1023" s="6"/>
      <c r="O1023" s="6">
        <v>3</v>
      </c>
      <c r="P1023" s="6"/>
      <c r="Q1023" s="7">
        <v>7</v>
      </c>
      <c r="R1023" s="6"/>
      <c r="S1023" s="1">
        <v>0</v>
      </c>
      <c r="U1023" s="1">
        <v>0</v>
      </c>
      <c r="W1023" s="1" t="str">
        <f t="shared" si="15"/>
        <v>No</v>
      </c>
    </row>
    <row r="1024" spans="1:23" s="1" customFormat="1" ht="11.25">
      <c r="A1024" s="2" t="s">
        <v>480</v>
      </c>
      <c r="B1024" s="21" t="s">
        <v>481</v>
      </c>
      <c r="C1024" s="26" t="s">
        <v>2</v>
      </c>
      <c r="D1024" s="163" t="s">
        <v>482</v>
      </c>
      <c r="E1024" s="166">
        <v>135</v>
      </c>
      <c r="F1024" s="92" t="s">
        <v>397</v>
      </c>
      <c r="G1024" s="20" t="s">
        <v>1490</v>
      </c>
      <c r="H1024" s="18">
        <v>0</v>
      </c>
      <c r="I1024" s="18">
        <v>4</v>
      </c>
      <c r="J1024" s="4" t="s">
        <v>12</v>
      </c>
      <c r="K1024" s="26" t="s">
        <v>11</v>
      </c>
      <c r="L1024" s="172">
        <v>3</v>
      </c>
      <c r="M1024" s="6">
        <v>0</v>
      </c>
      <c r="N1024" s="6"/>
      <c r="O1024" s="6">
        <v>0</v>
      </c>
      <c r="P1024" s="6"/>
      <c r="Q1024" s="7">
        <v>0</v>
      </c>
      <c r="R1024" s="6"/>
      <c r="S1024" s="1">
        <v>0</v>
      </c>
      <c r="U1024" s="1">
        <v>0</v>
      </c>
      <c r="W1024" s="1" t="str">
        <f t="shared" si="15"/>
        <v>No</v>
      </c>
    </row>
    <row r="1025" spans="1:23" s="1" customFormat="1" ht="11.25">
      <c r="A1025" s="2" t="s">
        <v>346</v>
      </c>
      <c r="B1025" s="21" t="s">
        <v>192</v>
      </c>
      <c r="C1025" s="26" t="s">
        <v>69</v>
      </c>
      <c r="D1025" s="163">
        <v>2187</v>
      </c>
      <c r="E1025" s="166">
        <v>20187</v>
      </c>
      <c r="F1025" s="92" t="s">
        <v>152</v>
      </c>
      <c r="G1025" s="20" t="s">
        <v>1490</v>
      </c>
      <c r="H1025" s="18">
        <v>423566</v>
      </c>
      <c r="I1025" s="18">
        <v>4</v>
      </c>
      <c r="J1025" s="4" t="s">
        <v>12</v>
      </c>
      <c r="K1025" s="26" t="s">
        <v>11</v>
      </c>
      <c r="L1025" s="172">
        <v>4</v>
      </c>
      <c r="M1025" s="6">
        <v>0</v>
      </c>
      <c r="N1025" s="6"/>
      <c r="O1025" s="6">
        <v>0</v>
      </c>
      <c r="P1025" s="6"/>
      <c r="Q1025" s="7">
        <v>0</v>
      </c>
      <c r="R1025" s="6"/>
      <c r="S1025" s="1">
        <v>0</v>
      </c>
      <c r="U1025" s="1">
        <v>0</v>
      </c>
      <c r="W1025" s="1" t="str">
        <f t="shared" si="15"/>
        <v>No</v>
      </c>
    </row>
    <row r="1026" spans="1:23" s="1" customFormat="1" ht="11.25">
      <c r="A1026" s="2" t="s">
        <v>675</v>
      </c>
      <c r="B1026" s="21" t="s">
        <v>291</v>
      </c>
      <c r="C1026" s="26" t="s">
        <v>50</v>
      </c>
      <c r="D1026" s="163">
        <v>1088</v>
      </c>
      <c r="E1026" s="166">
        <v>10088</v>
      </c>
      <c r="F1026" s="92" t="s">
        <v>160</v>
      </c>
      <c r="G1026" s="20" t="s">
        <v>149</v>
      </c>
      <c r="H1026" s="18">
        <v>203914</v>
      </c>
      <c r="I1026" s="18">
        <v>4</v>
      </c>
      <c r="J1026" s="4" t="s">
        <v>22</v>
      </c>
      <c r="K1026" s="26" t="s">
        <v>11</v>
      </c>
      <c r="L1026" s="172">
        <v>4</v>
      </c>
      <c r="M1026" s="6">
        <v>1</v>
      </c>
      <c r="N1026" s="6"/>
      <c r="O1026" s="6">
        <v>0</v>
      </c>
      <c r="P1026" s="6"/>
      <c r="Q1026" s="7">
        <v>1</v>
      </c>
      <c r="R1026" s="6"/>
      <c r="S1026" s="1">
        <v>0</v>
      </c>
      <c r="U1026" s="1">
        <v>0</v>
      </c>
      <c r="W1026" s="1" t="str">
        <f t="shared" ref="W1026:W1089" si="16">IF(V1026&amp;T1026&amp;R1026&amp;P1026&amp;N1026&lt;&gt;"","Yes","No")</f>
        <v>No</v>
      </c>
    </row>
    <row r="1027" spans="1:23" s="1" customFormat="1" ht="11.25">
      <c r="A1027" s="2" t="s">
        <v>1781</v>
      </c>
      <c r="B1027" s="21" t="s">
        <v>1713</v>
      </c>
      <c r="C1027" s="26" t="s">
        <v>19</v>
      </c>
      <c r="D1027" s="163"/>
      <c r="E1027" s="166">
        <v>90276</v>
      </c>
      <c r="F1027" s="92" t="s">
        <v>152</v>
      </c>
      <c r="G1027" s="20" t="s">
        <v>1490</v>
      </c>
      <c r="H1027" s="18">
        <v>12150996</v>
      </c>
      <c r="I1027" s="18">
        <v>4</v>
      </c>
      <c r="J1027" s="4" t="s">
        <v>12</v>
      </c>
      <c r="K1027" s="26" t="s">
        <v>15</v>
      </c>
      <c r="L1027" s="172">
        <v>4</v>
      </c>
      <c r="M1027" s="6">
        <v>1</v>
      </c>
      <c r="N1027" s="6"/>
      <c r="O1027" s="6">
        <v>0</v>
      </c>
      <c r="P1027" s="6"/>
      <c r="Q1027" s="7">
        <v>1</v>
      </c>
      <c r="R1027" s="6"/>
      <c r="S1027" s="1">
        <v>0</v>
      </c>
      <c r="U1027" s="1">
        <v>0</v>
      </c>
      <c r="W1027" s="1" t="str">
        <f t="shared" si="16"/>
        <v>No</v>
      </c>
    </row>
    <row r="1028" spans="1:23" s="1" customFormat="1" ht="11.25">
      <c r="A1028" s="2" t="s">
        <v>1880</v>
      </c>
      <c r="B1028" s="21" t="s">
        <v>526</v>
      </c>
      <c r="C1028" s="26" t="s">
        <v>54</v>
      </c>
      <c r="D1028" s="163"/>
      <c r="E1028" s="166">
        <v>70271</v>
      </c>
      <c r="F1028" s="92" t="s">
        <v>152</v>
      </c>
      <c r="G1028" s="20" t="s">
        <v>149</v>
      </c>
      <c r="H1028" s="18">
        <v>1519417</v>
      </c>
      <c r="I1028" s="18">
        <v>4</v>
      </c>
      <c r="J1028" s="4" t="s">
        <v>33</v>
      </c>
      <c r="K1028" s="26" t="s">
        <v>15</v>
      </c>
      <c r="L1028" s="172">
        <v>4</v>
      </c>
      <c r="M1028" s="6">
        <v>0</v>
      </c>
      <c r="N1028" s="6"/>
      <c r="O1028" s="6">
        <v>0</v>
      </c>
      <c r="P1028" s="6"/>
      <c r="Q1028" s="7">
        <v>0</v>
      </c>
      <c r="R1028" s="6"/>
      <c r="S1028" s="1">
        <v>0</v>
      </c>
      <c r="U1028" s="1">
        <v>0</v>
      </c>
      <c r="W1028" s="1" t="str">
        <f t="shared" si="16"/>
        <v>No</v>
      </c>
    </row>
    <row r="1029" spans="1:23" s="1" customFormat="1" ht="11.25">
      <c r="A1029" s="2" t="s">
        <v>1775</v>
      </c>
      <c r="B1029" s="21" t="s">
        <v>1776</v>
      </c>
      <c r="C1029" s="26" t="s">
        <v>19</v>
      </c>
      <c r="D1029" s="163"/>
      <c r="E1029" s="166">
        <v>90284</v>
      </c>
      <c r="F1029" s="92" t="s">
        <v>152</v>
      </c>
      <c r="G1029" s="20" t="s">
        <v>1490</v>
      </c>
      <c r="H1029" s="18">
        <v>12150996</v>
      </c>
      <c r="I1029" s="18">
        <v>4</v>
      </c>
      <c r="J1029" s="4" t="s">
        <v>12</v>
      </c>
      <c r="K1029" s="26" t="s">
        <v>15</v>
      </c>
      <c r="L1029" s="172">
        <v>2</v>
      </c>
      <c r="M1029" s="6">
        <v>0</v>
      </c>
      <c r="N1029" s="6"/>
      <c r="O1029" s="6">
        <v>0</v>
      </c>
      <c r="P1029" s="6"/>
      <c r="Q1029" s="7">
        <v>0</v>
      </c>
      <c r="R1029" s="6"/>
      <c r="S1029" s="1">
        <v>0</v>
      </c>
      <c r="U1029" s="1">
        <v>0</v>
      </c>
      <c r="W1029" s="1" t="str">
        <f t="shared" si="16"/>
        <v>No</v>
      </c>
    </row>
    <row r="1030" spans="1:23" s="1" customFormat="1" ht="11.25">
      <c r="A1030" s="2" t="s">
        <v>930</v>
      </c>
      <c r="B1030" s="21" t="s">
        <v>931</v>
      </c>
      <c r="C1030" s="26" t="s">
        <v>92</v>
      </c>
      <c r="D1030" s="163" t="s">
        <v>932</v>
      </c>
      <c r="E1030" s="166">
        <v>55300</v>
      </c>
      <c r="F1030" s="92" t="s">
        <v>397</v>
      </c>
      <c r="G1030" s="20" t="s">
        <v>1490</v>
      </c>
      <c r="H1030" s="18">
        <v>0</v>
      </c>
      <c r="I1030" s="18">
        <v>3</v>
      </c>
      <c r="J1030" s="4" t="s">
        <v>12</v>
      </c>
      <c r="K1030" s="26" t="s">
        <v>15</v>
      </c>
      <c r="L1030" s="172">
        <v>1</v>
      </c>
      <c r="M1030" s="6">
        <v>0</v>
      </c>
      <c r="N1030" s="6"/>
      <c r="O1030" s="6">
        <v>0</v>
      </c>
      <c r="P1030" s="6"/>
      <c r="Q1030" s="7">
        <v>0</v>
      </c>
      <c r="R1030" s="6"/>
      <c r="S1030" s="1">
        <v>0</v>
      </c>
      <c r="U1030" s="1">
        <v>0</v>
      </c>
      <c r="W1030" s="1" t="str">
        <f t="shared" si="16"/>
        <v>No</v>
      </c>
    </row>
    <row r="1031" spans="1:23" s="1" customFormat="1" ht="11.25">
      <c r="A1031" s="2" t="s">
        <v>1628</v>
      </c>
      <c r="B1031" s="21" t="s">
        <v>272</v>
      </c>
      <c r="C1031" s="26" t="s">
        <v>45</v>
      </c>
      <c r="D1031" s="163">
        <v>1159</v>
      </c>
      <c r="E1031" s="166">
        <v>10181</v>
      </c>
      <c r="F1031" s="92" t="s">
        <v>152</v>
      </c>
      <c r="G1031" s="20" t="s">
        <v>1490</v>
      </c>
      <c r="H1031" s="18">
        <v>4181019</v>
      </c>
      <c r="I1031" s="18">
        <v>3</v>
      </c>
      <c r="J1031" s="4" t="s">
        <v>12</v>
      </c>
      <c r="K1031" s="26" t="s">
        <v>15</v>
      </c>
      <c r="L1031" s="172">
        <v>3</v>
      </c>
      <c r="M1031" s="6">
        <v>0</v>
      </c>
      <c r="N1031" s="6"/>
      <c r="O1031" s="6">
        <v>0</v>
      </c>
      <c r="P1031" s="6"/>
      <c r="Q1031" s="7">
        <v>0</v>
      </c>
      <c r="R1031" s="6"/>
      <c r="S1031" s="1">
        <v>0</v>
      </c>
      <c r="U1031" s="1">
        <v>0</v>
      </c>
      <c r="W1031" s="1" t="str">
        <f t="shared" si="16"/>
        <v>No</v>
      </c>
    </row>
    <row r="1032" spans="1:23" s="1" customFormat="1" ht="11.25">
      <c r="A1032" s="2" t="s">
        <v>413</v>
      </c>
      <c r="B1032" s="21" t="s">
        <v>414</v>
      </c>
      <c r="C1032" s="26" t="s">
        <v>56</v>
      </c>
      <c r="D1032" s="163" t="s">
        <v>415</v>
      </c>
      <c r="E1032" s="166">
        <v>88116</v>
      </c>
      <c r="F1032" s="92" t="s">
        <v>397</v>
      </c>
      <c r="G1032" s="20" t="s">
        <v>1490</v>
      </c>
      <c r="H1032" s="18">
        <v>0</v>
      </c>
      <c r="I1032" s="18">
        <v>3</v>
      </c>
      <c r="J1032" s="4" t="s">
        <v>12</v>
      </c>
      <c r="K1032" s="26" t="s">
        <v>11</v>
      </c>
      <c r="L1032" s="172">
        <v>2</v>
      </c>
      <c r="M1032" s="6">
        <v>0</v>
      </c>
      <c r="N1032" s="6"/>
      <c r="O1032" s="6">
        <v>0</v>
      </c>
      <c r="P1032" s="6"/>
      <c r="Q1032" s="7">
        <v>0</v>
      </c>
      <c r="R1032" s="6"/>
      <c r="S1032" s="1">
        <v>0</v>
      </c>
      <c r="U1032" s="1">
        <v>0</v>
      </c>
      <c r="W1032" s="1" t="str">
        <f t="shared" si="16"/>
        <v>No</v>
      </c>
    </row>
    <row r="1033" spans="1:23" s="1" customFormat="1" ht="11.25">
      <c r="A1033" s="2" t="s">
        <v>887</v>
      </c>
      <c r="B1033" s="21" t="s">
        <v>230</v>
      </c>
      <c r="C1033" s="26" t="s">
        <v>84</v>
      </c>
      <c r="D1033" s="163">
        <v>6133</v>
      </c>
      <c r="E1033" s="166">
        <v>60133</v>
      </c>
      <c r="F1033" s="92" t="s">
        <v>197</v>
      </c>
      <c r="G1033" s="20" t="s">
        <v>149</v>
      </c>
      <c r="H1033" s="18">
        <v>5121892</v>
      </c>
      <c r="I1033" s="18">
        <v>3</v>
      </c>
      <c r="J1033" s="4" t="s">
        <v>33</v>
      </c>
      <c r="K1033" s="26" t="s">
        <v>11</v>
      </c>
      <c r="L1033" s="172">
        <v>3</v>
      </c>
      <c r="M1033" s="6">
        <v>0</v>
      </c>
      <c r="N1033" s="6"/>
      <c r="O1033" s="6">
        <v>0</v>
      </c>
      <c r="P1033" s="6"/>
      <c r="Q1033" s="7">
        <v>0</v>
      </c>
      <c r="R1033" s="6"/>
      <c r="S1033" s="1">
        <v>0</v>
      </c>
      <c r="U1033" s="1">
        <v>0</v>
      </c>
      <c r="W1033" s="1" t="str">
        <f t="shared" si="16"/>
        <v>No</v>
      </c>
    </row>
    <row r="1034" spans="1:23" s="1" customFormat="1" ht="11.25">
      <c r="A1034" s="2" t="s">
        <v>782</v>
      </c>
      <c r="B1034" s="21" t="s">
        <v>783</v>
      </c>
      <c r="C1034" s="26" t="s">
        <v>85</v>
      </c>
      <c r="D1034" s="163" t="s">
        <v>784</v>
      </c>
      <c r="E1034" s="166">
        <v>88200</v>
      </c>
      <c r="F1034" s="92" t="s">
        <v>397</v>
      </c>
      <c r="G1034" s="20" t="s">
        <v>1490</v>
      </c>
      <c r="H1034" s="18">
        <v>0</v>
      </c>
      <c r="I1034" s="18">
        <v>3</v>
      </c>
      <c r="J1034" s="4" t="s">
        <v>12</v>
      </c>
      <c r="K1034" s="26" t="s">
        <v>11</v>
      </c>
      <c r="L1034" s="172">
        <v>3</v>
      </c>
      <c r="M1034" s="6">
        <v>0</v>
      </c>
      <c r="N1034" s="6"/>
      <c r="O1034" s="6">
        <v>0</v>
      </c>
      <c r="P1034" s="6"/>
      <c r="Q1034" s="7">
        <v>0</v>
      </c>
      <c r="R1034" s="6"/>
      <c r="S1034" s="1">
        <v>0</v>
      </c>
      <c r="U1034" s="1">
        <v>0</v>
      </c>
      <c r="W1034" s="1" t="str">
        <f t="shared" si="16"/>
        <v>No</v>
      </c>
    </row>
    <row r="1035" spans="1:23" s="1" customFormat="1" ht="11.25">
      <c r="A1035" s="2" t="s">
        <v>1787</v>
      </c>
      <c r="B1035" s="21" t="s">
        <v>1788</v>
      </c>
      <c r="C1035" s="26" t="s">
        <v>67</v>
      </c>
      <c r="D1035" s="163" t="s">
        <v>1789</v>
      </c>
      <c r="E1035" s="166">
        <v>66242</v>
      </c>
      <c r="F1035" s="92" t="s">
        <v>397</v>
      </c>
      <c r="G1035" s="20" t="s">
        <v>1490</v>
      </c>
      <c r="H1035" s="18">
        <v>0</v>
      </c>
      <c r="I1035" s="18">
        <v>3</v>
      </c>
      <c r="J1035" s="4" t="s">
        <v>12</v>
      </c>
      <c r="K1035" s="26" t="s">
        <v>11</v>
      </c>
      <c r="L1035" s="172">
        <v>3</v>
      </c>
      <c r="M1035" s="6">
        <v>0</v>
      </c>
      <c r="N1035" s="6"/>
      <c r="O1035" s="6">
        <v>0</v>
      </c>
      <c r="P1035" s="6"/>
      <c r="Q1035" s="7">
        <v>0</v>
      </c>
      <c r="R1035" s="6"/>
      <c r="S1035" s="1">
        <v>0</v>
      </c>
      <c r="U1035" s="1">
        <v>0</v>
      </c>
      <c r="W1035" s="1" t="str">
        <f t="shared" si="16"/>
        <v>No</v>
      </c>
    </row>
    <row r="1036" spans="1:23" s="1" customFormat="1" ht="11.25">
      <c r="A1036" s="2" t="s">
        <v>909</v>
      </c>
      <c r="B1036" s="21" t="s">
        <v>300</v>
      </c>
      <c r="C1036" s="26" t="s">
        <v>57</v>
      </c>
      <c r="D1036" s="163">
        <v>4233</v>
      </c>
      <c r="E1036" s="166">
        <v>40233</v>
      </c>
      <c r="F1036" s="92" t="s">
        <v>152</v>
      </c>
      <c r="G1036" s="20" t="s">
        <v>1490</v>
      </c>
      <c r="H1036" s="18">
        <v>214881</v>
      </c>
      <c r="I1036" s="18">
        <v>3</v>
      </c>
      <c r="J1036" s="4" t="s">
        <v>12</v>
      </c>
      <c r="K1036" s="26" t="s">
        <v>11</v>
      </c>
      <c r="L1036" s="172">
        <v>3</v>
      </c>
      <c r="M1036" s="6">
        <v>0</v>
      </c>
      <c r="N1036" s="6"/>
      <c r="O1036" s="6">
        <v>0</v>
      </c>
      <c r="P1036" s="6"/>
      <c r="Q1036" s="7">
        <v>0</v>
      </c>
      <c r="R1036" s="6"/>
      <c r="S1036" s="1">
        <v>0</v>
      </c>
      <c r="U1036" s="1">
        <v>0</v>
      </c>
      <c r="W1036" s="1" t="str">
        <f t="shared" si="16"/>
        <v>No</v>
      </c>
    </row>
    <row r="1037" spans="1:23" s="1" customFormat="1" ht="11.25">
      <c r="A1037" s="2" t="s">
        <v>554</v>
      </c>
      <c r="B1037" s="21" t="s">
        <v>555</v>
      </c>
      <c r="C1037" s="26" t="s">
        <v>35</v>
      </c>
      <c r="D1037" s="163">
        <v>4193</v>
      </c>
      <c r="E1037" s="166">
        <v>40193</v>
      </c>
      <c r="F1037" s="92" t="s">
        <v>152</v>
      </c>
      <c r="G1037" s="20" t="s">
        <v>1490</v>
      </c>
      <c r="H1037" s="18">
        <v>51456</v>
      </c>
      <c r="I1037" s="18">
        <v>3</v>
      </c>
      <c r="J1037" s="4" t="s">
        <v>12</v>
      </c>
      <c r="K1037" s="26" t="s">
        <v>15</v>
      </c>
      <c r="L1037" s="172">
        <v>3</v>
      </c>
      <c r="M1037" s="6">
        <v>0</v>
      </c>
      <c r="N1037" s="6"/>
      <c r="O1037" s="6">
        <v>0</v>
      </c>
      <c r="P1037" s="6"/>
      <c r="Q1037" s="7">
        <v>0</v>
      </c>
      <c r="R1037" s="6"/>
      <c r="S1037" s="1">
        <v>0</v>
      </c>
      <c r="U1037" s="1">
        <v>0</v>
      </c>
      <c r="W1037" s="1" t="str">
        <f t="shared" si="16"/>
        <v>No</v>
      </c>
    </row>
    <row r="1038" spans="1:23" s="1" customFormat="1" ht="11.25">
      <c r="A1038" s="2" t="s">
        <v>1643</v>
      </c>
      <c r="B1038" s="21" t="s">
        <v>324</v>
      </c>
      <c r="C1038" s="26" t="s">
        <v>35</v>
      </c>
      <c r="D1038" s="163">
        <v>4230</v>
      </c>
      <c r="E1038" s="166">
        <v>40230</v>
      </c>
      <c r="F1038" s="92" t="s">
        <v>152</v>
      </c>
      <c r="G1038" s="20" t="s">
        <v>149</v>
      </c>
      <c r="H1038" s="18">
        <v>4515419</v>
      </c>
      <c r="I1038" s="18">
        <v>3</v>
      </c>
      <c r="J1038" s="4" t="s">
        <v>33</v>
      </c>
      <c r="K1038" s="26" t="s">
        <v>11</v>
      </c>
      <c r="L1038" s="172">
        <v>3</v>
      </c>
      <c r="M1038" s="6">
        <v>0</v>
      </c>
      <c r="N1038" s="6"/>
      <c r="O1038" s="6">
        <v>0</v>
      </c>
      <c r="P1038" s="6"/>
      <c r="Q1038" s="7">
        <v>0</v>
      </c>
      <c r="R1038" s="6"/>
      <c r="S1038" s="1">
        <v>0</v>
      </c>
      <c r="U1038" s="1">
        <v>0</v>
      </c>
      <c r="W1038" s="1" t="str">
        <f t="shared" si="16"/>
        <v>No</v>
      </c>
    </row>
    <row r="1039" spans="1:23" s="1" customFormat="1" ht="11.25">
      <c r="A1039" s="2" t="s">
        <v>407</v>
      </c>
      <c r="B1039" s="21" t="s">
        <v>408</v>
      </c>
      <c r="C1039" s="26" t="s">
        <v>88</v>
      </c>
      <c r="D1039" s="163" t="s">
        <v>409</v>
      </c>
      <c r="E1039" s="166">
        <v>95</v>
      </c>
      <c r="F1039" s="92" t="s">
        <v>397</v>
      </c>
      <c r="G1039" s="20" t="s">
        <v>1490</v>
      </c>
      <c r="H1039" s="18">
        <v>0</v>
      </c>
      <c r="I1039" s="18">
        <v>3</v>
      </c>
      <c r="J1039" s="4" t="s">
        <v>12</v>
      </c>
      <c r="K1039" s="26" t="s">
        <v>11</v>
      </c>
      <c r="L1039" s="172">
        <v>3</v>
      </c>
      <c r="M1039" s="6">
        <v>0</v>
      </c>
      <c r="N1039" s="6"/>
      <c r="O1039" s="6">
        <v>0</v>
      </c>
      <c r="P1039" s="6"/>
      <c r="Q1039" s="7">
        <v>0</v>
      </c>
      <c r="R1039" s="6"/>
      <c r="S1039" s="1">
        <v>0</v>
      </c>
      <c r="U1039" s="1">
        <v>0</v>
      </c>
      <c r="W1039" s="1" t="str">
        <f t="shared" si="16"/>
        <v>No</v>
      </c>
    </row>
    <row r="1040" spans="1:23" s="1" customFormat="1" ht="11.25">
      <c r="A1040" s="2" t="s">
        <v>1627</v>
      </c>
      <c r="B1040" s="21" t="s">
        <v>267</v>
      </c>
      <c r="C1040" s="26" t="s">
        <v>45</v>
      </c>
      <c r="D1040" s="163">
        <v>1158</v>
      </c>
      <c r="E1040" s="166">
        <v>10180</v>
      </c>
      <c r="F1040" s="92" t="s">
        <v>152</v>
      </c>
      <c r="G1040" s="20" t="s">
        <v>1490</v>
      </c>
      <c r="H1040" s="18">
        <v>4181019</v>
      </c>
      <c r="I1040" s="18">
        <v>3</v>
      </c>
      <c r="J1040" s="4" t="s">
        <v>12</v>
      </c>
      <c r="K1040" s="26" t="s">
        <v>15</v>
      </c>
      <c r="L1040" s="172">
        <v>3</v>
      </c>
      <c r="M1040" s="6">
        <v>0</v>
      </c>
      <c r="N1040" s="6"/>
      <c r="O1040" s="6">
        <v>0</v>
      </c>
      <c r="P1040" s="6"/>
      <c r="Q1040" s="7">
        <v>0</v>
      </c>
      <c r="R1040" s="6"/>
      <c r="S1040" s="1">
        <v>0</v>
      </c>
      <c r="U1040" s="1">
        <v>0</v>
      </c>
      <c r="W1040" s="1" t="str">
        <f t="shared" si="16"/>
        <v>No</v>
      </c>
    </row>
    <row r="1041" spans="1:23" s="1" customFormat="1" ht="11.25">
      <c r="A1041" s="2" t="s">
        <v>425</v>
      </c>
      <c r="B1041" s="21" t="s">
        <v>358</v>
      </c>
      <c r="C1041" s="26" t="s">
        <v>88</v>
      </c>
      <c r="D1041" s="163" t="s">
        <v>426</v>
      </c>
      <c r="E1041" s="166">
        <v>103</v>
      </c>
      <c r="F1041" s="92" t="s">
        <v>397</v>
      </c>
      <c r="G1041" s="20" t="s">
        <v>1490</v>
      </c>
      <c r="H1041" s="18">
        <v>0</v>
      </c>
      <c r="I1041" s="18">
        <v>3</v>
      </c>
      <c r="J1041" s="4" t="s">
        <v>12</v>
      </c>
      <c r="K1041" s="26" t="s">
        <v>11</v>
      </c>
      <c r="L1041" s="172">
        <v>3</v>
      </c>
      <c r="M1041" s="6">
        <v>0</v>
      </c>
      <c r="N1041" s="6"/>
      <c r="O1041" s="6">
        <v>0</v>
      </c>
      <c r="P1041" s="6"/>
      <c r="Q1041" s="7">
        <v>0</v>
      </c>
      <c r="R1041" s="6"/>
      <c r="S1041" s="1">
        <v>0</v>
      </c>
      <c r="U1041" s="1">
        <v>0</v>
      </c>
      <c r="W1041" s="1" t="str">
        <f t="shared" si="16"/>
        <v>No</v>
      </c>
    </row>
    <row r="1042" spans="1:23" s="1" customFormat="1" ht="11.25">
      <c r="A1042" s="2" t="s">
        <v>694</v>
      </c>
      <c r="B1042" s="21" t="s">
        <v>320</v>
      </c>
      <c r="C1042" s="26" t="s">
        <v>68</v>
      </c>
      <c r="D1042" s="163" t="s">
        <v>695</v>
      </c>
      <c r="E1042" s="166">
        <v>90011</v>
      </c>
      <c r="F1042" s="92" t="s">
        <v>397</v>
      </c>
      <c r="G1042" s="20" t="s">
        <v>1490</v>
      </c>
      <c r="H1042" s="18">
        <v>0</v>
      </c>
      <c r="I1042" s="18">
        <v>3</v>
      </c>
      <c r="J1042" s="4" t="s">
        <v>12</v>
      </c>
      <c r="K1042" s="26" t="s">
        <v>11</v>
      </c>
      <c r="L1042" s="172">
        <v>2</v>
      </c>
      <c r="M1042" s="6">
        <v>0</v>
      </c>
      <c r="N1042" s="6"/>
      <c r="O1042" s="6">
        <v>0</v>
      </c>
      <c r="P1042" s="6"/>
      <c r="Q1042" s="7">
        <v>0</v>
      </c>
      <c r="R1042" s="6"/>
      <c r="S1042" s="1">
        <v>0</v>
      </c>
      <c r="U1042" s="1">
        <v>0</v>
      </c>
      <c r="W1042" s="1" t="str">
        <f t="shared" si="16"/>
        <v>No</v>
      </c>
    </row>
    <row r="1043" spans="1:23" s="1" customFormat="1" ht="11.25">
      <c r="A1043" s="2" t="s">
        <v>487</v>
      </c>
      <c r="B1043" s="21" t="s">
        <v>488</v>
      </c>
      <c r="C1043" s="26" t="s">
        <v>58</v>
      </c>
      <c r="D1043" s="163" t="s">
        <v>489</v>
      </c>
      <c r="E1043" s="166">
        <v>88146</v>
      </c>
      <c r="F1043" s="92" t="s">
        <v>397</v>
      </c>
      <c r="G1043" s="20" t="s">
        <v>1490</v>
      </c>
      <c r="H1043" s="18">
        <v>0</v>
      </c>
      <c r="I1043" s="18">
        <v>3</v>
      </c>
      <c r="J1043" s="4" t="s">
        <v>12</v>
      </c>
      <c r="K1043" s="26" t="s">
        <v>11</v>
      </c>
      <c r="L1043" s="172">
        <v>3</v>
      </c>
      <c r="M1043" s="6">
        <v>0</v>
      </c>
      <c r="N1043" s="6"/>
      <c r="O1043" s="6">
        <v>0</v>
      </c>
      <c r="P1043" s="6"/>
      <c r="Q1043" s="7">
        <v>0</v>
      </c>
      <c r="R1043" s="6"/>
      <c r="S1043" s="1">
        <v>0</v>
      </c>
      <c r="U1043" s="1">
        <v>0</v>
      </c>
      <c r="W1043" s="1" t="str">
        <f t="shared" si="16"/>
        <v>No</v>
      </c>
    </row>
    <row r="1044" spans="1:23" s="1" customFormat="1" ht="11.25">
      <c r="A1044" s="2" t="s">
        <v>691</v>
      </c>
      <c r="B1044" s="21" t="s">
        <v>692</v>
      </c>
      <c r="C1044" s="26" t="s">
        <v>82</v>
      </c>
      <c r="D1044" s="163" t="s">
        <v>693</v>
      </c>
      <c r="E1044" s="166">
        <v>88194</v>
      </c>
      <c r="F1044" s="92" t="s">
        <v>397</v>
      </c>
      <c r="G1044" s="20" t="s">
        <v>1490</v>
      </c>
      <c r="H1044" s="18">
        <v>0</v>
      </c>
      <c r="I1044" s="18">
        <v>3</v>
      </c>
      <c r="J1044" s="4" t="s">
        <v>12</v>
      </c>
      <c r="K1044" s="26" t="s">
        <v>11</v>
      </c>
      <c r="L1044" s="172">
        <v>2</v>
      </c>
      <c r="M1044" s="6">
        <v>0</v>
      </c>
      <c r="N1044" s="6"/>
      <c r="O1044" s="6">
        <v>0</v>
      </c>
      <c r="P1044" s="6"/>
      <c r="Q1044" s="7">
        <v>0</v>
      </c>
      <c r="R1044" s="6"/>
      <c r="S1044" s="1">
        <v>0</v>
      </c>
      <c r="U1044" s="1">
        <v>0</v>
      </c>
      <c r="W1044" s="1" t="str">
        <f t="shared" si="16"/>
        <v>No</v>
      </c>
    </row>
    <row r="1045" spans="1:23" s="1" customFormat="1" ht="11.25">
      <c r="A1045" s="2" t="s">
        <v>1785</v>
      </c>
      <c r="B1045" s="21" t="s">
        <v>1786</v>
      </c>
      <c r="C1045" s="26" t="s">
        <v>32</v>
      </c>
      <c r="D1045" s="163"/>
      <c r="E1045" s="166">
        <v>40255</v>
      </c>
      <c r="F1045" s="92" t="s">
        <v>152</v>
      </c>
      <c r="G1045" s="20" t="s">
        <v>1490</v>
      </c>
      <c r="H1045" s="18">
        <v>5502379</v>
      </c>
      <c r="I1045" s="18">
        <v>3</v>
      </c>
      <c r="J1045" s="4" t="s">
        <v>12</v>
      </c>
      <c r="K1045" s="26" t="s">
        <v>15</v>
      </c>
      <c r="L1045" s="172">
        <v>3</v>
      </c>
      <c r="M1045" s="6">
        <v>0</v>
      </c>
      <c r="N1045" s="6"/>
      <c r="O1045" s="6">
        <v>0</v>
      </c>
      <c r="P1045" s="6"/>
      <c r="Q1045" s="7">
        <v>0</v>
      </c>
      <c r="R1045" s="6"/>
      <c r="S1045" s="1">
        <v>0</v>
      </c>
      <c r="U1045" s="1">
        <v>0</v>
      </c>
      <c r="W1045" s="1" t="str">
        <f t="shared" si="16"/>
        <v>No</v>
      </c>
    </row>
    <row r="1046" spans="1:23" s="1" customFormat="1" ht="11.25">
      <c r="A1046" s="2" t="s">
        <v>422</v>
      </c>
      <c r="B1046" s="21" t="s">
        <v>423</v>
      </c>
      <c r="C1046" s="26" t="s">
        <v>9</v>
      </c>
      <c r="D1046" s="163" t="s">
        <v>424</v>
      </c>
      <c r="E1046" s="166">
        <v>14</v>
      </c>
      <c r="F1046" s="92" t="s">
        <v>397</v>
      </c>
      <c r="G1046" s="20" t="s">
        <v>1490</v>
      </c>
      <c r="H1046" s="18">
        <v>0</v>
      </c>
      <c r="I1046" s="18">
        <v>3</v>
      </c>
      <c r="J1046" s="4" t="s">
        <v>12</v>
      </c>
      <c r="K1046" s="26" t="s">
        <v>11</v>
      </c>
      <c r="L1046" s="172">
        <v>3</v>
      </c>
      <c r="M1046" s="6">
        <v>0</v>
      </c>
      <c r="N1046" s="6"/>
      <c r="O1046" s="6">
        <v>0</v>
      </c>
      <c r="P1046" s="6"/>
      <c r="Q1046" s="7">
        <v>0</v>
      </c>
      <c r="R1046" s="6"/>
      <c r="S1046" s="1">
        <v>0</v>
      </c>
      <c r="U1046" s="1">
        <v>0</v>
      </c>
      <c r="W1046" s="1" t="str">
        <f t="shared" si="16"/>
        <v>No</v>
      </c>
    </row>
    <row r="1047" spans="1:23" s="1" customFormat="1" ht="11.25">
      <c r="A1047" s="2" t="s">
        <v>1795</v>
      </c>
      <c r="B1047" s="21" t="s">
        <v>1796</v>
      </c>
      <c r="C1047" s="26" t="s">
        <v>19</v>
      </c>
      <c r="D1047" s="163">
        <v>9227</v>
      </c>
      <c r="E1047" s="166">
        <v>90227</v>
      </c>
      <c r="F1047" s="92" t="s">
        <v>152</v>
      </c>
      <c r="G1047" s="20" t="s">
        <v>1490</v>
      </c>
      <c r="H1047" s="18">
        <v>214811</v>
      </c>
      <c r="I1047" s="18">
        <v>2</v>
      </c>
      <c r="J1047" s="4" t="s">
        <v>12</v>
      </c>
      <c r="K1047" s="26" t="s">
        <v>15</v>
      </c>
      <c r="L1047" s="172">
        <v>2</v>
      </c>
      <c r="M1047" s="6">
        <v>0</v>
      </c>
      <c r="N1047" s="6"/>
      <c r="O1047" s="6">
        <v>0</v>
      </c>
      <c r="P1047" s="6"/>
      <c r="Q1047" s="7">
        <v>0</v>
      </c>
      <c r="R1047" s="6"/>
      <c r="S1047" s="1">
        <v>0</v>
      </c>
      <c r="U1047" s="1">
        <v>0</v>
      </c>
      <c r="W1047" s="1" t="str">
        <f t="shared" si="16"/>
        <v>No</v>
      </c>
    </row>
    <row r="1048" spans="1:23" s="1" customFormat="1" ht="11.25">
      <c r="A1048" s="2" t="s">
        <v>1805</v>
      </c>
      <c r="B1048" s="21" t="s">
        <v>1196</v>
      </c>
      <c r="C1048" s="26" t="s">
        <v>32</v>
      </c>
      <c r="D1048" s="163"/>
      <c r="E1048" s="166">
        <v>40258</v>
      </c>
      <c r="F1048" s="92" t="s">
        <v>197</v>
      </c>
      <c r="G1048" s="20" t="s">
        <v>149</v>
      </c>
      <c r="H1048" s="18">
        <v>2441770</v>
      </c>
      <c r="I1048" s="18">
        <v>2</v>
      </c>
      <c r="J1048" s="4" t="s">
        <v>12</v>
      </c>
      <c r="K1048" s="26" t="s">
        <v>11</v>
      </c>
      <c r="L1048" s="172">
        <v>2</v>
      </c>
      <c r="M1048" s="6">
        <v>0</v>
      </c>
      <c r="N1048" s="6"/>
      <c r="O1048" s="6">
        <v>0</v>
      </c>
      <c r="P1048" s="6"/>
      <c r="Q1048" s="7">
        <v>0</v>
      </c>
      <c r="R1048" s="6"/>
      <c r="S1048" s="1">
        <v>0</v>
      </c>
      <c r="U1048" s="1">
        <v>0</v>
      </c>
      <c r="W1048" s="1" t="str">
        <f t="shared" si="16"/>
        <v>No</v>
      </c>
    </row>
    <row r="1049" spans="1:23" s="1" customFormat="1" ht="11.25">
      <c r="A1049" s="2" t="s">
        <v>746</v>
      </c>
      <c r="B1049" s="21" t="s">
        <v>747</v>
      </c>
      <c r="C1049" s="26" t="s">
        <v>51</v>
      </c>
      <c r="D1049" s="163" t="s">
        <v>748</v>
      </c>
      <c r="E1049" s="166">
        <v>50007</v>
      </c>
      <c r="F1049" s="92" t="s">
        <v>397</v>
      </c>
      <c r="G1049" s="20" t="s">
        <v>1490</v>
      </c>
      <c r="H1049" s="18">
        <v>0</v>
      </c>
      <c r="I1049" s="18">
        <v>2</v>
      </c>
      <c r="J1049" s="4" t="s">
        <v>12</v>
      </c>
      <c r="K1049" s="26" t="s">
        <v>11</v>
      </c>
      <c r="L1049" s="172">
        <v>2</v>
      </c>
      <c r="M1049" s="6">
        <v>0</v>
      </c>
      <c r="N1049" s="6"/>
      <c r="O1049" s="6">
        <v>0</v>
      </c>
      <c r="P1049" s="6"/>
      <c r="Q1049" s="7">
        <v>0</v>
      </c>
      <c r="R1049" s="6"/>
      <c r="S1049" s="1">
        <v>0</v>
      </c>
      <c r="U1049" s="1">
        <v>0</v>
      </c>
      <c r="W1049" s="1" t="str">
        <f t="shared" si="16"/>
        <v>No</v>
      </c>
    </row>
    <row r="1050" spans="1:23" s="1" customFormat="1" ht="11.25">
      <c r="A1050" s="2" t="s">
        <v>1799</v>
      </c>
      <c r="B1050" s="21" t="s">
        <v>1713</v>
      </c>
      <c r="C1050" s="26" t="s">
        <v>19</v>
      </c>
      <c r="D1050" s="163"/>
      <c r="E1050" s="166">
        <v>90273</v>
      </c>
      <c r="F1050" s="92" t="s">
        <v>152</v>
      </c>
      <c r="G1050" s="20" t="s">
        <v>1490</v>
      </c>
      <c r="H1050" s="18">
        <v>12150996</v>
      </c>
      <c r="I1050" s="18">
        <v>2</v>
      </c>
      <c r="J1050" s="4" t="s">
        <v>12</v>
      </c>
      <c r="K1050" s="26" t="s">
        <v>15</v>
      </c>
      <c r="L1050" s="172">
        <v>2</v>
      </c>
      <c r="M1050" s="6">
        <v>0</v>
      </c>
      <c r="N1050" s="6"/>
      <c r="O1050" s="6">
        <v>0</v>
      </c>
      <c r="P1050" s="6"/>
      <c r="Q1050" s="7">
        <v>0</v>
      </c>
      <c r="R1050" s="6"/>
      <c r="S1050" s="1">
        <v>0</v>
      </c>
      <c r="U1050" s="1">
        <v>0</v>
      </c>
      <c r="W1050" s="1" t="str">
        <f t="shared" si="16"/>
        <v>No</v>
      </c>
    </row>
    <row r="1051" spans="1:23" s="1" customFormat="1" ht="11.25">
      <c r="A1051" s="2" t="s">
        <v>1802</v>
      </c>
      <c r="B1051" s="21" t="s">
        <v>1713</v>
      </c>
      <c r="C1051" s="26" t="s">
        <v>19</v>
      </c>
      <c r="D1051" s="163"/>
      <c r="E1051" s="166">
        <v>90278</v>
      </c>
      <c r="F1051" s="92" t="s">
        <v>152</v>
      </c>
      <c r="G1051" s="20" t="s">
        <v>1490</v>
      </c>
      <c r="H1051" s="18">
        <v>12150996</v>
      </c>
      <c r="I1051" s="18">
        <v>2</v>
      </c>
      <c r="J1051" s="4" t="s">
        <v>12</v>
      </c>
      <c r="K1051" s="26" t="s">
        <v>15</v>
      </c>
      <c r="L1051" s="172">
        <v>2</v>
      </c>
      <c r="M1051" s="6">
        <v>0</v>
      </c>
      <c r="N1051" s="6"/>
      <c r="O1051" s="6">
        <v>0</v>
      </c>
      <c r="P1051" s="6"/>
      <c r="Q1051" s="7">
        <v>0</v>
      </c>
      <c r="R1051" s="6"/>
      <c r="S1051" s="1">
        <v>0</v>
      </c>
      <c r="U1051" s="1">
        <v>0</v>
      </c>
      <c r="W1051" s="1" t="str">
        <f t="shared" si="16"/>
        <v>No</v>
      </c>
    </row>
    <row r="1052" spans="1:23" s="1" customFormat="1" ht="11.25">
      <c r="A1052" s="2" t="s">
        <v>760</v>
      </c>
      <c r="B1052" s="21" t="s">
        <v>761</v>
      </c>
      <c r="C1052" s="26" t="s">
        <v>16</v>
      </c>
      <c r="D1052" s="163" t="s">
        <v>762</v>
      </c>
      <c r="E1052" s="166">
        <v>99328</v>
      </c>
      <c r="F1052" s="92" t="s">
        <v>397</v>
      </c>
      <c r="G1052" s="20" t="s">
        <v>1490</v>
      </c>
      <c r="H1052" s="18">
        <v>0</v>
      </c>
      <c r="I1052" s="18">
        <v>2</v>
      </c>
      <c r="J1052" s="4" t="s">
        <v>12</v>
      </c>
      <c r="K1052" s="26" t="s">
        <v>11</v>
      </c>
      <c r="L1052" s="172">
        <v>2</v>
      </c>
      <c r="M1052" s="6">
        <v>0</v>
      </c>
      <c r="N1052" s="6"/>
      <c r="O1052" s="6">
        <v>0</v>
      </c>
      <c r="P1052" s="6"/>
      <c r="Q1052" s="7">
        <v>0</v>
      </c>
      <c r="R1052" s="6"/>
      <c r="S1052" s="1">
        <v>0</v>
      </c>
      <c r="U1052" s="1">
        <v>0</v>
      </c>
      <c r="W1052" s="1" t="str">
        <f t="shared" si="16"/>
        <v>No</v>
      </c>
    </row>
    <row r="1053" spans="1:23" s="1" customFormat="1" ht="11.25">
      <c r="A1053" s="2" t="s">
        <v>517</v>
      </c>
      <c r="B1053" s="21" t="s">
        <v>518</v>
      </c>
      <c r="C1053" s="26" t="s">
        <v>56</v>
      </c>
      <c r="D1053" s="163" t="s">
        <v>519</v>
      </c>
      <c r="E1053" s="166">
        <v>88170</v>
      </c>
      <c r="F1053" s="92" t="s">
        <v>397</v>
      </c>
      <c r="G1053" s="20" t="s">
        <v>1490</v>
      </c>
      <c r="H1053" s="18">
        <v>0</v>
      </c>
      <c r="I1053" s="18">
        <v>2</v>
      </c>
      <c r="J1053" s="4" t="s">
        <v>12</v>
      </c>
      <c r="K1053" s="26" t="s">
        <v>11</v>
      </c>
      <c r="L1053" s="172">
        <v>2</v>
      </c>
      <c r="M1053" s="6">
        <v>0</v>
      </c>
      <c r="N1053" s="6"/>
      <c r="O1053" s="6">
        <v>0</v>
      </c>
      <c r="P1053" s="6"/>
      <c r="Q1053" s="7">
        <v>0</v>
      </c>
      <c r="R1053" s="6"/>
      <c r="S1053" s="1">
        <v>0</v>
      </c>
      <c r="U1053" s="1">
        <v>0</v>
      </c>
      <c r="W1053" s="1" t="str">
        <f t="shared" si="16"/>
        <v>No</v>
      </c>
    </row>
    <row r="1054" spans="1:23" s="1" customFormat="1" ht="11.25">
      <c r="A1054" s="2" t="s">
        <v>1790</v>
      </c>
      <c r="B1054" s="21" t="s">
        <v>1791</v>
      </c>
      <c r="C1054" s="26" t="s">
        <v>32</v>
      </c>
      <c r="D1054" s="163"/>
      <c r="E1054" s="166">
        <v>40253</v>
      </c>
      <c r="F1054" s="92" t="s">
        <v>152</v>
      </c>
      <c r="G1054" s="20" t="s">
        <v>1490</v>
      </c>
      <c r="H1054" s="18">
        <v>5502379</v>
      </c>
      <c r="I1054" s="18">
        <v>2</v>
      </c>
      <c r="J1054" s="4" t="s">
        <v>12</v>
      </c>
      <c r="K1054" s="26" t="s">
        <v>15</v>
      </c>
      <c r="L1054" s="172">
        <v>2</v>
      </c>
      <c r="M1054" s="6">
        <v>0</v>
      </c>
      <c r="N1054" s="6"/>
      <c r="O1054" s="6">
        <v>0</v>
      </c>
      <c r="P1054" s="6"/>
      <c r="Q1054" s="7">
        <v>0</v>
      </c>
      <c r="R1054" s="6"/>
      <c r="S1054" s="1">
        <v>0</v>
      </c>
      <c r="U1054" s="1">
        <v>0</v>
      </c>
      <c r="W1054" s="1" t="str">
        <f t="shared" si="16"/>
        <v>No</v>
      </c>
    </row>
    <row r="1055" spans="1:23" s="1" customFormat="1" ht="11.25">
      <c r="A1055" s="2" t="s">
        <v>1803</v>
      </c>
      <c r="B1055" s="21" t="s">
        <v>1804</v>
      </c>
      <c r="C1055" s="26" t="s">
        <v>19</v>
      </c>
      <c r="D1055" s="163"/>
      <c r="E1055" s="166">
        <v>90280</v>
      </c>
      <c r="F1055" s="92" t="s">
        <v>152</v>
      </c>
      <c r="G1055" s="20" t="s">
        <v>1490</v>
      </c>
      <c r="H1055" s="18">
        <v>12150996</v>
      </c>
      <c r="I1055" s="18">
        <v>2</v>
      </c>
      <c r="J1055" s="4" t="s">
        <v>12</v>
      </c>
      <c r="K1055" s="26" t="s">
        <v>15</v>
      </c>
      <c r="L1055" s="172">
        <v>2</v>
      </c>
      <c r="M1055" s="6">
        <v>1</v>
      </c>
      <c r="N1055" s="6"/>
      <c r="O1055" s="6">
        <v>0</v>
      </c>
      <c r="P1055" s="6"/>
      <c r="Q1055" s="7">
        <v>1</v>
      </c>
      <c r="R1055" s="6"/>
      <c r="S1055" s="1">
        <v>1</v>
      </c>
      <c r="U1055" s="1">
        <v>0</v>
      </c>
      <c r="W1055" s="1" t="str">
        <f t="shared" si="16"/>
        <v>No</v>
      </c>
    </row>
    <row r="1056" spans="1:23" s="1" customFormat="1" ht="11.25">
      <c r="A1056" s="2" t="s">
        <v>864</v>
      </c>
      <c r="B1056" s="21" t="s">
        <v>226</v>
      </c>
      <c r="C1056" s="26" t="s">
        <v>43</v>
      </c>
      <c r="D1056" s="163">
        <v>4218</v>
      </c>
      <c r="E1056" s="166">
        <v>40218</v>
      </c>
      <c r="F1056" s="92" t="s">
        <v>152</v>
      </c>
      <c r="G1056" s="20" t="s">
        <v>1490</v>
      </c>
      <c r="H1056" s="18">
        <v>972546</v>
      </c>
      <c r="I1056" s="18">
        <v>2</v>
      </c>
      <c r="J1056" s="4" t="s">
        <v>12</v>
      </c>
      <c r="K1056" s="26" t="s">
        <v>11</v>
      </c>
      <c r="L1056" s="172">
        <v>2</v>
      </c>
      <c r="M1056" s="6">
        <v>0</v>
      </c>
      <c r="N1056" s="6"/>
      <c r="O1056" s="6">
        <v>0</v>
      </c>
      <c r="P1056" s="6"/>
      <c r="Q1056" s="7">
        <v>0</v>
      </c>
      <c r="R1056" s="6"/>
      <c r="S1056" s="1">
        <v>0</v>
      </c>
      <c r="U1056" s="1">
        <v>0</v>
      </c>
      <c r="W1056" s="1" t="str">
        <f t="shared" si="16"/>
        <v>No</v>
      </c>
    </row>
    <row r="1057" spans="1:23" s="1" customFormat="1" ht="11.25">
      <c r="A1057" s="2" t="s">
        <v>1884</v>
      </c>
      <c r="B1057" s="21" t="s">
        <v>1885</v>
      </c>
      <c r="C1057" s="26" t="s">
        <v>16</v>
      </c>
      <c r="D1057" s="163" t="s">
        <v>1886</v>
      </c>
      <c r="E1057" s="166">
        <v>99334</v>
      </c>
      <c r="F1057" s="92" t="s">
        <v>397</v>
      </c>
      <c r="G1057" s="20" t="s">
        <v>1490</v>
      </c>
      <c r="H1057" s="18">
        <v>0</v>
      </c>
      <c r="I1057" s="18">
        <v>2</v>
      </c>
      <c r="J1057" s="4" t="s">
        <v>12</v>
      </c>
      <c r="K1057" s="26" t="s">
        <v>11</v>
      </c>
      <c r="L1057" s="172">
        <v>2</v>
      </c>
      <c r="M1057" s="6">
        <v>0</v>
      </c>
      <c r="N1057" s="6"/>
      <c r="O1057" s="6">
        <v>0</v>
      </c>
      <c r="P1057" s="6"/>
      <c r="Q1057" s="7">
        <v>0</v>
      </c>
      <c r="R1057" s="6"/>
      <c r="S1057" s="1">
        <v>0</v>
      </c>
      <c r="U1057" s="1">
        <v>0</v>
      </c>
      <c r="W1057" s="1" t="str">
        <f t="shared" si="16"/>
        <v>No</v>
      </c>
    </row>
    <row r="1058" spans="1:23" s="1" customFormat="1" ht="11.25">
      <c r="A1058" s="2" t="s">
        <v>1626</v>
      </c>
      <c r="B1058" s="21" t="s">
        <v>1662</v>
      </c>
      <c r="C1058" s="26" t="s">
        <v>45</v>
      </c>
      <c r="D1058" s="163">
        <v>1157</v>
      </c>
      <c r="E1058" s="166">
        <v>10179</v>
      </c>
      <c r="F1058" s="92" t="s">
        <v>152</v>
      </c>
      <c r="G1058" s="20" t="s">
        <v>1490</v>
      </c>
      <c r="H1058" s="18">
        <v>4181019</v>
      </c>
      <c r="I1058" s="18">
        <v>2</v>
      </c>
      <c r="J1058" s="4" t="s">
        <v>12</v>
      </c>
      <c r="K1058" s="26" t="s">
        <v>15</v>
      </c>
      <c r="L1058" s="172">
        <v>2</v>
      </c>
      <c r="M1058" s="6">
        <v>0</v>
      </c>
      <c r="N1058" s="6"/>
      <c r="O1058" s="6">
        <v>0</v>
      </c>
      <c r="P1058" s="6"/>
      <c r="Q1058" s="7">
        <v>0</v>
      </c>
      <c r="R1058" s="6"/>
      <c r="S1058" s="1">
        <v>0</v>
      </c>
      <c r="U1058" s="1">
        <v>0</v>
      </c>
      <c r="W1058" s="1" t="str">
        <f t="shared" si="16"/>
        <v>No</v>
      </c>
    </row>
    <row r="1059" spans="1:23" s="1" customFormat="1" ht="11.25">
      <c r="A1059" s="2" t="s">
        <v>1393</v>
      </c>
      <c r="B1059" s="21" t="s">
        <v>1394</v>
      </c>
      <c r="C1059" s="26" t="s">
        <v>77</v>
      </c>
      <c r="D1059" s="163">
        <v>4123</v>
      </c>
      <c r="E1059" s="166">
        <v>40123</v>
      </c>
      <c r="F1059" s="92" t="s">
        <v>152</v>
      </c>
      <c r="G1059" s="20" t="s">
        <v>1490</v>
      </c>
      <c r="H1059" s="18">
        <v>2148346</v>
      </c>
      <c r="I1059" s="18">
        <v>2</v>
      </c>
      <c r="J1059" s="4" t="s">
        <v>12</v>
      </c>
      <c r="K1059" s="26" t="s">
        <v>11</v>
      </c>
      <c r="L1059" s="172">
        <v>1</v>
      </c>
      <c r="M1059" s="6">
        <v>0</v>
      </c>
      <c r="N1059" s="6"/>
      <c r="O1059" s="6">
        <v>0</v>
      </c>
      <c r="P1059" s="6"/>
      <c r="Q1059" s="7">
        <v>0</v>
      </c>
      <c r="R1059" s="6"/>
      <c r="S1059" s="1">
        <v>0</v>
      </c>
      <c r="U1059" s="1">
        <v>0</v>
      </c>
      <c r="W1059" s="1" t="str">
        <f t="shared" si="16"/>
        <v>No</v>
      </c>
    </row>
    <row r="1060" spans="1:23" s="1" customFormat="1" ht="11.25">
      <c r="A1060" s="2" t="s">
        <v>597</v>
      </c>
      <c r="B1060" s="21" t="s">
        <v>598</v>
      </c>
      <c r="C1060" s="26" t="s">
        <v>88</v>
      </c>
      <c r="D1060" s="163" t="s">
        <v>599</v>
      </c>
      <c r="E1060" s="166">
        <v>183</v>
      </c>
      <c r="F1060" s="92" t="s">
        <v>397</v>
      </c>
      <c r="G1060" s="20" t="s">
        <v>1490</v>
      </c>
      <c r="H1060" s="18">
        <v>0</v>
      </c>
      <c r="I1060" s="18">
        <v>2</v>
      </c>
      <c r="J1060" s="4" t="s">
        <v>12</v>
      </c>
      <c r="K1060" s="26" t="s">
        <v>11</v>
      </c>
      <c r="L1060" s="172">
        <v>2</v>
      </c>
      <c r="M1060" s="6">
        <v>0</v>
      </c>
      <c r="N1060" s="6"/>
      <c r="O1060" s="6">
        <v>0</v>
      </c>
      <c r="P1060" s="6"/>
      <c r="Q1060" s="7">
        <v>0</v>
      </c>
      <c r="R1060" s="6"/>
      <c r="S1060" s="1">
        <v>0</v>
      </c>
      <c r="U1060" s="1">
        <v>0</v>
      </c>
      <c r="W1060" s="1" t="str">
        <f t="shared" si="16"/>
        <v>No</v>
      </c>
    </row>
    <row r="1061" spans="1:23" s="1" customFormat="1" ht="11.25">
      <c r="A1061" s="2" t="s">
        <v>1882</v>
      </c>
      <c r="B1061" s="21" t="s">
        <v>1883</v>
      </c>
      <c r="C1061" s="26" t="s">
        <v>9</v>
      </c>
      <c r="D1061" s="163"/>
      <c r="E1061" s="166">
        <v>414</v>
      </c>
      <c r="F1061" s="92" t="s">
        <v>397</v>
      </c>
      <c r="G1061" s="20" t="s">
        <v>1490</v>
      </c>
      <c r="H1061" s="18">
        <v>0</v>
      </c>
      <c r="I1061" s="18">
        <v>2</v>
      </c>
      <c r="J1061" s="4" t="s">
        <v>12</v>
      </c>
      <c r="K1061" s="26" t="s">
        <v>11</v>
      </c>
      <c r="L1061" s="172">
        <v>2</v>
      </c>
      <c r="M1061" s="6">
        <v>1</v>
      </c>
      <c r="N1061" s="6"/>
      <c r="O1061" s="6">
        <v>0</v>
      </c>
      <c r="P1061" s="6"/>
      <c r="Q1061" s="7">
        <v>1</v>
      </c>
      <c r="R1061" s="6"/>
      <c r="S1061" s="1">
        <v>0</v>
      </c>
      <c r="U1061" s="1">
        <v>0</v>
      </c>
      <c r="W1061" s="1" t="str">
        <f t="shared" si="16"/>
        <v>No</v>
      </c>
    </row>
    <row r="1062" spans="1:23" s="1" customFormat="1" ht="11.25">
      <c r="A1062" s="2" t="s">
        <v>1191</v>
      </c>
      <c r="B1062" s="21" t="s">
        <v>1193</v>
      </c>
      <c r="C1062" s="26" t="s">
        <v>88</v>
      </c>
      <c r="D1062" s="163">
        <v>28</v>
      </c>
      <c r="E1062" s="166">
        <v>28</v>
      </c>
      <c r="F1062" s="92" t="s">
        <v>152</v>
      </c>
      <c r="G1062" s="20" t="s">
        <v>149</v>
      </c>
      <c r="H1062" s="18">
        <v>3059393</v>
      </c>
      <c r="I1062" s="18">
        <v>2</v>
      </c>
      <c r="J1062" s="4" t="s">
        <v>22</v>
      </c>
      <c r="K1062" s="26" t="s">
        <v>15</v>
      </c>
      <c r="L1062" s="172">
        <v>2</v>
      </c>
      <c r="M1062" s="6">
        <v>3</v>
      </c>
      <c r="N1062" s="6"/>
      <c r="O1062" s="6">
        <v>0</v>
      </c>
      <c r="P1062" s="6"/>
      <c r="Q1062" s="7">
        <v>3</v>
      </c>
      <c r="R1062" s="6"/>
      <c r="S1062" s="1">
        <v>1</v>
      </c>
      <c r="U1062" s="1">
        <v>0</v>
      </c>
      <c r="W1062" s="1" t="str">
        <f t="shared" si="16"/>
        <v>No</v>
      </c>
    </row>
    <row r="1063" spans="1:23" s="1" customFormat="1" ht="11.25">
      <c r="A1063" s="2" t="s">
        <v>1648</v>
      </c>
      <c r="B1063" s="21" t="s">
        <v>1676</v>
      </c>
      <c r="C1063" s="26" t="s">
        <v>32</v>
      </c>
      <c r="D1063" s="163"/>
      <c r="E1063" s="166">
        <v>44932</v>
      </c>
      <c r="F1063" s="92" t="s">
        <v>152</v>
      </c>
      <c r="G1063" s="20" t="s">
        <v>1490</v>
      </c>
      <c r="H1063" s="18">
        <v>5502379</v>
      </c>
      <c r="I1063" s="18">
        <v>2</v>
      </c>
      <c r="J1063" s="4" t="s">
        <v>12</v>
      </c>
      <c r="K1063" s="26" t="s">
        <v>11</v>
      </c>
      <c r="L1063" s="172">
        <v>2</v>
      </c>
      <c r="M1063" s="6">
        <v>0</v>
      </c>
      <c r="N1063" s="6"/>
      <c r="O1063" s="6">
        <v>0</v>
      </c>
      <c r="P1063" s="6"/>
      <c r="Q1063" s="7">
        <v>0</v>
      </c>
      <c r="R1063" s="6"/>
      <c r="S1063" s="1">
        <v>0</v>
      </c>
      <c r="U1063" s="1">
        <v>0</v>
      </c>
      <c r="W1063" s="1" t="str">
        <f t="shared" si="16"/>
        <v>No</v>
      </c>
    </row>
    <row r="1064" spans="1:23" s="1" customFormat="1" ht="11.25">
      <c r="A1064" s="2" t="s">
        <v>562</v>
      </c>
      <c r="B1064" s="21" t="s">
        <v>563</v>
      </c>
      <c r="C1064" s="26" t="s">
        <v>62</v>
      </c>
      <c r="D1064" s="163">
        <v>2194</v>
      </c>
      <c r="E1064" s="166">
        <v>20194</v>
      </c>
      <c r="F1064" s="92" t="s">
        <v>152</v>
      </c>
      <c r="G1064" s="20" t="s">
        <v>1490</v>
      </c>
      <c r="H1064" s="18">
        <v>64037</v>
      </c>
      <c r="I1064" s="18">
        <v>2</v>
      </c>
      <c r="J1064" s="4" t="s">
        <v>12</v>
      </c>
      <c r="K1064" s="26" t="s">
        <v>11</v>
      </c>
      <c r="L1064" s="172">
        <v>1</v>
      </c>
      <c r="M1064" s="6">
        <v>0</v>
      </c>
      <c r="N1064" s="6"/>
      <c r="O1064" s="6">
        <v>0</v>
      </c>
      <c r="P1064" s="6"/>
      <c r="Q1064" s="7">
        <v>0</v>
      </c>
      <c r="R1064" s="6"/>
      <c r="S1064" s="1">
        <v>0</v>
      </c>
      <c r="U1064" s="1">
        <v>0</v>
      </c>
      <c r="W1064" s="1" t="str">
        <f t="shared" si="16"/>
        <v>No</v>
      </c>
    </row>
    <row r="1065" spans="1:23" s="1" customFormat="1" ht="11.25">
      <c r="A1065" s="2" t="s">
        <v>134</v>
      </c>
      <c r="B1065" s="21" t="s">
        <v>811</v>
      </c>
      <c r="C1065" s="26" t="s">
        <v>74</v>
      </c>
      <c r="D1065" s="163">
        <v>63</v>
      </c>
      <c r="E1065" s="166">
        <v>63</v>
      </c>
      <c r="F1065" s="92" t="s">
        <v>152</v>
      </c>
      <c r="G1065" s="20" t="s">
        <v>1490</v>
      </c>
      <c r="H1065" s="18">
        <v>55805</v>
      </c>
      <c r="I1065" s="18">
        <v>2</v>
      </c>
      <c r="J1065" s="4" t="s">
        <v>12</v>
      </c>
      <c r="K1065" s="26" t="s">
        <v>15</v>
      </c>
      <c r="L1065" s="172">
        <v>1</v>
      </c>
      <c r="M1065" s="6">
        <v>1</v>
      </c>
      <c r="N1065" s="6"/>
      <c r="O1065" s="6">
        <v>0</v>
      </c>
      <c r="P1065" s="6"/>
      <c r="Q1065" s="7">
        <v>1</v>
      </c>
      <c r="R1065" s="6"/>
      <c r="S1065" s="1">
        <v>0</v>
      </c>
      <c r="U1065" s="1">
        <v>0</v>
      </c>
      <c r="W1065" s="1" t="str">
        <f t="shared" si="16"/>
        <v>No</v>
      </c>
    </row>
    <row r="1066" spans="1:23" s="1" customFormat="1" ht="11.25">
      <c r="A1066" s="2" t="s">
        <v>1800</v>
      </c>
      <c r="B1066" s="21" t="s">
        <v>1801</v>
      </c>
      <c r="C1066" s="26" t="s">
        <v>32</v>
      </c>
      <c r="D1066" s="163"/>
      <c r="E1066" s="166">
        <v>40250</v>
      </c>
      <c r="F1066" s="92" t="s">
        <v>152</v>
      </c>
      <c r="G1066" s="20" t="s">
        <v>1490</v>
      </c>
      <c r="H1066" s="18">
        <v>5502379</v>
      </c>
      <c r="I1066" s="18">
        <v>2</v>
      </c>
      <c r="J1066" s="4" t="s">
        <v>12</v>
      </c>
      <c r="K1066" s="26" t="s">
        <v>15</v>
      </c>
      <c r="L1066" s="172">
        <v>2</v>
      </c>
      <c r="M1066" s="6">
        <v>1</v>
      </c>
      <c r="N1066" s="6"/>
      <c r="O1066" s="6">
        <v>0</v>
      </c>
      <c r="P1066" s="6"/>
      <c r="Q1066" s="7">
        <v>1</v>
      </c>
      <c r="R1066" s="6"/>
      <c r="S1066" s="1">
        <v>0</v>
      </c>
      <c r="U1066" s="1">
        <v>0</v>
      </c>
      <c r="W1066" s="1" t="str">
        <f t="shared" si="16"/>
        <v>No</v>
      </c>
    </row>
    <row r="1067" spans="1:23" s="1" customFormat="1" ht="11.25">
      <c r="A1067" s="2" t="s">
        <v>785</v>
      </c>
      <c r="B1067" s="21" t="s">
        <v>786</v>
      </c>
      <c r="C1067" s="26" t="s">
        <v>92</v>
      </c>
      <c r="D1067" s="163" t="s">
        <v>787</v>
      </c>
      <c r="E1067" s="166">
        <v>55282</v>
      </c>
      <c r="F1067" s="92" t="s">
        <v>397</v>
      </c>
      <c r="G1067" s="20" t="s">
        <v>1490</v>
      </c>
      <c r="H1067" s="18">
        <v>0</v>
      </c>
      <c r="I1067" s="18">
        <v>2</v>
      </c>
      <c r="J1067" s="4" t="s">
        <v>12</v>
      </c>
      <c r="K1067" s="26" t="s">
        <v>11</v>
      </c>
      <c r="L1067" s="172">
        <v>2</v>
      </c>
      <c r="M1067" s="6">
        <v>0</v>
      </c>
      <c r="N1067" s="6"/>
      <c r="O1067" s="6">
        <v>0</v>
      </c>
      <c r="P1067" s="6"/>
      <c r="Q1067" s="7">
        <v>0</v>
      </c>
      <c r="R1067" s="6"/>
      <c r="S1067" s="1">
        <v>0</v>
      </c>
      <c r="U1067" s="1">
        <v>0</v>
      </c>
      <c r="W1067" s="1" t="str">
        <f t="shared" si="16"/>
        <v>No</v>
      </c>
    </row>
    <row r="1068" spans="1:23" s="1" customFormat="1" ht="11.25">
      <c r="A1068" s="2" t="s">
        <v>1783</v>
      </c>
      <c r="B1068" s="21" t="s">
        <v>1784</v>
      </c>
      <c r="C1068" s="26" t="s">
        <v>77</v>
      </c>
      <c r="D1068" s="163">
        <v>4163</v>
      </c>
      <c r="E1068" s="166">
        <v>40163</v>
      </c>
      <c r="F1068" s="92" t="s">
        <v>152</v>
      </c>
      <c r="G1068" s="20" t="s">
        <v>1490</v>
      </c>
      <c r="H1068" s="18">
        <v>2148346</v>
      </c>
      <c r="I1068" s="18">
        <v>2</v>
      </c>
      <c r="J1068" s="4" t="s">
        <v>12</v>
      </c>
      <c r="K1068" s="26" t="s">
        <v>11</v>
      </c>
      <c r="L1068" s="172">
        <v>1</v>
      </c>
      <c r="M1068" s="6">
        <v>1</v>
      </c>
      <c r="N1068" s="6"/>
      <c r="O1068" s="6">
        <v>0</v>
      </c>
      <c r="P1068" s="6"/>
      <c r="Q1068" s="7">
        <v>1</v>
      </c>
      <c r="R1068" s="6"/>
      <c r="S1068" s="1">
        <v>1</v>
      </c>
      <c r="U1068" s="1">
        <v>0</v>
      </c>
      <c r="W1068" s="1" t="str">
        <f t="shared" si="16"/>
        <v>No</v>
      </c>
    </row>
    <row r="1069" spans="1:23" s="1" customFormat="1" ht="11.25">
      <c r="A1069" s="2" t="s">
        <v>1797</v>
      </c>
      <c r="B1069" s="21" t="s">
        <v>1798</v>
      </c>
      <c r="C1069" s="26" t="s">
        <v>32</v>
      </c>
      <c r="D1069" s="163"/>
      <c r="E1069" s="166">
        <v>40261</v>
      </c>
      <c r="F1069" s="92" t="s">
        <v>152</v>
      </c>
      <c r="G1069" s="20" t="s">
        <v>1490</v>
      </c>
      <c r="H1069" s="18">
        <v>5502379</v>
      </c>
      <c r="I1069" s="18">
        <v>2</v>
      </c>
      <c r="J1069" s="4" t="s">
        <v>12</v>
      </c>
      <c r="K1069" s="26" t="s">
        <v>15</v>
      </c>
      <c r="L1069" s="172">
        <v>2</v>
      </c>
      <c r="M1069" s="6">
        <v>0</v>
      </c>
      <c r="N1069" s="6"/>
      <c r="O1069" s="6">
        <v>0</v>
      </c>
      <c r="P1069" s="6"/>
      <c r="Q1069" s="7">
        <v>0</v>
      </c>
      <c r="R1069" s="6"/>
      <c r="S1069" s="1">
        <v>0</v>
      </c>
      <c r="U1069" s="1">
        <v>0</v>
      </c>
      <c r="W1069" s="1" t="str">
        <f t="shared" si="16"/>
        <v>No</v>
      </c>
    </row>
    <row r="1070" spans="1:23" s="1" customFormat="1" ht="11.25">
      <c r="A1070" s="2" t="s">
        <v>1435</v>
      </c>
      <c r="B1070" s="21" t="s">
        <v>1436</v>
      </c>
      <c r="C1070" s="26" t="s">
        <v>69</v>
      </c>
      <c r="D1070" s="163">
        <v>2176</v>
      </c>
      <c r="E1070" s="166">
        <v>20176</v>
      </c>
      <c r="F1070" s="92" t="s">
        <v>160</v>
      </c>
      <c r="G1070" s="20" t="s">
        <v>1490</v>
      </c>
      <c r="H1070" s="18">
        <v>18351295</v>
      </c>
      <c r="I1070" s="18">
        <v>2</v>
      </c>
      <c r="J1070" s="4" t="s">
        <v>12</v>
      </c>
      <c r="K1070" s="26" t="s">
        <v>15</v>
      </c>
      <c r="L1070" s="172">
        <v>2</v>
      </c>
      <c r="M1070" s="6">
        <v>0</v>
      </c>
      <c r="N1070" s="6"/>
      <c r="O1070" s="6">
        <v>0</v>
      </c>
      <c r="P1070" s="6"/>
      <c r="Q1070" s="7">
        <v>0</v>
      </c>
      <c r="R1070" s="6"/>
      <c r="S1070" s="1">
        <v>0</v>
      </c>
      <c r="U1070" s="1">
        <v>0</v>
      </c>
      <c r="W1070" s="1" t="str">
        <f t="shared" si="16"/>
        <v>No</v>
      </c>
    </row>
    <row r="1071" spans="1:23" s="1" customFormat="1" ht="11.25">
      <c r="A1071" s="2" t="s">
        <v>562</v>
      </c>
      <c r="B1071" s="21" t="s">
        <v>563</v>
      </c>
      <c r="C1071" s="26" t="s">
        <v>62</v>
      </c>
      <c r="D1071" s="163">
        <v>2194</v>
      </c>
      <c r="E1071" s="166">
        <v>20194</v>
      </c>
      <c r="F1071" s="92" t="s">
        <v>152</v>
      </c>
      <c r="G1071" s="20" t="s">
        <v>1490</v>
      </c>
      <c r="H1071" s="18">
        <v>64037</v>
      </c>
      <c r="I1071" s="18">
        <v>2</v>
      </c>
      <c r="J1071" s="4" t="s">
        <v>12</v>
      </c>
      <c r="K1071" s="26" t="s">
        <v>15</v>
      </c>
      <c r="L1071" s="172">
        <v>1</v>
      </c>
      <c r="M1071" s="6">
        <v>0</v>
      </c>
      <c r="N1071" s="6"/>
      <c r="O1071" s="6">
        <v>0</v>
      </c>
      <c r="P1071" s="6"/>
      <c r="Q1071" s="7">
        <v>0</v>
      </c>
      <c r="R1071" s="6"/>
      <c r="S1071" s="1">
        <v>0</v>
      </c>
      <c r="U1071" s="1">
        <v>0</v>
      </c>
      <c r="W1071" s="1" t="str">
        <f t="shared" si="16"/>
        <v>No</v>
      </c>
    </row>
    <row r="1072" spans="1:23" s="1" customFormat="1" ht="11.25">
      <c r="A1072" s="2" t="s">
        <v>1793</v>
      </c>
      <c r="B1072" s="21" t="s">
        <v>1794</v>
      </c>
      <c r="C1072" s="26" t="s">
        <v>19</v>
      </c>
      <c r="D1072" s="163"/>
      <c r="E1072" s="166">
        <v>90264</v>
      </c>
      <c r="F1072" s="92" t="s">
        <v>152</v>
      </c>
      <c r="G1072" s="20" t="s">
        <v>1490</v>
      </c>
      <c r="H1072" s="18">
        <v>12150996</v>
      </c>
      <c r="I1072" s="18">
        <v>2</v>
      </c>
      <c r="J1072" s="4" t="s">
        <v>12</v>
      </c>
      <c r="K1072" s="26" t="s">
        <v>11</v>
      </c>
      <c r="L1072" s="172">
        <v>2</v>
      </c>
      <c r="M1072" s="6">
        <v>0</v>
      </c>
      <c r="N1072" s="6"/>
      <c r="O1072" s="6">
        <v>0</v>
      </c>
      <c r="P1072" s="6"/>
      <c r="Q1072" s="7">
        <v>0</v>
      </c>
      <c r="R1072" s="6"/>
      <c r="S1072" s="1">
        <v>0</v>
      </c>
      <c r="U1072" s="1">
        <v>0</v>
      </c>
      <c r="W1072" s="1" t="str">
        <f t="shared" si="16"/>
        <v>No</v>
      </c>
    </row>
    <row r="1073" spans="1:23" s="1" customFormat="1" ht="11.25">
      <c r="A1073" s="2" t="s">
        <v>1433</v>
      </c>
      <c r="B1073" s="21" t="s">
        <v>1134</v>
      </c>
      <c r="C1073" s="26" t="s">
        <v>69</v>
      </c>
      <c r="D1073" s="163">
        <v>2089</v>
      </c>
      <c r="E1073" s="166">
        <v>20089</v>
      </c>
      <c r="F1073" s="92" t="s">
        <v>152</v>
      </c>
      <c r="G1073" s="20" t="s">
        <v>1490</v>
      </c>
      <c r="H1073" s="18">
        <v>18351295</v>
      </c>
      <c r="I1073" s="18">
        <v>2</v>
      </c>
      <c r="J1073" s="4" t="s">
        <v>12</v>
      </c>
      <c r="K1073" s="26" t="s">
        <v>11</v>
      </c>
      <c r="L1073" s="172">
        <v>2</v>
      </c>
      <c r="M1073" s="6">
        <v>0</v>
      </c>
      <c r="N1073" s="6"/>
      <c r="O1073" s="6">
        <v>0</v>
      </c>
      <c r="P1073" s="6"/>
      <c r="Q1073" s="7">
        <v>0</v>
      </c>
      <c r="R1073" s="6"/>
      <c r="S1073" s="1">
        <v>0</v>
      </c>
      <c r="U1073" s="1">
        <v>0</v>
      </c>
      <c r="W1073" s="1" t="str">
        <f t="shared" si="16"/>
        <v>No</v>
      </c>
    </row>
    <row r="1074" spans="1:23" s="1" customFormat="1" ht="11.25">
      <c r="A1074" s="2" t="s">
        <v>750</v>
      </c>
      <c r="B1074" s="21" t="s">
        <v>751</v>
      </c>
      <c r="C1074" s="26" t="s">
        <v>19</v>
      </c>
      <c r="D1074" s="163" t="s">
        <v>752</v>
      </c>
      <c r="E1074" s="166">
        <v>99316</v>
      </c>
      <c r="F1074" s="92" t="s">
        <v>397</v>
      </c>
      <c r="G1074" s="20" t="s">
        <v>1490</v>
      </c>
      <c r="H1074" s="18">
        <v>0</v>
      </c>
      <c r="I1074" s="18">
        <v>2</v>
      </c>
      <c r="J1074" s="4" t="s">
        <v>22</v>
      </c>
      <c r="K1074" s="26" t="s">
        <v>11</v>
      </c>
      <c r="L1074" s="172">
        <v>2</v>
      </c>
      <c r="M1074" s="6">
        <v>2</v>
      </c>
      <c r="N1074" s="6"/>
      <c r="O1074" s="6">
        <v>0</v>
      </c>
      <c r="P1074" s="6"/>
      <c r="Q1074" s="7">
        <v>2</v>
      </c>
      <c r="R1074" s="6"/>
      <c r="S1074" s="1">
        <v>0</v>
      </c>
      <c r="U1074" s="1">
        <v>0</v>
      </c>
      <c r="W1074" s="1" t="str">
        <f t="shared" si="16"/>
        <v>No</v>
      </c>
    </row>
    <row r="1075" spans="1:23" s="1" customFormat="1" ht="11.25">
      <c r="A1075" s="2" t="s">
        <v>1660</v>
      </c>
      <c r="B1075" s="21" t="s">
        <v>1682</v>
      </c>
      <c r="C1075" s="26" t="s">
        <v>68</v>
      </c>
      <c r="D1075" s="163" t="s">
        <v>1659</v>
      </c>
      <c r="E1075" s="166">
        <v>99406</v>
      </c>
      <c r="F1075" s="92" t="s">
        <v>397</v>
      </c>
      <c r="G1075" s="20" t="s">
        <v>1490</v>
      </c>
      <c r="H1075" s="18">
        <v>0</v>
      </c>
      <c r="I1075" s="18">
        <v>2</v>
      </c>
      <c r="J1075" s="4" t="s">
        <v>12</v>
      </c>
      <c r="K1075" s="26" t="s">
        <v>11</v>
      </c>
      <c r="L1075" s="172">
        <v>2</v>
      </c>
      <c r="M1075" s="6">
        <v>0</v>
      </c>
      <c r="N1075" s="6"/>
      <c r="O1075" s="6">
        <v>0</v>
      </c>
      <c r="P1075" s="6"/>
      <c r="Q1075" s="7">
        <v>0</v>
      </c>
      <c r="R1075" s="6"/>
      <c r="S1075" s="1">
        <v>0</v>
      </c>
      <c r="U1075" s="1">
        <v>0</v>
      </c>
      <c r="W1075" s="1" t="str">
        <f t="shared" si="16"/>
        <v>No</v>
      </c>
    </row>
    <row r="1076" spans="1:23" s="1" customFormat="1" ht="11.25">
      <c r="A1076" s="2" t="s">
        <v>847</v>
      </c>
      <c r="B1076" s="21" t="s">
        <v>1792</v>
      </c>
      <c r="C1076" s="26" t="s">
        <v>69</v>
      </c>
      <c r="D1076" s="163" t="s">
        <v>848</v>
      </c>
      <c r="E1076" s="166">
        <v>22929</v>
      </c>
      <c r="F1076" s="92" t="s">
        <v>397</v>
      </c>
      <c r="G1076" s="20" t="s">
        <v>1490</v>
      </c>
      <c r="H1076" s="18">
        <v>0</v>
      </c>
      <c r="I1076" s="18">
        <v>2</v>
      </c>
      <c r="J1076" s="4" t="s">
        <v>12</v>
      </c>
      <c r="K1076" s="26" t="s">
        <v>15</v>
      </c>
      <c r="L1076" s="172">
        <v>2</v>
      </c>
      <c r="M1076" s="6">
        <v>0</v>
      </c>
      <c r="N1076" s="6"/>
      <c r="O1076" s="6">
        <v>0</v>
      </c>
      <c r="P1076" s="6"/>
      <c r="Q1076" s="7">
        <v>0</v>
      </c>
      <c r="R1076" s="6"/>
      <c r="S1076" s="1">
        <v>0</v>
      </c>
      <c r="U1076" s="1">
        <v>0</v>
      </c>
      <c r="W1076" s="1" t="str">
        <f t="shared" si="16"/>
        <v>No</v>
      </c>
    </row>
    <row r="1077" spans="1:23" s="1" customFormat="1" ht="11.25">
      <c r="A1077" s="2" t="s">
        <v>1889</v>
      </c>
      <c r="B1077" s="21" t="s">
        <v>1224</v>
      </c>
      <c r="C1077" s="26" t="s">
        <v>80</v>
      </c>
      <c r="D1077" s="163"/>
      <c r="E1077" s="166">
        <v>11147</v>
      </c>
      <c r="F1077" s="92" t="s">
        <v>269</v>
      </c>
      <c r="G1077" s="20" t="s">
        <v>149</v>
      </c>
      <c r="H1077" s="18">
        <v>1190956</v>
      </c>
      <c r="I1077" s="18">
        <v>1</v>
      </c>
      <c r="J1077" s="4" t="s">
        <v>22</v>
      </c>
      <c r="K1077" s="26" t="s">
        <v>15</v>
      </c>
      <c r="L1077" s="172">
        <v>1</v>
      </c>
      <c r="M1077" s="6">
        <v>2</v>
      </c>
      <c r="N1077" s="6"/>
      <c r="O1077" s="6">
        <v>0</v>
      </c>
      <c r="P1077" s="6"/>
      <c r="Q1077" s="7">
        <v>2</v>
      </c>
      <c r="R1077" s="6"/>
      <c r="S1077" s="1">
        <v>0</v>
      </c>
      <c r="U1077" s="1">
        <v>0</v>
      </c>
      <c r="W1077" s="1" t="str">
        <f t="shared" si="16"/>
        <v>No</v>
      </c>
    </row>
    <row r="1078" spans="1:23" s="1" customFormat="1" ht="11.25">
      <c r="A1078" s="2" t="s">
        <v>520</v>
      </c>
      <c r="B1078" s="21" t="s">
        <v>521</v>
      </c>
      <c r="C1078" s="26" t="s">
        <v>9</v>
      </c>
      <c r="D1078" s="163" t="s">
        <v>522</v>
      </c>
      <c r="E1078" s="166">
        <v>159</v>
      </c>
      <c r="F1078" s="92" t="s">
        <v>397</v>
      </c>
      <c r="G1078" s="20" t="s">
        <v>1490</v>
      </c>
      <c r="H1078" s="18">
        <v>0</v>
      </c>
      <c r="I1078" s="18">
        <v>1</v>
      </c>
      <c r="J1078" s="4" t="s">
        <v>12</v>
      </c>
      <c r="K1078" s="26" t="s">
        <v>11</v>
      </c>
      <c r="L1078" s="172">
        <v>1</v>
      </c>
      <c r="M1078" s="6">
        <v>0</v>
      </c>
      <c r="N1078" s="6"/>
      <c r="O1078" s="6">
        <v>0</v>
      </c>
      <c r="P1078" s="6"/>
      <c r="Q1078" s="7">
        <v>0</v>
      </c>
      <c r="R1078" s="6"/>
      <c r="S1078" s="1">
        <v>0</v>
      </c>
      <c r="U1078" s="1">
        <v>0</v>
      </c>
      <c r="W1078" s="1" t="str">
        <f t="shared" si="16"/>
        <v>No</v>
      </c>
    </row>
    <row r="1079" spans="1:23" s="1" customFormat="1" ht="11.25">
      <c r="A1079" s="2" t="s">
        <v>1153</v>
      </c>
      <c r="B1079" s="21" t="s">
        <v>357</v>
      </c>
      <c r="C1079" s="26" t="s">
        <v>88</v>
      </c>
      <c r="D1079" s="163"/>
      <c r="E1079" s="166">
        <v>401</v>
      </c>
      <c r="F1079" s="92" t="s">
        <v>397</v>
      </c>
      <c r="G1079" s="20" t="s">
        <v>1490</v>
      </c>
      <c r="H1079" s="18">
        <v>0</v>
      </c>
      <c r="I1079" s="18">
        <v>1</v>
      </c>
      <c r="J1079" s="4" t="s">
        <v>12</v>
      </c>
      <c r="K1079" s="26" t="s">
        <v>11</v>
      </c>
      <c r="L1079" s="172">
        <v>1</v>
      </c>
      <c r="M1079" s="6">
        <v>0</v>
      </c>
      <c r="N1079" s="6"/>
      <c r="O1079" s="6">
        <v>0</v>
      </c>
      <c r="P1079" s="6"/>
      <c r="Q1079" s="7">
        <v>0</v>
      </c>
      <c r="R1079" s="6"/>
      <c r="S1079" s="1">
        <v>0</v>
      </c>
      <c r="U1079" s="1">
        <v>0</v>
      </c>
      <c r="W1079" s="1" t="str">
        <f t="shared" si="16"/>
        <v>No</v>
      </c>
    </row>
    <row r="1080" spans="1:23" s="1" customFormat="1" ht="11.25">
      <c r="A1080" s="2" t="s">
        <v>1887</v>
      </c>
      <c r="B1080" s="21" t="s">
        <v>1888</v>
      </c>
      <c r="C1080" s="26" t="s">
        <v>88</v>
      </c>
      <c r="D1080" s="163"/>
      <c r="E1080" s="166">
        <v>417</v>
      </c>
      <c r="F1080" s="92" t="s">
        <v>397</v>
      </c>
      <c r="G1080" s="20" t="s">
        <v>1490</v>
      </c>
      <c r="H1080" s="18">
        <v>0</v>
      </c>
      <c r="I1080" s="18">
        <v>1</v>
      </c>
      <c r="J1080" s="4" t="s">
        <v>12</v>
      </c>
      <c r="K1080" s="26" t="s">
        <v>11</v>
      </c>
      <c r="L1080" s="172">
        <v>1</v>
      </c>
      <c r="M1080" s="6">
        <v>0</v>
      </c>
      <c r="N1080" s="6"/>
      <c r="O1080" s="6">
        <v>0</v>
      </c>
      <c r="P1080" s="6"/>
      <c r="Q1080" s="7">
        <v>0</v>
      </c>
      <c r="R1080" s="6"/>
      <c r="S1080" s="1">
        <v>0</v>
      </c>
      <c r="U1080" s="1">
        <v>0</v>
      </c>
      <c r="W1080" s="1" t="str">
        <f t="shared" si="16"/>
        <v>No</v>
      </c>
    </row>
    <row r="1081" spans="1:23" s="1" customFormat="1" ht="11.25">
      <c r="A1081" s="2" t="s">
        <v>808</v>
      </c>
      <c r="B1081" s="21" t="s">
        <v>809</v>
      </c>
      <c r="C1081" s="26" t="s">
        <v>88</v>
      </c>
      <c r="D1081" s="163">
        <v>60</v>
      </c>
      <c r="E1081" s="166">
        <v>60</v>
      </c>
      <c r="F1081" s="92" t="s">
        <v>397</v>
      </c>
      <c r="G1081" s="20" t="s">
        <v>1490</v>
      </c>
      <c r="H1081" s="18">
        <v>145140</v>
      </c>
      <c r="I1081" s="18">
        <v>1</v>
      </c>
      <c r="J1081" s="4" t="s">
        <v>12</v>
      </c>
      <c r="K1081" s="26" t="s">
        <v>11</v>
      </c>
      <c r="L1081" s="172">
        <v>1</v>
      </c>
      <c r="M1081" s="6">
        <v>0</v>
      </c>
      <c r="N1081" s="6"/>
      <c r="O1081" s="6">
        <v>0</v>
      </c>
      <c r="P1081" s="6"/>
      <c r="Q1081" s="7">
        <v>0</v>
      </c>
      <c r="R1081" s="6"/>
      <c r="S1081" s="1">
        <v>0</v>
      </c>
      <c r="U1081" s="1">
        <v>0</v>
      </c>
      <c r="W1081" s="1" t="str">
        <f t="shared" si="16"/>
        <v>No</v>
      </c>
    </row>
    <row r="1082" spans="1:23" s="1" customFormat="1" ht="11.25">
      <c r="A1082" s="2" t="s">
        <v>1646</v>
      </c>
      <c r="B1082" s="21" t="s">
        <v>1673</v>
      </c>
      <c r="C1082" s="26" t="s">
        <v>32</v>
      </c>
      <c r="D1082" s="163"/>
      <c r="E1082" s="166">
        <v>40240</v>
      </c>
      <c r="F1082" s="92" t="s">
        <v>152</v>
      </c>
      <c r="G1082" s="20" t="s">
        <v>1490</v>
      </c>
      <c r="H1082" s="18">
        <v>5502379</v>
      </c>
      <c r="I1082" s="18">
        <v>1</v>
      </c>
      <c r="J1082" s="4" t="s">
        <v>12</v>
      </c>
      <c r="K1082" s="26" t="s">
        <v>11</v>
      </c>
      <c r="L1082" s="172">
        <v>1</v>
      </c>
      <c r="M1082" s="6">
        <v>0</v>
      </c>
      <c r="N1082" s="6"/>
      <c r="O1082" s="6">
        <v>0</v>
      </c>
      <c r="P1082" s="6"/>
      <c r="Q1082" s="7">
        <v>0</v>
      </c>
      <c r="R1082" s="6"/>
      <c r="S1082" s="1">
        <v>0</v>
      </c>
      <c r="U1082" s="1">
        <v>0</v>
      </c>
      <c r="W1082" s="1" t="str">
        <f t="shared" si="16"/>
        <v>No</v>
      </c>
    </row>
    <row r="1083" spans="1:23" s="1" customFormat="1" ht="11.25">
      <c r="A1083" s="2" t="s">
        <v>1813</v>
      </c>
      <c r="B1083" s="21" t="s">
        <v>1814</v>
      </c>
      <c r="C1083" s="26" t="s">
        <v>32</v>
      </c>
      <c r="D1083" s="163"/>
      <c r="E1083" s="166">
        <v>40248</v>
      </c>
      <c r="F1083" s="92" t="s">
        <v>152</v>
      </c>
      <c r="G1083" s="20" t="s">
        <v>1490</v>
      </c>
      <c r="H1083" s="18">
        <v>5502379</v>
      </c>
      <c r="I1083" s="18">
        <v>1</v>
      </c>
      <c r="J1083" s="4" t="s">
        <v>12</v>
      </c>
      <c r="K1083" s="26" t="s">
        <v>15</v>
      </c>
      <c r="L1083" s="172">
        <v>1</v>
      </c>
      <c r="M1083" s="6">
        <v>0</v>
      </c>
      <c r="N1083" s="6"/>
      <c r="O1083" s="6">
        <v>0</v>
      </c>
      <c r="P1083" s="6"/>
      <c r="Q1083" s="7">
        <v>0</v>
      </c>
      <c r="R1083" s="6"/>
      <c r="S1083" s="1">
        <v>0</v>
      </c>
      <c r="U1083" s="1">
        <v>0</v>
      </c>
      <c r="W1083" s="1" t="str">
        <f t="shared" si="16"/>
        <v>No</v>
      </c>
    </row>
    <row r="1084" spans="1:23" s="1" customFormat="1" ht="11.25">
      <c r="A1084" s="2" t="s">
        <v>1818</v>
      </c>
      <c r="B1084" s="21" t="s">
        <v>1713</v>
      </c>
      <c r="C1084" s="26" t="s">
        <v>19</v>
      </c>
      <c r="D1084" s="163"/>
      <c r="E1084" s="166">
        <v>90269</v>
      </c>
      <c r="F1084" s="92" t="s">
        <v>152</v>
      </c>
      <c r="G1084" s="20" t="s">
        <v>1490</v>
      </c>
      <c r="H1084" s="18">
        <v>12150996</v>
      </c>
      <c r="I1084" s="18">
        <v>1</v>
      </c>
      <c r="J1084" s="4" t="s">
        <v>12</v>
      </c>
      <c r="K1084" s="26" t="s">
        <v>15</v>
      </c>
      <c r="L1084" s="172">
        <v>1</v>
      </c>
      <c r="M1084" s="6">
        <v>0</v>
      </c>
      <c r="N1084" s="6"/>
      <c r="O1084" s="6">
        <v>0</v>
      </c>
      <c r="P1084" s="6"/>
      <c r="Q1084" s="7">
        <v>0</v>
      </c>
      <c r="R1084" s="6"/>
      <c r="S1084" s="1">
        <v>0</v>
      </c>
      <c r="U1084" s="1">
        <v>0</v>
      </c>
      <c r="W1084" s="1" t="str">
        <f t="shared" si="16"/>
        <v>No</v>
      </c>
    </row>
    <row r="1085" spans="1:23" s="1" customFormat="1" ht="11.25">
      <c r="A1085" s="2" t="s">
        <v>1890</v>
      </c>
      <c r="B1085" s="21" t="s">
        <v>1891</v>
      </c>
      <c r="C1085" s="26" t="s">
        <v>59</v>
      </c>
      <c r="D1085" s="163" t="s">
        <v>1892</v>
      </c>
      <c r="E1085" s="166">
        <v>77069</v>
      </c>
      <c r="F1085" s="92" t="s">
        <v>397</v>
      </c>
      <c r="G1085" s="20" t="s">
        <v>1490</v>
      </c>
      <c r="H1085" s="18">
        <v>0</v>
      </c>
      <c r="I1085" s="18">
        <v>1</v>
      </c>
      <c r="J1085" s="4" t="s">
        <v>12</v>
      </c>
      <c r="K1085" s="26" t="s">
        <v>11</v>
      </c>
      <c r="L1085" s="172">
        <v>1</v>
      </c>
      <c r="M1085" s="6">
        <v>0</v>
      </c>
      <c r="N1085" s="6"/>
      <c r="O1085" s="6">
        <v>0</v>
      </c>
      <c r="P1085" s="6"/>
      <c r="Q1085" s="7">
        <v>0</v>
      </c>
      <c r="R1085" s="6"/>
      <c r="S1085" s="1">
        <v>0</v>
      </c>
      <c r="U1085" s="1">
        <v>0</v>
      </c>
      <c r="W1085" s="1" t="str">
        <f t="shared" si="16"/>
        <v>No</v>
      </c>
    </row>
    <row r="1086" spans="1:23" s="1" customFormat="1" ht="11.25">
      <c r="A1086" s="2" t="s">
        <v>1625</v>
      </c>
      <c r="B1086" s="21" t="s">
        <v>1661</v>
      </c>
      <c r="C1086" s="26" t="s">
        <v>45</v>
      </c>
      <c r="D1086" s="163">
        <v>1156</v>
      </c>
      <c r="E1086" s="166">
        <v>10178</v>
      </c>
      <c r="F1086" s="92" t="s">
        <v>152</v>
      </c>
      <c r="G1086" s="20" t="s">
        <v>1490</v>
      </c>
      <c r="H1086" s="18">
        <v>4181019</v>
      </c>
      <c r="I1086" s="18">
        <v>1</v>
      </c>
      <c r="J1086" s="4" t="s">
        <v>12</v>
      </c>
      <c r="K1086" s="26" t="s">
        <v>11</v>
      </c>
      <c r="L1086" s="172">
        <v>1</v>
      </c>
      <c r="M1086" s="6">
        <v>0</v>
      </c>
      <c r="N1086" s="6"/>
      <c r="O1086" s="6">
        <v>0</v>
      </c>
      <c r="P1086" s="6"/>
      <c r="Q1086" s="7">
        <v>0</v>
      </c>
      <c r="R1086" s="6"/>
      <c r="S1086" s="1">
        <v>0</v>
      </c>
      <c r="U1086" s="1">
        <v>0</v>
      </c>
      <c r="W1086" s="1" t="str">
        <f t="shared" si="16"/>
        <v>No</v>
      </c>
    </row>
    <row r="1087" spans="1:23" s="1" customFormat="1" ht="11.25">
      <c r="A1087" s="2" t="s">
        <v>1629</v>
      </c>
      <c r="B1087" s="21" t="s">
        <v>1096</v>
      </c>
      <c r="C1087" s="26" t="s">
        <v>45</v>
      </c>
      <c r="D1087" s="163">
        <v>1160</v>
      </c>
      <c r="E1087" s="166">
        <v>10182</v>
      </c>
      <c r="F1087" s="92" t="s">
        <v>197</v>
      </c>
      <c r="G1087" s="20" t="s">
        <v>1490</v>
      </c>
      <c r="H1087" s="18">
        <v>4181019</v>
      </c>
      <c r="I1087" s="18">
        <v>1</v>
      </c>
      <c r="J1087" s="4" t="s">
        <v>12</v>
      </c>
      <c r="K1087" s="26" t="s">
        <v>15</v>
      </c>
      <c r="L1087" s="172">
        <v>1</v>
      </c>
      <c r="M1087" s="6">
        <v>0</v>
      </c>
      <c r="N1087" s="6"/>
      <c r="O1087" s="6">
        <v>0</v>
      </c>
      <c r="P1087" s="6"/>
      <c r="Q1087" s="7">
        <v>0</v>
      </c>
      <c r="R1087" s="6"/>
      <c r="S1087" s="1">
        <v>0</v>
      </c>
      <c r="U1087" s="1">
        <v>0</v>
      </c>
      <c r="W1087" s="1" t="str">
        <f t="shared" si="16"/>
        <v>No</v>
      </c>
    </row>
    <row r="1088" spans="1:23" s="1" customFormat="1" ht="11.25">
      <c r="A1088" s="2" t="s">
        <v>821</v>
      </c>
      <c r="B1088" s="21" t="s">
        <v>822</v>
      </c>
      <c r="C1088" s="26" t="s">
        <v>69</v>
      </c>
      <c r="D1088" s="163">
        <v>2213</v>
      </c>
      <c r="E1088" s="166">
        <v>20213</v>
      </c>
      <c r="F1088" s="92" t="s">
        <v>152</v>
      </c>
      <c r="G1088" s="20" t="s">
        <v>1490</v>
      </c>
      <c r="H1088" s="18">
        <v>594962</v>
      </c>
      <c r="I1088" s="18">
        <v>1</v>
      </c>
      <c r="J1088" s="4" t="s">
        <v>12</v>
      </c>
      <c r="K1088" s="26" t="s">
        <v>11</v>
      </c>
      <c r="L1088" s="172">
        <v>1</v>
      </c>
      <c r="M1088" s="6">
        <v>0</v>
      </c>
      <c r="N1088" s="6"/>
      <c r="O1088" s="6">
        <v>0</v>
      </c>
      <c r="P1088" s="6"/>
      <c r="Q1088" s="7">
        <v>0</v>
      </c>
      <c r="R1088" s="6"/>
      <c r="S1088" s="1">
        <v>0</v>
      </c>
      <c r="U1088" s="1">
        <v>0</v>
      </c>
      <c r="W1088" s="1" t="str">
        <f t="shared" si="16"/>
        <v>No</v>
      </c>
    </row>
    <row r="1089" spans="1:23" s="1" customFormat="1" ht="11.25">
      <c r="A1089" s="2" t="s">
        <v>594</v>
      </c>
      <c r="B1089" s="21" t="s">
        <v>595</v>
      </c>
      <c r="C1089" s="26" t="s">
        <v>9</v>
      </c>
      <c r="D1089" s="163" t="s">
        <v>596</v>
      </c>
      <c r="E1089" s="166">
        <v>175</v>
      </c>
      <c r="F1089" s="92" t="s">
        <v>397</v>
      </c>
      <c r="G1089" s="20" t="s">
        <v>1490</v>
      </c>
      <c r="H1089" s="18">
        <v>0</v>
      </c>
      <c r="I1089" s="18">
        <v>1</v>
      </c>
      <c r="J1089" s="4" t="s">
        <v>12</v>
      </c>
      <c r="K1089" s="26" t="s">
        <v>11</v>
      </c>
      <c r="L1089" s="172">
        <v>1</v>
      </c>
      <c r="M1089" s="6">
        <v>0</v>
      </c>
      <c r="N1089" s="6"/>
      <c r="O1089" s="6">
        <v>0</v>
      </c>
      <c r="P1089" s="6"/>
      <c r="Q1089" s="7">
        <v>0</v>
      </c>
      <c r="R1089" s="6"/>
      <c r="S1089" s="1">
        <v>0</v>
      </c>
      <c r="U1089" s="1">
        <v>0</v>
      </c>
      <c r="W1089" s="1" t="str">
        <f t="shared" si="16"/>
        <v>No</v>
      </c>
    </row>
    <row r="1090" spans="1:23" s="1" customFormat="1" ht="11.25">
      <c r="A1090" s="2" t="s">
        <v>1808</v>
      </c>
      <c r="B1090" s="21" t="s">
        <v>1809</v>
      </c>
      <c r="C1090" s="26" t="s">
        <v>9</v>
      </c>
      <c r="D1090" s="163" t="s">
        <v>1810</v>
      </c>
      <c r="E1090" s="166">
        <v>271</v>
      </c>
      <c r="F1090" s="92" t="s">
        <v>397</v>
      </c>
      <c r="G1090" s="20" t="s">
        <v>1490</v>
      </c>
      <c r="H1090" s="18">
        <v>0</v>
      </c>
      <c r="I1090" s="18">
        <v>1</v>
      </c>
      <c r="J1090" s="4" t="s">
        <v>12</v>
      </c>
      <c r="K1090" s="26" t="s">
        <v>11</v>
      </c>
      <c r="L1090" s="172">
        <v>1</v>
      </c>
      <c r="M1090" s="6">
        <v>0</v>
      </c>
      <c r="N1090" s="6"/>
      <c r="O1090" s="6">
        <v>0</v>
      </c>
      <c r="P1090" s="6"/>
      <c r="Q1090" s="7">
        <v>0</v>
      </c>
      <c r="R1090" s="6"/>
      <c r="S1090" s="1">
        <v>0</v>
      </c>
      <c r="U1090" s="1">
        <v>0</v>
      </c>
      <c r="W1090" s="1" t="str">
        <f t="shared" ref="W1090:W1096" si="17">IF(V1090&amp;T1090&amp;R1090&amp;P1090&amp;N1090&lt;&gt;"","Yes","No")</f>
        <v>No</v>
      </c>
    </row>
    <row r="1091" spans="1:23" s="1" customFormat="1" ht="11.25">
      <c r="A1091" s="2" t="s">
        <v>1816</v>
      </c>
      <c r="B1091" s="21" t="s">
        <v>1817</v>
      </c>
      <c r="C1091" s="26" t="s">
        <v>32</v>
      </c>
      <c r="D1091" s="163"/>
      <c r="E1091" s="166">
        <v>40263</v>
      </c>
      <c r="F1091" s="92" t="s">
        <v>152</v>
      </c>
      <c r="G1091" s="20" t="s">
        <v>1490</v>
      </c>
      <c r="H1091" s="18">
        <v>5502379</v>
      </c>
      <c r="I1091" s="18">
        <v>1</v>
      </c>
      <c r="J1091" s="4" t="s">
        <v>12</v>
      </c>
      <c r="K1091" s="26" t="s">
        <v>15</v>
      </c>
      <c r="L1091" s="172">
        <v>1</v>
      </c>
      <c r="M1091" s="6">
        <v>0</v>
      </c>
      <c r="N1091" s="6"/>
      <c r="O1091" s="6">
        <v>0</v>
      </c>
      <c r="P1091" s="6"/>
      <c r="Q1091" s="7">
        <v>0</v>
      </c>
      <c r="R1091" s="6"/>
      <c r="S1091" s="1">
        <v>0</v>
      </c>
      <c r="U1091" s="1">
        <v>0</v>
      </c>
      <c r="W1091" s="1" t="str">
        <f t="shared" si="17"/>
        <v>No</v>
      </c>
    </row>
    <row r="1092" spans="1:23" s="1" customFormat="1" ht="11.25">
      <c r="A1092" s="2" t="s">
        <v>779</v>
      </c>
      <c r="B1092" s="21" t="s">
        <v>780</v>
      </c>
      <c r="C1092" s="26" t="s">
        <v>88</v>
      </c>
      <c r="D1092" s="163" t="s">
        <v>781</v>
      </c>
      <c r="E1092" s="166">
        <v>36</v>
      </c>
      <c r="F1092" s="92" t="s">
        <v>397</v>
      </c>
      <c r="G1092" s="20" t="s">
        <v>1490</v>
      </c>
      <c r="H1092" s="18">
        <v>0</v>
      </c>
      <c r="I1092" s="18">
        <v>1</v>
      </c>
      <c r="J1092" s="4" t="s">
        <v>12</v>
      </c>
      <c r="K1092" s="26" t="s">
        <v>11</v>
      </c>
      <c r="L1092" s="172">
        <v>1</v>
      </c>
      <c r="M1092" s="6">
        <v>0</v>
      </c>
      <c r="N1092" s="6"/>
      <c r="O1092" s="6">
        <v>0</v>
      </c>
      <c r="P1092" s="6"/>
      <c r="Q1092" s="7">
        <v>0</v>
      </c>
      <c r="R1092" s="6"/>
      <c r="S1092" s="1">
        <v>0</v>
      </c>
      <c r="U1092" s="1">
        <v>0</v>
      </c>
      <c r="W1092" s="1" t="str">
        <f t="shared" si="17"/>
        <v>No</v>
      </c>
    </row>
    <row r="1093" spans="1:23" s="1" customFormat="1" ht="11.25">
      <c r="A1093" s="2" t="s">
        <v>1819</v>
      </c>
      <c r="B1093" s="21" t="s">
        <v>1713</v>
      </c>
      <c r="C1093" s="26" t="s">
        <v>19</v>
      </c>
      <c r="D1093" s="163"/>
      <c r="E1093" s="166">
        <v>90270</v>
      </c>
      <c r="F1093" s="92" t="s">
        <v>152</v>
      </c>
      <c r="G1093" s="20" t="s">
        <v>1490</v>
      </c>
      <c r="H1093" s="18">
        <v>12150996</v>
      </c>
      <c r="I1093" s="18">
        <v>1</v>
      </c>
      <c r="J1093" s="4" t="s">
        <v>12</v>
      </c>
      <c r="K1093" s="26" t="s">
        <v>15</v>
      </c>
      <c r="L1093" s="172">
        <v>1</v>
      </c>
      <c r="M1093" s="6">
        <v>0</v>
      </c>
      <c r="N1093" s="6"/>
      <c r="O1093" s="6">
        <v>0</v>
      </c>
      <c r="P1093" s="6"/>
      <c r="Q1093" s="7">
        <v>0</v>
      </c>
      <c r="R1093" s="6"/>
      <c r="S1093" s="1">
        <v>0</v>
      </c>
      <c r="U1093" s="1">
        <v>0</v>
      </c>
      <c r="W1093" s="1" t="str">
        <f t="shared" si="17"/>
        <v>No</v>
      </c>
    </row>
    <row r="1094" spans="1:23" s="1" customFormat="1" ht="11.25">
      <c r="A1094" s="2" t="s">
        <v>1812</v>
      </c>
      <c r="B1094" s="21" t="s">
        <v>1713</v>
      </c>
      <c r="C1094" s="26" t="s">
        <v>19</v>
      </c>
      <c r="D1094" s="163"/>
      <c r="E1094" s="166">
        <v>90274</v>
      </c>
      <c r="F1094" s="92" t="s">
        <v>152</v>
      </c>
      <c r="G1094" s="20" t="s">
        <v>1490</v>
      </c>
      <c r="H1094" s="18">
        <v>11402946</v>
      </c>
      <c r="I1094" s="18">
        <v>1</v>
      </c>
      <c r="J1094" s="4" t="s">
        <v>12</v>
      </c>
      <c r="K1094" s="26" t="s">
        <v>15</v>
      </c>
      <c r="L1094" s="172">
        <v>1</v>
      </c>
      <c r="M1094" s="6">
        <v>0</v>
      </c>
      <c r="N1094" s="6"/>
      <c r="O1094" s="6">
        <v>0</v>
      </c>
      <c r="P1094" s="6"/>
      <c r="Q1094" s="7">
        <v>0</v>
      </c>
      <c r="R1094" s="6"/>
      <c r="S1094" s="1">
        <v>0</v>
      </c>
      <c r="U1094" s="1">
        <v>0</v>
      </c>
      <c r="W1094" s="1" t="str">
        <f t="shared" si="17"/>
        <v>No</v>
      </c>
    </row>
    <row r="1095" spans="1:23" s="1" customFormat="1" ht="11.25">
      <c r="A1095" s="2" t="s">
        <v>1806</v>
      </c>
      <c r="B1095" s="21" t="s">
        <v>1807</v>
      </c>
      <c r="C1095" s="26" t="s">
        <v>32</v>
      </c>
      <c r="D1095" s="163"/>
      <c r="E1095" s="166">
        <v>40260</v>
      </c>
      <c r="F1095" s="92" t="s">
        <v>152</v>
      </c>
      <c r="G1095" s="20" t="s">
        <v>1490</v>
      </c>
      <c r="H1095" s="18">
        <v>5502379</v>
      </c>
      <c r="I1095" s="18">
        <v>1</v>
      </c>
      <c r="J1095" s="4" t="s">
        <v>12</v>
      </c>
      <c r="K1095" s="26" t="s">
        <v>15</v>
      </c>
      <c r="L1095" s="172">
        <v>1</v>
      </c>
      <c r="M1095" s="6">
        <v>0</v>
      </c>
      <c r="N1095" s="6"/>
      <c r="O1095" s="6">
        <v>0</v>
      </c>
      <c r="P1095" s="6"/>
      <c r="Q1095" s="7">
        <v>0</v>
      </c>
      <c r="R1095" s="6"/>
      <c r="S1095" s="1">
        <v>0</v>
      </c>
      <c r="U1095" s="1">
        <v>0</v>
      </c>
      <c r="W1095" s="1" t="str">
        <f t="shared" si="17"/>
        <v>No</v>
      </c>
    </row>
    <row r="1096" spans="1:23" s="1" customFormat="1" ht="11.25">
      <c r="A1096" s="2" t="s">
        <v>1815</v>
      </c>
      <c r="B1096" s="21" t="s">
        <v>1713</v>
      </c>
      <c r="C1096" s="26" t="s">
        <v>19</v>
      </c>
      <c r="D1096" s="163"/>
      <c r="E1096" s="166">
        <v>90275</v>
      </c>
      <c r="F1096" s="92" t="s">
        <v>152</v>
      </c>
      <c r="G1096" s="20" t="s">
        <v>1490</v>
      </c>
      <c r="H1096" s="18">
        <v>12150996</v>
      </c>
      <c r="I1096" s="18">
        <v>1</v>
      </c>
      <c r="J1096" s="4" t="s">
        <v>12</v>
      </c>
      <c r="K1096" s="26" t="s">
        <v>15</v>
      </c>
      <c r="L1096" s="172">
        <v>1</v>
      </c>
      <c r="M1096" s="6">
        <v>0</v>
      </c>
      <c r="N1096" s="6"/>
      <c r="O1096" s="6">
        <v>0</v>
      </c>
      <c r="P1096" s="6"/>
      <c r="Q1096" s="7">
        <v>0</v>
      </c>
      <c r="R1096" s="6"/>
      <c r="S1096" s="1">
        <v>0</v>
      </c>
      <c r="U1096" s="1">
        <v>0</v>
      </c>
      <c r="W1096" s="1" t="str">
        <f t="shared" si="17"/>
        <v>No</v>
      </c>
    </row>
    <row r="1097" spans="1:23" s="1" customFormat="1" ht="11.25">
      <c r="A1097" s="3" t="s">
        <v>510</v>
      </c>
      <c r="B1097" s="1" t="s">
        <v>511</v>
      </c>
      <c r="C1097" s="5" t="s">
        <v>19</v>
      </c>
      <c r="D1097" s="162" t="s">
        <v>512</v>
      </c>
      <c r="E1097" s="165">
        <v>99292</v>
      </c>
      <c r="F1097" s="5" t="s">
        <v>397</v>
      </c>
      <c r="G1097" s="5" t="s">
        <v>1490</v>
      </c>
      <c r="H1097" s="19">
        <v>0</v>
      </c>
      <c r="I1097" s="19">
        <v>1</v>
      </c>
      <c r="J1097" s="5" t="s">
        <v>12</v>
      </c>
      <c r="K1097" s="5" t="s">
        <v>11</v>
      </c>
      <c r="L1097" s="173">
        <v>1</v>
      </c>
      <c r="M1097" s="1">
        <v>2</v>
      </c>
      <c r="O1097" s="1">
        <v>0</v>
      </c>
      <c r="Q1097" s="8">
        <v>2</v>
      </c>
      <c r="S1097" s="1">
        <v>0</v>
      </c>
      <c r="U1097" s="1">
        <v>0</v>
      </c>
    </row>
    <row r="1098" spans="1:23" s="1" customFormat="1" ht="11.25">
      <c r="A1098" s="3" t="s">
        <v>696</v>
      </c>
      <c r="B1098" s="1" t="s">
        <v>697</v>
      </c>
      <c r="C1098" s="5" t="s">
        <v>9</v>
      </c>
      <c r="D1098" s="162" t="s">
        <v>698</v>
      </c>
      <c r="E1098" s="165">
        <v>199</v>
      </c>
      <c r="F1098" s="5" t="s">
        <v>397</v>
      </c>
      <c r="G1098" s="5" t="s">
        <v>1490</v>
      </c>
      <c r="H1098" s="19">
        <v>0</v>
      </c>
      <c r="I1098" s="19">
        <v>1</v>
      </c>
      <c r="J1098" s="5" t="s">
        <v>22</v>
      </c>
      <c r="K1098" s="5" t="s">
        <v>11</v>
      </c>
      <c r="L1098" s="173">
        <v>1</v>
      </c>
      <c r="M1098" s="1">
        <v>2</v>
      </c>
      <c r="O1098" s="1">
        <v>0</v>
      </c>
      <c r="Q1098" s="8">
        <v>2</v>
      </c>
      <c r="S1098" s="1">
        <v>0</v>
      </c>
      <c r="U1098" s="1">
        <v>0</v>
      </c>
    </row>
    <row r="1099" spans="1:23" s="1" customFormat="1" ht="11.25">
      <c r="A1099" s="3" t="s">
        <v>1151</v>
      </c>
      <c r="B1099" s="1" t="s">
        <v>1152</v>
      </c>
      <c r="C1099" s="5" t="s">
        <v>9</v>
      </c>
      <c r="D1099" s="162"/>
      <c r="E1099" s="165">
        <v>400</v>
      </c>
      <c r="F1099" s="5" t="s">
        <v>397</v>
      </c>
      <c r="G1099" s="5" t="s">
        <v>1490</v>
      </c>
      <c r="H1099" s="19">
        <v>0</v>
      </c>
      <c r="I1099" s="19">
        <v>1</v>
      </c>
      <c r="J1099" s="5" t="s">
        <v>12</v>
      </c>
      <c r="K1099" s="5" t="s">
        <v>11</v>
      </c>
      <c r="L1099" s="173">
        <v>1</v>
      </c>
      <c r="M1099" s="1">
        <v>0</v>
      </c>
      <c r="O1099" s="1">
        <v>0</v>
      </c>
      <c r="Q1099" s="8">
        <v>0</v>
      </c>
      <c r="S1099" s="1">
        <v>0</v>
      </c>
      <c r="U1099" s="1">
        <v>0</v>
      </c>
    </row>
    <row r="1100" spans="1:23" s="1" customFormat="1" ht="11.25">
      <c r="A1100" s="3" t="s">
        <v>1811</v>
      </c>
      <c r="B1100" s="1" t="s">
        <v>1713</v>
      </c>
      <c r="C1100" s="5" t="s">
        <v>19</v>
      </c>
      <c r="D1100" s="162"/>
      <c r="E1100" s="165">
        <v>90272</v>
      </c>
      <c r="F1100" s="5" t="s">
        <v>152</v>
      </c>
      <c r="G1100" s="5" t="s">
        <v>1490</v>
      </c>
      <c r="H1100" s="19">
        <v>12150996</v>
      </c>
      <c r="I1100" s="19">
        <v>1</v>
      </c>
      <c r="J1100" s="5" t="s">
        <v>12</v>
      </c>
      <c r="K1100" s="5" t="s">
        <v>15</v>
      </c>
      <c r="L1100" s="173">
        <v>1</v>
      </c>
      <c r="M1100" s="1">
        <v>0</v>
      </c>
      <c r="O1100" s="1">
        <v>0</v>
      </c>
      <c r="Q1100" s="8">
        <v>0</v>
      </c>
      <c r="S1100" s="1">
        <v>0</v>
      </c>
      <c r="U1100" s="1">
        <v>0</v>
      </c>
    </row>
  </sheetData>
  <autoFilter ref="A1:W1010" xr:uid="{00000000-0009-0000-0000-000002000000}">
    <sortState ref="A2:W1096">
      <sortCondition descending="1" ref="I1:I1010"/>
    </sortState>
  </autoFilter>
  <conditionalFormatting sqref="A1:XFD1100">
    <cfRule type="expression" dxfId="5" priority="3">
      <formula>MOD(ROW(),2)=0</formula>
    </cfRule>
  </conditionalFormatting>
  <conditionalFormatting sqref="A31">
    <cfRule type="expression" dxfId="4" priority="1">
      <formula>MOD(ROW(),2)=0</formula>
    </cfRule>
    <cfRule type="expression" priority="2">
      <formula>MOD(ROW(),2)=0</formula>
    </cfRule>
  </conditionalFormatting>
  <pageMargins left="0" right="0" top="0" bottom="0" header="0" footer="0"/>
  <pageSetup paperSize="9" firstPageNumber="0" fitToWidth="0" fitToHeight="0"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48" r:id="rId3" name="Drop Down 24">
              <controlPr defaultSize="0" autoLine="0" autoPict="0" macro="[0]!ThisWorkbook.DropDown24_Change" altText="This drop-down menu shows or hides columns indicating the presence of &quot;questionable&quot; data.">
                <anchor moveWithCells="1">
                  <from>
                    <xdr:col>23</xdr:col>
                    <xdr:colOff>161925</xdr:colOff>
                    <xdr:row>0</xdr:row>
                    <xdr:rowOff>133350</xdr:rowOff>
                  </from>
                  <to>
                    <xdr:col>26</xdr:col>
                    <xdr:colOff>0</xdr:colOff>
                    <xdr:row>0</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W838"/>
  <sheetViews>
    <sheetView workbookViewId="0">
      <pane xSplit="3" ySplit="1" topLeftCell="D2" activePane="bottomRight" state="frozen"/>
      <selection pane="topRight" activeCell="D1" sqref="D1"/>
      <selection pane="bottomLeft" activeCell="A2" sqref="A2"/>
      <selection pane="bottomRight"/>
    </sheetView>
  </sheetViews>
  <sheetFormatPr defaultColWidth="8.85546875" defaultRowHeight="12.75"/>
  <cols>
    <col min="1" max="1" width="34" customWidth="1"/>
    <col min="2" max="2" width="15.42578125" customWidth="1"/>
    <col min="3" max="3" width="7.28515625" customWidth="1"/>
    <col min="4" max="5" width="8.85546875" customWidth="1"/>
    <col min="6" max="6" width="19.85546875" customWidth="1"/>
    <col min="7" max="7" width="14.7109375" customWidth="1"/>
    <col min="8" max="8" width="13" customWidth="1"/>
    <col min="9" max="9" width="8.85546875" customWidth="1"/>
    <col min="10" max="10" width="9.85546875" customWidth="1"/>
    <col min="11" max="11" width="12.140625" hidden="1" customWidth="1"/>
    <col min="12" max="12" width="10" customWidth="1"/>
    <col min="13" max="13" width="12.5703125" hidden="1" customWidth="1"/>
    <col min="14" max="14" width="9.7109375" bestFit="1" customWidth="1"/>
    <col min="15" max="15" width="11.42578125" hidden="1" customWidth="1"/>
    <col min="16" max="16" width="10.5703125" bestFit="1" customWidth="1"/>
    <col min="17" max="17" width="12" hidden="1" customWidth="1"/>
    <col min="18" max="18" width="10.42578125" bestFit="1" customWidth="1"/>
    <col min="19" max="19" width="12.28515625" hidden="1" customWidth="1"/>
    <col min="20" max="20" width="13.140625" hidden="1" customWidth="1"/>
    <col min="22" max="22" width="23.42578125" customWidth="1"/>
    <col min="23" max="23" width="0" hidden="1" customWidth="1"/>
  </cols>
  <sheetData>
    <row r="1" spans="1:23" s="15" customFormat="1" ht="45">
      <c r="A1" s="15" t="s">
        <v>1</v>
      </c>
      <c r="B1" s="15" t="s">
        <v>97</v>
      </c>
      <c r="C1" s="15" t="s">
        <v>0</v>
      </c>
      <c r="D1" s="167" t="s">
        <v>1683</v>
      </c>
      <c r="E1" s="168" t="s">
        <v>1684</v>
      </c>
      <c r="F1" s="15" t="s">
        <v>1465</v>
      </c>
      <c r="G1" s="15" t="s">
        <v>128</v>
      </c>
      <c r="H1" s="22" t="s">
        <v>139</v>
      </c>
      <c r="I1" s="22" t="s">
        <v>142</v>
      </c>
      <c r="J1" s="15" t="s">
        <v>144</v>
      </c>
      <c r="K1" s="15" t="s">
        <v>1544</v>
      </c>
      <c r="L1" s="15" t="s">
        <v>145</v>
      </c>
      <c r="M1" s="15" t="s">
        <v>1545</v>
      </c>
      <c r="N1" s="15" t="s">
        <v>8</v>
      </c>
      <c r="O1" s="15" t="s">
        <v>1546</v>
      </c>
      <c r="P1" s="15" t="s">
        <v>140</v>
      </c>
      <c r="Q1" s="15" t="s">
        <v>1547</v>
      </c>
      <c r="R1" s="15" t="s">
        <v>141</v>
      </c>
      <c r="S1" s="15" t="s">
        <v>1548</v>
      </c>
      <c r="T1" s="15" t="s">
        <v>1549</v>
      </c>
      <c r="W1" s="15">
        <f>IF(W4=1,1,0)</f>
        <v>1</v>
      </c>
    </row>
    <row r="2" spans="1:23" s="14" customFormat="1" ht="11.25">
      <c r="A2" s="14" t="s">
        <v>1161</v>
      </c>
      <c r="B2" s="14" t="s">
        <v>351</v>
      </c>
      <c r="C2" s="14" t="s">
        <v>69</v>
      </c>
      <c r="D2" s="169">
        <v>2008</v>
      </c>
      <c r="E2" s="170">
        <v>20008</v>
      </c>
      <c r="F2" s="14" t="s">
        <v>326</v>
      </c>
      <c r="G2" s="14" t="s">
        <v>149</v>
      </c>
      <c r="H2" s="23">
        <v>18351295</v>
      </c>
      <c r="I2" s="23">
        <v>10936</v>
      </c>
      <c r="J2" s="14">
        <v>114</v>
      </c>
      <c r="L2" s="14">
        <v>360</v>
      </c>
      <c r="N2" s="24">
        <v>474</v>
      </c>
      <c r="P2" s="14">
        <v>291</v>
      </c>
      <c r="R2" s="14">
        <v>266</v>
      </c>
      <c r="T2" s="14" t="str">
        <f>IF(S2&amp;Q2&amp;O2&amp;M2&amp;K2&lt;&gt;"","Yes","No")</f>
        <v>No</v>
      </c>
      <c r="W2" s="14" t="s">
        <v>1617</v>
      </c>
    </row>
    <row r="3" spans="1:23" s="14" customFormat="1" ht="11.25">
      <c r="A3" s="14" t="s">
        <v>1159</v>
      </c>
      <c r="B3" s="14" t="s">
        <v>1158</v>
      </c>
      <c r="C3" s="14" t="s">
        <v>62</v>
      </c>
      <c r="D3" s="169">
        <v>2080</v>
      </c>
      <c r="E3" s="170">
        <v>20080</v>
      </c>
      <c r="F3" s="14" t="s">
        <v>348</v>
      </c>
      <c r="G3" s="14" t="s">
        <v>149</v>
      </c>
      <c r="H3" s="23">
        <v>18351295</v>
      </c>
      <c r="I3" s="23">
        <v>4013</v>
      </c>
      <c r="J3" s="14">
        <v>165</v>
      </c>
      <c r="L3" s="14">
        <v>93</v>
      </c>
      <c r="N3" s="24">
        <v>258</v>
      </c>
      <c r="P3" s="14">
        <v>131</v>
      </c>
      <c r="R3" s="14">
        <v>77</v>
      </c>
      <c r="T3" s="14" t="str">
        <f t="shared" ref="T3:T66" si="0">IF(S3&amp;Q3&amp;O3&amp;M3&amp;K3&lt;&gt;"","Yes","No")</f>
        <v>No</v>
      </c>
      <c r="W3" s="14" t="s">
        <v>1618</v>
      </c>
    </row>
    <row r="4" spans="1:23" s="14" customFormat="1" ht="11.25">
      <c r="A4" s="14" t="s">
        <v>1077</v>
      </c>
      <c r="B4" s="14" t="s">
        <v>857</v>
      </c>
      <c r="C4" s="14" t="s">
        <v>19</v>
      </c>
      <c r="D4" s="169">
        <v>9154</v>
      </c>
      <c r="E4" s="170">
        <v>90154</v>
      </c>
      <c r="F4" s="14" t="s">
        <v>160</v>
      </c>
      <c r="G4" s="14" t="s">
        <v>149</v>
      </c>
      <c r="H4" s="23">
        <v>12150996</v>
      </c>
      <c r="I4" s="23">
        <v>3505</v>
      </c>
      <c r="J4" s="14">
        <v>153</v>
      </c>
      <c r="L4" s="14">
        <v>0</v>
      </c>
      <c r="N4" s="24">
        <v>153</v>
      </c>
      <c r="P4" s="14">
        <v>218</v>
      </c>
      <c r="R4" s="14">
        <v>195</v>
      </c>
      <c r="T4" s="14" t="str">
        <f t="shared" si="0"/>
        <v>No</v>
      </c>
      <c r="W4" s="14">
        <v>1</v>
      </c>
    </row>
    <row r="5" spans="1:23" s="14" customFormat="1" ht="11.25">
      <c r="A5" s="14" t="s">
        <v>1685</v>
      </c>
      <c r="B5" s="14" t="s">
        <v>509</v>
      </c>
      <c r="C5" s="14" t="s">
        <v>88</v>
      </c>
      <c r="D5" s="169">
        <v>1</v>
      </c>
      <c r="E5" s="170">
        <v>1</v>
      </c>
      <c r="F5" s="14" t="s">
        <v>152</v>
      </c>
      <c r="G5" s="14" t="s">
        <v>149</v>
      </c>
      <c r="H5" s="23">
        <v>3059393</v>
      </c>
      <c r="I5" s="23">
        <v>3154</v>
      </c>
      <c r="J5" s="14">
        <v>39</v>
      </c>
      <c r="L5" s="14">
        <v>3</v>
      </c>
      <c r="N5" s="24">
        <v>42</v>
      </c>
      <c r="P5" s="14">
        <v>38</v>
      </c>
      <c r="R5" s="14">
        <v>40</v>
      </c>
      <c r="T5" s="14" t="str">
        <f t="shared" si="0"/>
        <v>No</v>
      </c>
    </row>
    <row r="6" spans="1:23" s="14" customFormat="1" ht="11.25">
      <c r="A6" s="14" t="s">
        <v>1358</v>
      </c>
      <c r="B6" s="14" t="s">
        <v>229</v>
      </c>
      <c r="C6" s="14" t="s">
        <v>31</v>
      </c>
      <c r="D6" s="169">
        <v>3030</v>
      </c>
      <c r="E6" s="170">
        <v>30030</v>
      </c>
      <c r="F6" s="14" t="s">
        <v>160</v>
      </c>
      <c r="G6" s="14" t="s">
        <v>149</v>
      </c>
      <c r="H6" s="23">
        <v>4586770</v>
      </c>
      <c r="I6" s="23">
        <v>3129</v>
      </c>
      <c r="J6" s="14">
        <v>94</v>
      </c>
      <c r="L6" s="14">
        <v>0</v>
      </c>
      <c r="N6" s="24">
        <v>94</v>
      </c>
      <c r="P6" s="14">
        <v>278</v>
      </c>
      <c r="R6" s="14">
        <v>618</v>
      </c>
      <c r="T6" s="14" t="str">
        <f t="shared" si="0"/>
        <v>No</v>
      </c>
    </row>
    <row r="7" spans="1:23" s="14" customFormat="1" ht="11.25">
      <c r="A7" s="14" t="s">
        <v>719</v>
      </c>
      <c r="B7" s="14" t="s">
        <v>720</v>
      </c>
      <c r="C7" s="14" t="s">
        <v>39</v>
      </c>
      <c r="D7" s="169">
        <v>5066</v>
      </c>
      <c r="E7" s="170">
        <v>50066</v>
      </c>
      <c r="F7" s="14" t="s">
        <v>160</v>
      </c>
      <c r="G7" s="14" t="s">
        <v>149</v>
      </c>
      <c r="H7" s="23">
        <v>8608208</v>
      </c>
      <c r="I7" s="23">
        <v>2719</v>
      </c>
      <c r="J7" s="14">
        <v>101</v>
      </c>
      <c r="L7" s="14">
        <v>44</v>
      </c>
      <c r="N7" s="24">
        <v>145</v>
      </c>
      <c r="P7" s="14">
        <v>178</v>
      </c>
      <c r="R7" s="14">
        <v>166</v>
      </c>
      <c r="T7" s="14" t="str">
        <f t="shared" si="0"/>
        <v>No</v>
      </c>
    </row>
    <row r="8" spans="1:23" s="14" customFormat="1" ht="11.25">
      <c r="A8" s="14" t="s">
        <v>1095</v>
      </c>
      <c r="B8" s="14" t="s">
        <v>1096</v>
      </c>
      <c r="C8" s="14" t="s">
        <v>45</v>
      </c>
      <c r="D8" s="169">
        <v>1003</v>
      </c>
      <c r="E8" s="170">
        <v>10003</v>
      </c>
      <c r="F8" s="14" t="s">
        <v>160</v>
      </c>
      <c r="G8" s="14" t="s">
        <v>149</v>
      </c>
      <c r="H8" s="23">
        <v>4181019</v>
      </c>
      <c r="I8" s="23">
        <v>2453</v>
      </c>
      <c r="J8" s="14">
        <v>271</v>
      </c>
      <c r="L8" s="14">
        <v>72</v>
      </c>
      <c r="N8" s="24">
        <v>343</v>
      </c>
      <c r="P8" s="14">
        <v>181</v>
      </c>
      <c r="R8" s="14">
        <v>199</v>
      </c>
      <c r="T8" s="14" t="str">
        <f t="shared" si="0"/>
        <v>No</v>
      </c>
    </row>
    <row r="9" spans="1:23" s="14" customFormat="1" ht="11.25">
      <c r="A9" s="14" t="s">
        <v>1277</v>
      </c>
      <c r="B9" s="14" t="s">
        <v>1278</v>
      </c>
      <c r="C9" s="14" t="s">
        <v>75</v>
      </c>
      <c r="D9" s="169">
        <v>3019</v>
      </c>
      <c r="E9" s="170">
        <v>30019</v>
      </c>
      <c r="F9" s="14" t="s">
        <v>160</v>
      </c>
      <c r="G9" s="14" t="s">
        <v>149</v>
      </c>
      <c r="H9" s="23">
        <v>5441567</v>
      </c>
      <c r="I9" s="23">
        <v>2375</v>
      </c>
      <c r="J9" s="14">
        <v>112</v>
      </c>
      <c r="L9" s="14">
        <v>166</v>
      </c>
      <c r="N9" s="24">
        <v>278</v>
      </c>
      <c r="P9" s="14">
        <v>121</v>
      </c>
      <c r="R9" s="14">
        <v>59</v>
      </c>
      <c r="T9" s="14" t="str">
        <f t="shared" si="0"/>
        <v>No</v>
      </c>
    </row>
    <row r="10" spans="1:23" s="14" customFormat="1" ht="11.25">
      <c r="A10" s="14" t="s">
        <v>1821</v>
      </c>
      <c r="B10" s="14" t="s">
        <v>288</v>
      </c>
      <c r="C10" s="14" t="s">
        <v>84</v>
      </c>
      <c r="D10" s="169">
        <v>6008</v>
      </c>
      <c r="E10" s="170">
        <v>60008</v>
      </c>
      <c r="F10" s="14" t="s">
        <v>160</v>
      </c>
      <c r="G10" s="14" t="s">
        <v>149</v>
      </c>
      <c r="H10" s="23">
        <v>4944332</v>
      </c>
      <c r="I10" s="23">
        <v>2121</v>
      </c>
      <c r="J10" s="14">
        <v>145</v>
      </c>
      <c r="L10" s="14">
        <v>0</v>
      </c>
      <c r="N10" s="24">
        <v>145</v>
      </c>
      <c r="P10" s="14">
        <v>16</v>
      </c>
      <c r="R10" s="14">
        <v>8</v>
      </c>
      <c r="T10" s="14" t="str">
        <f t="shared" si="0"/>
        <v>No</v>
      </c>
    </row>
    <row r="11" spans="1:23" s="14" customFormat="1" ht="11.25">
      <c r="A11" s="14" t="s">
        <v>1091</v>
      </c>
      <c r="B11" s="14" t="s">
        <v>1092</v>
      </c>
      <c r="C11" s="14" t="s">
        <v>47</v>
      </c>
      <c r="D11" s="169">
        <v>3034</v>
      </c>
      <c r="E11" s="170">
        <v>30034</v>
      </c>
      <c r="F11" s="14" t="s">
        <v>269</v>
      </c>
      <c r="G11" s="14" t="s">
        <v>149</v>
      </c>
      <c r="H11" s="23">
        <v>2203663</v>
      </c>
      <c r="I11" s="23">
        <v>1680</v>
      </c>
      <c r="J11" s="14">
        <v>72</v>
      </c>
      <c r="L11" s="14">
        <v>18</v>
      </c>
      <c r="N11" s="24">
        <v>90</v>
      </c>
      <c r="P11" s="14">
        <v>31</v>
      </c>
      <c r="R11" s="14">
        <v>91</v>
      </c>
      <c r="T11" s="14" t="str">
        <f t="shared" si="0"/>
        <v>No</v>
      </c>
    </row>
    <row r="12" spans="1:23" s="14" customFormat="1" ht="11.25">
      <c r="A12" s="14" t="s">
        <v>1181</v>
      </c>
      <c r="B12" s="14" t="s">
        <v>388</v>
      </c>
      <c r="C12" s="14" t="s">
        <v>39</v>
      </c>
      <c r="D12" s="169">
        <v>5113</v>
      </c>
      <c r="E12" s="170">
        <v>50113</v>
      </c>
      <c r="F12" s="14" t="s">
        <v>160</v>
      </c>
      <c r="G12" s="14" t="s">
        <v>149</v>
      </c>
      <c r="H12" s="23">
        <v>8608208</v>
      </c>
      <c r="I12" s="23">
        <v>1582</v>
      </c>
      <c r="J12" s="14">
        <v>153</v>
      </c>
      <c r="L12" s="14">
        <v>33</v>
      </c>
      <c r="N12" s="24">
        <v>186</v>
      </c>
      <c r="P12" s="14">
        <v>23</v>
      </c>
      <c r="R12" s="14">
        <v>23</v>
      </c>
      <c r="T12" s="14" t="str">
        <f t="shared" si="0"/>
        <v>No</v>
      </c>
    </row>
    <row r="13" spans="1:23" s="14" customFormat="1" ht="11.25">
      <c r="A13" s="14" t="s">
        <v>1176</v>
      </c>
      <c r="B13" s="14" t="s">
        <v>1177</v>
      </c>
      <c r="C13" s="14" t="s">
        <v>19</v>
      </c>
      <c r="D13" s="169">
        <v>9036</v>
      </c>
      <c r="E13" s="170">
        <v>90036</v>
      </c>
      <c r="F13" s="14" t="s">
        <v>160</v>
      </c>
      <c r="G13" s="14" t="s">
        <v>149</v>
      </c>
      <c r="H13" s="23">
        <v>12150996</v>
      </c>
      <c r="I13" s="23">
        <v>1501</v>
      </c>
      <c r="J13" s="14">
        <v>40</v>
      </c>
      <c r="L13" s="14">
        <v>0</v>
      </c>
      <c r="N13" s="24">
        <v>40</v>
      </c>
      <c r="P13" s="14">
        <v>32</v>
      </c>
      <c r="R13" s="14">
        <v>4</v>
      </c>
      <c r="T13" s="14" t="str">
        <f t="shared" si="0"/>
        <v>No</v>
      </c>
    </row>
    <row r="14" spans="1:23" s="14" customFormat="1" ht="11.25">
      <c r="A14" s="14" t="s">
        <v>1221</v>
      </c>
      <c r="B14" s="14" t="s">
        <v>215</v>
      </c>
      <c r="C14" s="14" t="s">
        <v>28</v>
      </c>
      <c r="D14" s="169">
        <v>8006</v>
      </c>
      <c r="E14" s="170">
        <v>80006</v>
      </c>
      <c r="F14" s="14" t="s">
        <v>160</v>
      </c>
      <c r="G14" s="14" t="s">
        <v>149</v>
      </c>
      <c r="H14" s="23">
        <v>2374203</v>
      </c>
      <c r="I14" s="23">
        <v>1480</v>
      </c>
      <c r="J14" s="14">
        <v>69</v>
      </c>
      <c r="L14" s="14">
        <v>0</v>
      </c>
      <c r="N14" s="24">
        <v>69</v>
      </c>
      <c r="P14" s="14">
        <v>73</v>
      </c>
      <c r="R14" s="14">
        <v>12</v>
      </c>
      <c r="T14" s="14" t="str">
        <f t="shared" si="0"/>
        <v>No</v>
      </c>
    </row>
    <row r="15" spans="1:23" s="14" customFormat="1" ht="11.25">
      <c r="A15" s="14" t="s">
        <v>1119</v>
      </c>
      <c r="B15" s="14" t="s">
        <v>207</v>
      </c>
      <c r="C15" s="14" t="s">
        <v>32</v>
      </c>
      <c r="D15" s="169">
        <v>4034</v>
      </c>
      <c r="E15" s="170">
        <v>40034</v>
      </c>
      <c r="F15" s="14" t="s">
        <v>152</v>
      </c>
      <c r="G15" s="14" t="s">
        <v>149</v>
      </c>
      <c r="H15" s="23">
        <v>5502379</v>
      </c>
      <c r="I15" s="23">
        <v>1221</v>
      </c>
      <c r="J15" s="14">
        <v>45</v>
      </c>
      <c r="L15" s="14">
        <v>0</v>
      </c>
      <c r="N15" s="24">
        <v>45</v>
      </c>
      <c r="P15" s="14">
        <v>86</v>
      </c>
      <c r="R15" s="14">
        <v>86</v>
      </c>
      <c r="T15" s="14" t="str">
        <f t="shared" si="0"/>
        <v>No</v>
      </c>
    </row>
    <row r="16" spans="1:23" s="14" customFormat="1" ht="11.25">
      <c r="A16" s="14" t="s">
        <v>1109</v>
      </c>
      <c r="B16" s="14" t="s">
        <v>351</v>
      </c>
      <c r="C16" s="14" t="s">
        <v>69</v>
      </c>
      <c r="D16" s="169">
        <v>2078</v>
      </c>
      <c r="E16" s="170">
        <v>20078</v>
      </c>
      <c r="F16" s="14" t="s">
        <v>326</v>
      </c>
      <c r="G16" s="14" t="s">
        <v>149</v>
      </c>
      <c r="H16" s="23">
        <v>18351295</v>
      </c>
      <c r="I16" s="23">
        <v>1178</v>
      </c>
      <c r="J16" s="14">
        <v>52</v>
      </c>
      <c r="L16" s="14">
        <v>66</v>
      </c>
      <c r="N16" s="24">
        <v>118</v>
      </c>
      <c r="P16" s="14">
        <v>148</v>
      </c>
      <c r="R16" s="14">
        <v>32</v>
      </c>
      <c r="T16" s="14" t="str">
        <f t="shared" si="0"/>
        <v>No</v>
      </c>
    </row>
    <row r="17" spans="1:20" s="14" customFormat="1" ht="11.25">
      <c r="A17" s="14" t="s">
        <v>350</v>
      </c>
      <c r="B17" s="14" t="s">
        <v>351</v>
      </c>
      <c r="C17" s="14" t="s">
        <v>69</v>
      </c>
      <c r="D17" s="169">
        <v>2188</v>
      </c>
      <c r="E17" s="170">
        <v>20188</v>
      </c>
      <c r="F17" s="14" t="s">
        <v>326</v>
      </c>
      <c r="G17" s="14" t="s">
        <v>149</v>
      </c>
      <c r="H17" s="23">
        <v>18351295</v>
      </c>
      <c r="I17" s="23">
        <v>1098</v>
      </c>
      <c r="J17" s="14">
        <v>1</v>
      </c>
      <c r="L17" s="14">
        <v>1</v>
      </c>
      <c r="N17" s="24">
        <v>2</v>
      </c>
      <c r="P17" s="14">
        <v>0</v>
      </c>
      <c r="R17" s="14">
        <v>0</v>
      </c>
      <c r="T17" s="14" t="str">
        <f t="shared" si="0"/>
        <v>No</v>
      </c>
    </row>
    <row r="18" spans="1:20" s="14" customFormat="1" ht="11.25">
      <c r="A18" s="14" t="s">
        <v>1345</v>
      </c>
      <c r="B18" s="14" t="s">
        <v>1346</v>
      </c>
      <c r="C18" s="14" t="s">
        <v>85</v>
      </c>
      <c r="D18" s="169">
        <v>8001</v>
      </c>
      <c r="E18" s="170">
        <v>80001</v>
      </c>
      <c r="F18" s="14" t="s">
        <v>160</v>
      </c>
      <c r="G18" s="14" t="s">
        <v>149</v>
      </c>
      <c r="H18" s="23">
        <v>1021243</v>
      </c>
      <c r="I18" s="23">
        <v>1086</v>
      </c>
      <c r="J18" s="14">
        <v>101</v>
      </c>
      <c r="L18" s="14">
        <v>0</v>
      </c>
      <c r="N18" s="24">
        <v>101</v>
      </c>
      <c r="P18" s="14">
        <v>12</v>
      </c>
      <c r="R18" s="14">
        <v>2</v>
      </c>
      <c r="T18" s="14" t="str">
        <f t="shared" si="0"/>
        <v>No</v>
      </c>
    </row>
    <row r="19" spans="1:20" s="14" customFormat="1" ht="11.25">
      <c r="A19" s="14" t="s">
        <v>1166</v>
      </c>
      <c r="B19" s="14" t="s">
        <v>720</v>
      </c>
      <c r="C19" s="14" t="s">
        <v>39</v>
      </c>
      <c r="D19" s="169">
        <v>5118</v>
      </c>
      <c r="E19" s="170">
        <v>50118</v>
      </c>
      <c r="F19" s="14" t="s">
        <v>160</v>
      </c>
      <c r="G19" s="14" t="s">
        <v>149</v>
      </c>
      <c r="H19" s="23">
        <v>8608208</v>
      </c>
      <c r="I19" s="23">
        <v>1064</v>
      </c>
      <c r="J19" s="14">
        <v>184</v>
      </c>
      <c r="L19" s="14">
        <v>57</v>
      </c>
      <c r="N19" s="24">
        <v>241</v>
      </c>
      <c r="P19" s="14">
        <v>36</v>
      </c>
      <c r="R19" s="14">
        <v>24</v>
      </c>
      <c r="T19" s="14" t="str">
        <f t="shared" si="0"/>
        <v>No</v>
      </c>
    </row>
    <row r="20" spans="1:20" s="14" customFormat="1" ht="11.25">
      <c r="A20" s="14" t="s">
        <v>949</v>
      </c>
      <c r="B20" s="14" t="s">
        <v>230</v>
      </c>
      <c r="C20" s="14" t="s">
        <v>84</v>
      </c>
      <c r="D20" s="169">
        <v>6056</v>
      </c>
      <c r="E20" s="170">
        <v>60056</v>
      </c>
      <c r="F20" s="14" t="s">
        <v>160</v>
      </c>
      <c r="G20" s="14" t="s">
        <v>149</v>
      </c>
      <c r="H20" s="23">
        <v>5121892</v>
      </c>
      <c r="I20" s="23">
        <v>1061</v>
      </c>
      <c r="J20" s="14">
        <v>98</v>
      </c>
      <c r="L20" s="14">
        <v>0</v>
      </c>
      <c r="N20" s="24">
        <v>98</v>
      </c>
      <c r="P20" s="14">
        <v>32</v>
      </c>
      <c r="R20" s="14">
        <v>8</v>
      </c>
      <c r="T20" s="14" t="str">
        <f t="shared" si="0"/>
        <v>No</v>
      </c>
    </row>
    <row r="21" spans="1:20" s="14" customFormat="1" ht="11.25">
      <c r="A21" s="14" t="s">
        <v>1073</v>
      </c>
      <c r="B21" s="14" t="s">
        <v>1074</v>
      </c>
      <c r="C21" s="14" t="s">
        <v>69</v>
      </c>
      <c r="D21" s="169">
        <v>2100</v>
      </c>
      <c r="E21" s="170">
        <v>20100</v>
      </c>
      <c r="F21" s="14" t="s">
        <v>326</v>
      </c>
      <c r="G21" s="14" t="s">
        <v>149</v>
      </c>
      <c r="H21" s="23">
        <v>18351295</v>
      </c>
      <c r="I21" s="23">
        <v>1036</v>
      </c>
      <c r="J21" s="14">
        <v>103</v>
      </c>
      <c r="L21" s="14">
        <v>21</v>
      </c>
      <c r="N21" s="24">
        <v>124</v>
      </c>
      <c r="P21" s="14">
        <v>37</v>
      </c>
      <c r="R21" s="14">
        <v>19</v>
      </c>
      <c r="T21" s="14" t="str">
        <f t="shared" si="0"/>
        <v>No</v>
      </c>
    </row>
    <row r="22" spans="1:20" s="14" customFormat="1" ht="11.25">
      <c r="A22" s="14" t="s">
        <v>1245</v>
      </c>
      <c r="B22" s="14" t="s">
        <v>626</v>
      </c>
      <c r="C22" s="14" t="s">
        <v>19</v>
      </c>
      <c r="D22" s="169">
        <v>9015</v>
      </c>
      <c r="E22" s="170">
        <v>90015</v>
      </c>
      <c r="F22" s="14" t="s">
        <v>152</v>
      </c>
      <c r="G22" s="14" t="s">
        <v>149</v>
      </c>
      <c r="H22" s="23">
        <v>3281212</v>
      </c>
      <c r="I22" s="23">
        <v>988</v>
      </c>
      <c r="J22" s="14">
        <v>9</v>
      </c>
      <c r="L22" s="14">
        <v>0</v>
      </c>
      <c r="N22" s="24">
        <v>9</v>
      </c>
      <c r="P22" s="14">
        <v>11</v>
      </c>
      <c r="R22" s="14">
        <v>28</v>
      </c>
      <c r="T22" s="14" t="str">
        <f t="shared" si="0"/>
        <v>No</v>
      </c>
    </row>
    <row r="23" spans="1:20" s="14" customFormat="1" ht="11.25">
      <c r="A23" s="14" t="s">
        <v>1339</v>
      </c>
      <c r="B23" s="14" t="s">
        <v>291</v>
      </c>
      <c r="C23" s="14" t="s">
        <v>74</v>
      </c>
      <c r="D23" s="169">
        <v>8</v>
      </c>
      <c r="E23" s="170">
        <v>8</v>
      </c>
      <c r="F23" s="14" t="s">
        <v>160</v>
      </c>
      <c r="G23" s="14" t="s">
        <v>149</v>
      </c>
      <c r="H23" s="23">
        <v>1849898</v>
      </c>
      <c r="I23" s="23">
        <v>964</v>
      </c>
      <c r="J23" s="14">
        <v>55</v>
      </c>
      <c r="L23" s="14">
        <v>0</v>
      </c>
      <c r="N23" s="24">
        <v>55</v>
      </c>
      <c r="P23" s="14">
        <v>16</v>
      </c>
      <c r="R23" s="14">
        <v>0</v>
      </c>
      <c r="T23" s="14" t="str">
        <f t="shared" si="0"/>
        <v>No</v>
      </c>
    </row>
    <row r="24" spans="1:20" s="14" customFormat="1" ht="11.25">
      <c r="A24" s="14" t="s">
        <v>1204</v>
      </c>
      <c r="B24" s="14" t="s">
        <v>1205</v>
      </c>
      <c r="C24" s="14" t="s">
        <v>75</v>
      </c>
      <c r="D24" s="169">
        <v>3022</v>
      </c>
      <c r="E24" s="170">
        <v>30022</v>
      </c>
      <c r="F24" s="14" t="s">
        <v>160</v>
      </c>
      <c r="G24" s="14" t="s">
        <v>149</v>
      </c>
      <c r="H24" s="23">
        <v>1733853</v>
      </c>
      <c r="I24" s="23">
        <v>939</v>
      </c>
      <c r="J24" s="14">
        <v>48</v>
      </c>
      <c r="L24" s="14">
        <v>0</v>
      </c>
      <c r="N24" s="24">
        <v>48</v>
      </c>
      <c r="P24" s="14">
        <v>19</v>
      </c>
      <c r="R24" s="14">
        <v>17</v>
      </c>
      <c r="T24" s="14" t="str">
        <f t="shared" si="0"/>
        <v>No</v>
      </c>
    </row>
    <row r="25" spans="1:20" s="14" customFormat="1" ht="11.25">
      <c r="A25" s="14" t="s">
        <v>1822</v>
      </c>
      <c r="B25" s="14" t="s">
        <v>262</v>
      </c>
      <c r="C25" s="14" t="s">
        <v>52</v>
      </c>
      <c r="D25" s="169">
        <v>5027</v>
      </c>
      <c r="E25" s="170">
        <v>50027</v>
      </c>
      <c r="F25" s="14" t="s">
        <v>326</v>
      </c>
      <c r="G25" s="14" t="s">
        <v>149</v>
      </c>
      <c r="H25" s="23">
        <v>2650890</v>
      </c>
      <c r="I25" s="23">
        <v>850</v>
      </c>
      <c r="J25" s="14">
        <v>71</v>
      </c>
      <c r="L25" s="14">
        <v>0</v>
      </c>
      <c r="N25" s="24">
        <v>71</v>
      </c>
      <c r="P25" s="14">
        <v>56</v>
      </c>
      <c r="R25" s="14">
        <v>25</v>
      </c>
      <c r="T25" s="14" t="str">
        <f t="shared" si="0"/>
        <v>No</v>
      </c>
    </row>
    <row r="26" spans="1:20" s="14" customFormat="1" ht="11.25">
      <c r="A26" s="14" t="s">
        <v>1110</v>
      </c>
      <c r="B26" s="14" t="s">
        <v>324</v>
      </c>
      <c r="C26" s="14" t="s">
        <v>35</v>
      </c>
      <c r="D26" s="169">
        <v>4022</v>
      </c>
      <c r="E26" s="170">
        <v>40022</v>
      </c>
      <c r="F26" s="14" t="s">
        <v>160</v>
      </c>
      <c r="G26" s="14" t="s">
        <v>149</v>
      </c>
      <c r="H26" s="23">
        <v>4515419</v>
      </c>
      <c r="I26" s="23">
        <v>845</v>
      </c>
      <c r="J26" s="14">
        <v>39</v>
      </c>
      <c r="L26" s="14">
        <v>0</v>
      </c>
      <c r="N26" s="24">
        <v>39</v>
      </c>
      <c r="P26" s="14">
        <v>97</v>
      </c>
      <c r="R26" s="14">
        <v>149</v>
      </c>
      <c r="T26" s="14" t="str">
        <f t="shared" si="0"/>
        <v>No</v>
      </c>
    </row>
    <row r="27" spans="1:20" s="14" customFormat="1" ht="11.25">
      <c r="A27" s="14" t="s">
        <v>1347</v>
      </c>
      <c r="B27" s="14" t="s">
        <v>1348</v>
      </c>
      <c r="C27" s="14" t="s">
        <v>84</v>
      </c>
      <c r="D27" s="169">
        <v>6011</v>
      </c>
      <c r="E27" s="170">
        <v>60011</v>
      </c>
      <c r="F27" s="14" t="s">
        <v>160</v>
      </c>
      <c r="G27" s="14" t="s">
        <v>149</v>
      </c>
      <c r="H27" s="23">
        <v>1758210</v>
      </c>
      <c r="I27" s="23">
        <v>814</v>
      </c>
      <c r="J27" s="14">
        <v>10</v>
      </c>
      <c r="L27" s="14">
        <v>0</v>
      </c>
      <c r="N27" s="24">
        <v>10</v>
      </c>
      <c r="P27" s="14">
        <v>0</v>
      </c>
      <c r="R27" s="14">
        <v>0</v>
      </c>
      <c r="T27" s="14" t="str">
        <f t="shared" si="0"/>
        <v>No</v>
      </c>
    </row>
    <row r="28" spans="1:20" s="14" customFormat="1" ht="11.25">
      <c r="A28" s="14" t="s">
        <v>1656</v>
      </c>
      <c r="B28" s="14" t="s">
        <v>280</v>
      </c>
      <c r="C28" s="14" t="s">
        <v>19</v>
      </c>
      <c r="D28" s="169">
        <v>9014</v>
      </c>
      <c r="E28" s="170">
        <v>90014</v>
      </c>
      <c r="F28" s="14" t="s">
        <v>160</v>
      </c>
      <c r="G28" s="14" t="s">
        <v>149</v>
      </c>
      <c r="H28" s="23">
        <v>3281212</v>
      </c>
      <c r="I28" s="23">
        <v>794</v>
      </c>
      <c r="J28" s="14">
        <v>6</v>
      </c>
      <c r="L28" s="14">
        <v>0</v>
      </c>
      <c r="N28" s="24">
        <v>6</v>
      </c>
      <c r="P28" s="14">
        <v>22</v>
      </c>
      <c r="R28" s="14">
        <v>0</v>
      </c>
      <c r="T28" s="14" t="str">
        <f t="shared" si="0"/>
        <v>No</v>
      </c>
    </row>
    <row r="29" spans="1:20" s="14" customFormat="1" ht="11.25">
      <c r="A29" s="14" t="s">
        <v>733</v>
      </c>
      <c r="B29" s="14" t="s">
        <v>734</v>
      </c>
      <c r="C29" s="14" t="s">
        <v>36</v>
      </c>
      <c r="D29" s="169">
        <v>9002</v>
      </c>
      <c r="E29" s="170">
        <v>90002</v>
      </c>
      <c r="F29" s="14" t="s">
        <v>152</v>
      </c>
      <c r="G29" s="14" t="s">
        <v>149</v>
      </c>
      <c r="H29" s="23">
        <v>802459</v>
      </c>
      <c r="I29" s="23">
        <v>794</v>
      </c>
      <c r="J29" s="14">
        <v>1</v>
      </c>
      <c r="L29" s="14">
        <v>0</v>
      </c>
      <c r="N29" s="24">
        <v>1</v>
      </c>
      <c r="P29" s="14">
        <v>0</v>
      </c>
      <c r="R29" s="14">
        <v>0</v>
      </c>
      <c r="T29" s="14" t="str">
        <f t="shared" si="0"/>
        <v>No</v>
      </c>
    </row>
    <row r="30" spans="1:20" s="14" customFormat="1" ht="11.25">
      <c r="A30" s="14" t="s">
        <v>1243</v>
      </c>
      <c r="B30" s="14" t="s">
        <v>1242</v>
      </c>
      <c r="C30" s="14" t="s">
        <v>19</v>
      </c>
      <c r="D30" s="169">
        <v>9026</v>
      </c>
      <c r="E30" s="170">
        <v>90026</v>
      </c>
      <c r="F30" s="14" t="s">
        <v>160</v>
      </c>
      <c r="G30" s="14" t="s">
        <v>149</v>
      </c>
      <c r="H30" s="23">
        <v>2956746</v>
      </c>
      <c r="I30" s="23">
        <v>783</v>
      </c>
      <c r="J30" s="14">
        <v>57</v>
      </c>
      <c r="L30" s="14">
        <v>0</v>
      </c>
      <c r="N30" s="24">
        <v>57</v>
      </c>
      <c r="P30" s="14">
        <v>11</v>
      </c>
      <c r="R30" s="14">
        <v>4</v>
      </c>
      <c r="T30" s="14" t="str">
        <f t="shared" si="0"/>
        <v>No</v>
      </c>
    </row>
    <row r="31" spans="1:20" s="14" customFormat="1" ht="11.25">
      <c r="A31" s="14" t="s">
        <v>672</v>
      </c>
      <c r="B31" s="14" t="s">
        <v>286</v>
      </c>
      <c r="C31" s="14" t="s">
        <v>84</v>
      </c>
      <c r="D31" s="169">
        <v>6048</v>
      </c>
      <c r="E31" s="170">
        <v>60048</v>
      </c>
      <c r="F31" s="14" t="s">
        <v>160</v>
      </c>
      <c r="G31" s="14" t="s">
        <v>149</v>
      </c>
      <c r="H31" s="23">
        <v>1362416</v>
      </c>
      <c r="I31" s="23">
        <v>751</v>
      </c>
      <c r="J31" s="14">
        <v>17</v>
      </c>
      <c r="L31" s="14">
        <v>0</v>
      </c>
      <c r="N31" s="24">
        <v>17</v>
      </c>
      <c r="P31" s="14">
        <v>0</v>
      </c>
      <c r="R31" s="14">
        <v>0</v>
      </c>
      <c r="T31" s="14" t="str">
        <f t="shared" si="0"/>
        <v>No</v>
      </c>
    </row>
    <row r="32" spans="1:20" s="14" customFormat="1" ht="11.25">
      <c r="A32" s="14" t="s">
        <v>1250</v>
      </c>
      <c r="B32" s="14" t="s">
        <v>1251</v>
      </c>
      <c r="C32" s="14" t="s">
        <v>19</v>
      </c>
      <c r="D32" s="169">
        <v>9013</v>
      </c>
      <c r="E32" s="170">
        <v>90013</v>
      </c>
      <c r="F32" s="14" t="s">
        <v>160</v>
      </c>
      <c r="G32" s="14" t="s">
        <v>149</v>
      </c>
      <c r="H32" s="23">
        <v>1664496</v>
      </c>
      <c r="I32" s="23">
        <v>654</v>
      </c>
      <c r="J32" s="14">
        <v>77</v>
      </c>
      <c r="L32" s="14">
        <v>0</v>
      </c>
      <c r="N32" s="24">
        <v>77</v>
      </c>
      <c r="P32" s="14">
        <v>11</v>
      </c>
      <c r="R32" s="14">
        <v>28</v>
      </c>
      <c r="T32" s="14" t="str">
        <f t="shared" si="0"/>
        <v>No</v>
      </c>
    </row>
    <row r="33" spans="1:20" s="14" customFormat="1" ht="11.25">
      <c r="A33" s="14" t="s">
        <v>1272</v>
      </c>
      <c r="B33" s="14" t="s">
        <v>977</v>
      </c>
      <c r="C33" s="14" t="s">
        <v>88</v>
      </c>
      <c r="D33" s="169">
        <v>29</v>
      </c>
      <c r="E33" s="170">
        <v>29</v>
      </c>
      <c r="F33" s="14" t="s">
        <v>160</v>
      </c>
      <c r="G33" s="14" t="s">
        <v>149</v>
      </c>
      <c r="H33" s="23">
        <v>3059393</v>
      </c>
      <c r="I33" s="23">
        <v>621</v>
      </c>
      <c r="J33" s="14">
        <v>3</v>
      </c>
      <c r="L33" s="14">
        <v>0</v>
      </c>
      <c r="N33" s="24">
        <v>3</v>
      </c>
      <c r="P33" s="14">
        <v>0</v>
      </c>
      <c r="R33" s="14">
        <v>0</v>
      </c>
      <c r="T33" s="14" t="str">
        <f t="shared" si="0"/>
        <v>No</v>
      </c>
    </row>
    <row r="34" spans="1:20" s="14" customFormat="1" ht="11.25">
      <c r="A34" s="14" t="s">
        <v>679</v>
      </c>
      <c r="B34" s="14" t="s">
        <v>680</v>
      </c>
      <c r="C34" s="14" t="s">
        <v>32</v>
      </c>
      <c r="D34" s="169">
        <v>4035</v>
      </c>
      <c r="E34" s="170">
        <v>40035</v>
      </c>
      <c r="F34" s="14" t="s">
        <v>160</v>
      </c>
      <c r="G34" s="14" t="s">
        <v>149</v>
      </c>
      <c r="H34" s="23">
        <v>1510516</v>
      </c>
      <c r="I34" s="23">
        <v>610</v>
      </c>
      <c r="J34" s="14">
        <v>3</v>
      </c>
      <c r="L34" s="14">
        <v>0</v>
      </c>
      <c r="N34" s="24">
        <v>3</v>
      </c>
      <c r="P34" s="14">
        <v>0</v>
      </c>
      <c r="R34" s="14">
        <v>0</v>
      </c>
      <c r="T34" s="14" t="str">
        <f t="shared" si="0"/>
        <v>No</v>
      </c>
    </row>
    <row r="35" spans="1:20" s="14" customFormat="1" ht="11.25">
      <c r="A35" s="14" t="s">
        <v>1208</v>
      </c>
      <c r="B35" s="14" t="s">
        <v>1209</v>
      </c>
      <c r="C35" s="14" t="s">
        <v>86</v>
      </c>
      <c r="D35" s="169">
        <v>3070</v>
      </c>
      <c r="E35" s="170">
        <v>30070</v>
      </c>
      <c r="F35" s="14" t="s">
        <v>160</v>
      </c>
      <c r="G35" s="14" t="s">
        <v>149</v>
      </c>
      <c r="H35" s="23">
        <v>4586770</v>
      </c>
      <c r="I35" s="23">
        <v>609</v>
      </c>
      <c r="J35" s="14">
        <v>2</v>
      </c>
      <c r="L35" s="14">
        <v>0</v>
      </c>
      <c r="N35" s="24">
        <v>2</v>
      </c>
      <c r="P35" s="14">
        <v>0</v>
      </c>
      <c r="R35" s="14">
        <v>0</v>
      </c>
      <c r="T35" s="14" t="str">
        <f t="shared" si="0"/>
        <v>No</v>
      </c>
    </row>
    <row r="36" spans="1:20" s="14" customFormat="1" ht="11.25">
      <c r="A36" s="14" t="s">
        <v>870</v>
      </c>
      <c r="B36" s="14" t="s">
        <v>371</v>
      </c>
      <c r="C36" s="14" t="s">
        <v>16</v>
      </c>
      <c r="D36" s="169">
        <v>9032</v>
      </c>
      <c r="E36" s="170">
        <v>90032</v>
      </c>
      <c r="F36" s="14" t="s">
        <v>152</v>
      </c>
      <c r="G36" s="14" t="s">
        <v>149</v>
      </c>
      <c r="H36" s="23">
        <v>3629114</v>
      </c>
      <c r="I36" s="23">
        <v>562</v>
      </c>
      <c r="J36" s="14">
        <v>4</v>
      </c>
      <c r="L36" s="14">
        <v>0</v>
      </c>
      <c r="N36" s="24">
        <v>4</v>
      </c>
      <c r="P36" s="14">
        <v>0</v>
      </c>
      <c r="R36" s="14">
        <v>0</v>
      </c>
      <c r="T36" s="14" t="str">
        <f t="shared" si="0"/>
        <v>No</v>
      </c>
    </row>
    <row r="37" spans="1:20" s="14" customFormat="1" ht="11.25">
      <c r="A37" s="14" t="s">
        <v>1244</v>
      </c>
      <c r="B37" s="14" t="s">
        <v>280</v>
      </c>
      <c r="C37" s="14" t="s">
        <v>19</v>
      </c>
      <c r="D37" s="169">
        <v>9003</v>
      </c>
      <c r="E37" s="170">
        <v>90003</v>
      </c>
      <c r="F37" s="14" t="s">
        <v>160</v>
      </c>
      <c r="G37" s="14" t="s">
        <v>149</v>
      </c>
      <c r="H37" s="23">
        <v>3281212</v>
      </c>
      <c r="I37" s="23">
        <v>559</v>
      </c>
      <c r="J37" s="14">
        <v>47</v>
      </c>
      <c r="L37" s="14">
        <v>0</v>
      </c>
      <c r="N37" s="24">
        <v>47</v>
      </c>
      <c r="P37" s="14">
        <v>132</v>
      </c>
      <c r="R37" s="14">
        <v>183</v>
      </c>
      <c r="T37" s="14" t="str">
        <f t="shared" si="0"/>
        <v>No</v>
      </c>
    </row>
    <row r="38" spans="1:20" s="14" customFormat="1" ht="11.25">
      <c r="A38" s="14" t="s">
        <v>1390</v>
      </c>
      <c r="B38" s="14" t="s">
        <v>319</v>
      </c>
      <c r="C38" s="14" t="s">
        <v>68</v>
      </c>
      <c r="D38" s="169">
        <v>9045</v>
      </c>
      <c r="E38" s="170">
        <v>90045</v>
      </c>
      <c r="F38" s="14" t="s">
        <v>160</v>
      </c>
      <c r="G38" s="14" t="s">
        <v>149</v>
      </c>
      <c r="H38" s="23">
        <v>1886011</v>
      </c>
      <c r="I38" s="23">
        <v>557</v>
      </c>
      <c r="J38" s="14">
        <v>4</v>
      </c>
      <c r="L38" s="14">
        <v>0</v>
      </c>
      <c r="N38" s="24">
        <v>4</v>
      </c>
      <c r="P38" s="14">
        <v>0</v>
      </c>
      <c r="R38" s="14">
        <v>0</v>
      </c>
      <c r="T38" s="14" t="str">
        <f t="shared" si="0"/>
        <v>No</v>
      </c>
    </row>
    <row r="39" spans="1:20" s="14" customFormat="1" ht="11.25">
      <c r="A39" s="14" t="s">
        <v>1192</v>
      </c>
      <c r="B39" s="14" t="s">
        <v>1193</v>
      </c>
      <c r="C39" s="14" t="s">
        <v>88</v>
      </c>
      <c r="D39" s="169">
        <v>3</v>
      </c>
      <c r="E39" s="170">
        <v>3</v>
      </c>
      <c r="F39" s="14" t="s">
        <v>160</v>
      </c>
      <c r="G39" s="14" t="s">
        <v>149</v>
      </c>
      <c r="H39" s="23">
        <v>3059393</v>
      </c>
      <c r="I39" s="23">
        <v>533</v>
      </c>
      <c r="J39" s="14">
        <v>28</v>
      </c>
      <c r="L39" s="14">
        <v>0</v>
      </c>
      <c r="N39" s="24">
        <v>28</v>
      </c>
      <c r="P39" s="14">
        <v>5</v>
      </c>
      <c r="R39" s="14">
        <v>0</v>
      </c>
      <c r="T39" s="14" t="str">
        <f t="shared" si="0"/>
        <v>No</v>
      </c>
    </row>
    <row r="40" spans="1:20" s="14" customFormat="1" ht="11.25">
      <c r="A40" s="14" t="s">
        <v>776</v>
      </c>
      <c r="B40" s="14" t="s">
        <v>777</v>
      </c>
      <c r="C40" s="14" t="s">
        <v>51</v>
      </c>
      <c r="D40" s="169">
        <v>5119</v>
      </c>
      <c r="E40" s="170">
        <v>50119</v>
      </c>
      <c r="F40" s="14" t="s">
        <v>152</v>
      </c>
      <c r="G40" s="14" t="s">
        <v>149</v>
      </c>
      <c r="H40" s="23">
        <v>3734090</v>
      </c>
      <c r="I40" s="23">
        <v>519</v>
      </c>
      <c r="J40" s="14">
        <v>1</v>
      </c>
      <c r="L40" s="14">
        <v>0</v>
      </c>
      <c r="N40" s="24">
        <v>1</v>
      </c>
      <c r="P40" s="14">
        <v>1</v>
      </c>
      <c r="R40" s="14">
        <v>1</v>
      </c>
      <c r="T40" s="14" t="str">
        <f t="shared" si="0"/>
        <v>No</v>
      </c>
    </row>
    <row r="41" spans="1:20" s="14" customFormat="1" ht="11.25">
      <c r="A41" s="14" t="s">
        <v>651</v>
      </c>
      <c r="B41" s="14" t="s">
        <v>497</v>
      </c>
      <c r="C41" s="14" t="s">
        <v>32</v>
      </c>
      <c r="D41" s="169">
        <v>4029</v>
      </c>
      <c r="E41" s="170">
        <v>40029</v>
      </c>
      <c r="F41" s="14" t="s">
        <v>152</v>
      </c>
      <c r="G41" s="14" t="s">
        <v>149</v>
      </c>
      <c r="H41" s="23">
        <v>5502379</v>
      </c>
      <c r="I41" s="23">
        <v>494</v>
      </c>
      <c r="J41" s="14">
        <v>4</v>
      </c>
      <c r="L41" s="14">
        <v>0</v>
      </c>
      <c r="N41" s="24">
        <v>4</v>
      </c>
      <c r="P41" s="14">
        <v>0</v>
      </c>
      <c r="R41" s="14">
        <v>0</v>
      </c>
      <c r="T41" s="14" t="str">
        <f t="shared" si="0"/>
        <v>No</v>
      </c>
    </row>
    <row r="42" spans="1:20" s="14" customFormat="1" ht="11.25">
      <c r="A42" s="14" t="s">
        <v>1315</v>
      </c>
      <c r="B42" s="14" t="s">
        <v>294</v>
      </c>
      <c r="C42" s="14" t="s">
        <v>71</v>
      </c>
      <c r="D42" s="169">
        <v>5015</v>
      </c>
      <c r="E42" s="170">
        <v>50015</v>
      </c>
      <c r="F42" s="14" t="s">
        <v>160</v>
      </c>
      <c r="G42" s="14" t="s">
        <v>149</v>
      </c>
      <c r="H42" s="23">
        <v>1780673</v>
      </c>
      <c r="I42" s="23">
        <v>487</v>
      </c>
      <c r="J42" s="14">
        <v>40</v>
      </c>
      <c r="L42" s="14">
        <v>24</v>
      </c>
      <c r="N42" s="24">
        <v>64</v>
      </c>
      <c r="P42" s="14">
        <v>22</v>
      </c>
      <c r="R42" s="14">
        <v>12</v>
      </c>
      <c r="T42" s="14" t="str">
        <f t="shared" si="0"/>
        <v>No</v>
      </c>
    </row>
    <row r="43" spans="1:20" s="14" customFormat="1" ht="11.25">
      <c r="A43" s="14" t="s">
        <v>617</v>
      </c>
      <c r="B43" s="14" t="s">
        <v>618</v>
      </c>
      <c r="C43" s="14" t="s">
        <v>54</v>
      </c>
      <c r="D43" s="169">
        <v>7006</v>
      </c>
      <c r="E43" s="170">
        <v>70006</v>
      </c>
      <c r="F43" s="14" t="s">
        <v>160</v>
      </c>
      <c r="G43" s="14" t="s">
        <v>149</v>
      </c>
      <c r="H43" s="23">
        <v>2150706</v>
      </c>
      <c r="I43" s="23">
        <v>482</v>
      </c>
      <c r="J43" s="14">
        <v>62</v>
      </c>
      <c r="L43" s="14">
        <v>0</v>
      </c>
      <c r="N43" s="24">
        <v>62</v>
      </c>
      <c r="P43" s="14">
        <v>19</v>
      </c>
      <c r="R43" s="14">
        <v>8</v>
      </c>
      <c r="T43" s="14" t="str">
        <f t="shared" si="0"/>
        <v>No</v>
      </c>
    </row>
    <row r="44" spans="1:20" s="14" customFormat="1" ht="11.25">
      <c r="A44" s="14" t="s">
        <v>958</v>
      </c>
      <c r="B44" s="14" t="s">
        <v>242</v>
      </c>
      <c r="C44" s="14" t="s">
        <v>120</v>
      </c>
      <c r="D44" s="169">
        <v>3075</v>
      </c>
      <c r="E44" s="170">
        <v>30075</v>
      </c>
      <c r="F44" s="14" t="s">
        <v>160</v>
      </c>
      <c r="G44" s="14" t="s">
        <v>149</v>
      </c>
      <c r="H44" s="23">
        <v>5441567</v>
      </c>
      <c r="I44" s="23">
        <v>451</v>
      </c>
      <c r="J44" s="14">
        <v>8</v>
      </c>
      <c r="L44" s="14">
        <v>0</v>
      </c>
      <c r="N44" s="24">
        <v>8</v>
      </c>
      <c r="P44" s="14">
        <v>2</v>
      </c>
      <c r="R44" s="14">
        <v>2</v>
      </c>
      <c r="T44" s="14" t="str">
        <f t="shared" si="0"/>
        <v>No</v>
      </c>
    </row>
    <row r="45" spans="1:20" s="14" customFormat="1" ht="11.25">
      <c r="A45" s="14" t="s">
        <v>1823</v>
      </c>
      <c r="B45" s="14" t="s">
        <v>371</v>
      </c>
      <c r="C45" s="14" t="s">
        <v>16</v>
      </c>
      <c r="D45" s="169">
        <v>9136</v>
      </c>
      <c r="E45" s="170">
        <v>90136</v>
      </c>
      <c r="F45" s="14" t="s">
        <v>160</v>
      </c>
      <c r="G45" s="14" t="s">
        <v>149</v>
      </c>
      <c r="H45" s="23">
        <v>3629114</v>
      </c>
      <c r="I45" s="23">
        <v>434</v>
      </c>
      <c r="J45" s="14">
        <v>2</v>
      </c>
      <c r="L45" s="14">
        <v>0</v>
      </c>
      <c r="N45" s="24">
        <v>2</v>
      </c>
      <c r="P45" s="14">
        <v>0</v>
      </c>
      <c r="R45" s="14">
        <v>0</v>
      </c>
      <c r="T45" s="14" t="str">
        <f t="shared" si="0"/>
        <v>No</v>
      </c>
    </row>
    <row r="46" spans="1:20" s="14" customFormat="1" ht="11.25">
      <c r="A46" s="14" t="s">
        <v>608</v>
      </c>
      <c r="B46" s="14" t="s">
        <v>609</v>
      </c>
      <c r="C46" s="14" t="s">
        <v>88</v>
      </c>
      <c r="D46" s="169">
        <v>18</v>
      </c>
      <c r="E46" s="170">
        <v>18</v>
      </c>
      <c r="F46" s="14" t="s">
        <v>160</v>
      </c>
      <c r="G46" s="14" t="s">
        <v>149</v>
      </c>
      <c r="H46" s="23">
        <v>210975</v>
      </c>
      <c r="I46" s="23">
        <v>431</v>
      </c>
      <c r="J46" s="14">
        <v>1</v>
      </c>
      <c r="L46" s="14">
        <v>0</v>
      </c>
      <c r="N46" s="24">
        <v>1</v>
      </c>
      <c r="P46" s="14">
        <v>0</v>
      </c>
      <c r="R46" s="14">
        <v>0</v>
      </c>
      <c r="T46" s="14" t="str">
        <f t="shared" si="0"/>
        <v>No</v>
      </c>
    </row>
    <row r="47" spans="1:20" s="14" customFormat="1" ht="11.25">
      <c r="A47" s="14" t="s">
        <v>1182</v>
      </c>
      <c r="B47" s="14" t="s">
        <v>1183</v>
      </c>
      <c r="C47" s="14" t="s">
        <v>32</v>
      </c>
      <c r="D47" s="169">
        <v>4037</v>
      </c>
      <c r="E47" s="170">
        <v>40037</v>
      </c>
      <c r="F47" s="14" t="s">
        <v>152</v>
      </c>
      <c r="G47" s="14" t="s">
        <v>149</v>
      </c>
      <c r="H47" s="23">
        <v>5502379</v>
      </c>
      <c r="I47" s="23">
        <v>431</v>
      </c>
      <c r="J47" s="14">
        <v>1</v>
      </c>
      <c r="L47" s="14">
        <v>0</v>
      </c>
      <c r="N47" s="24">
        <v>1</v>
      </c>
      <c r="P47" s="14">
        <v>1</v>
      </c>
      <c r="R47" s="14">
        <v>0</v>
      </c>
      <c r="T47" s="14" t="str">
        <f t="shared" si="0"/>
        <v>No</v>
      </c>
    </row>
    <row r="48" spans="1:20" s="14" customFormat="1" ht="11.25">
      <c r="A48" s="14" t="s">
        <v>1127</v>
      </c>
      <c r="B48" s="14" t="s">
        <v>1128</v>
      </c>
      <c r="C48" s="14" t="s">
        <v>92</v>
      </c>
      <c r="D48" s="169">
        <v>5008</v>
      </c>
      <c r="E48" s="170">
        <v>50008</v>
      </c>
      <c r="F48" s="14" t="s">
        <v>152</v>
      </c>
      <c r="G48" s="14" t="s">
        <v>149</v>
      </c>
      <c r="H48" s="23">
        <v>1376476</v>
      </c>
      <c r="I48" s="23">
        <v>422</v>
      </c>
      <c r="J48" s="14">
        <v>0</v>
      </c>
      <c r="L48" s="14">
        <v>0</v>
      </c>
      <c r="N48" s="24">
        <v>0</v>
      </c>
      <c r="P48" s="14">
        <v>0</v>
      </c>
      <c r="R48" s="14">
        <v>0</v>
      </c>
      <c r="T48" s="14" t="str">
        <f t="shared" si="0"/>
        <v>No</v>
      </c>
    </row>
    <row r="49" spans="1:20" s="14" customFormat="1" ht="11.25">
      <c r="A49" s="14" t="s">
        <v>711</v>
      </c>
      <c r="B49" s="14" t="s">
        <v>285</v>
      </c>
      <c r="C49" s="14" t="s">
        <v>57</v>
      </c>
      <c r="D49" s="169">
        <v>4008</v>
      </c>
      <c r="E49" s="170">
        <v>40008</v>
      </c>
      <c r="F49" s="14" t="s">
        <v>152</v>
      </c>
      <c r="G49" s="14" t="s">
        <v>149</v>
      </c>
      <c r="H49" s="23">
        <v>1249442</v>
      </c>
      <c r="I49" s="23">
        <v>419</v>
      </c>
      <c r="J49" s="14">
        <v>23</v>
      </c>
      <c r="L49" s="14">
        <v>0</v>
      </c>
      <c r="N49" s="24">
        <v>23</v>
      </c>
      <c r="P49" s="14">
        <v>9</v>
      </c>
      <c r="R49" s="14">
        <v>0</v>
      </c>
      <c r="T49" s="14" t="str">
        <f t="shared" si="0"/>
        <v>No</v>
      </c>
    </row>
    <row r="50" spans="1:20" s="14" customFormat="1" ht="11.25">
      <c r="A50" s="14" t="s">
        <v>1237</v>
      </c>
      <c r="B50" s="14" t="s">
        <v>1188</v>
      </c>
      <c r="C50" s="14" t="s">
        <v>19</v>
      </c>
      <c r="D50" s="169">
        <v>9009</v>
      </c>
      <c r="E50" s="170">
        <v>90009</v>
      </c>
      <c r="F50" s="14" t="s">
        <v>160</v>
      </c>
      <c r="G50" s="14" t="s">
        <v>149</v>
      </c>
      <c r="H50" s="23">
        <v>3281212</v>
      </c>
      <c r="I50" s="23">
        <v>404</v>
      </c>
      <c r="J50" s="14">
        <v>16</v>
      </c>
      <c r="L50" s="14">
        <v>1</v>
      </c>
      <c r="N50" s="24">
        <v>17</v>
      </c>
      <c r="P50" s="14">
        <v>5</v>
      </c>
      <c r="R50" s="14">
        <v>3</v>
      </c>
      <c r="T50" s="14" t="str">
        <f t="shared" si="0"/>
        <v>No</v>
      </c>
    </row>
    <row r="51" spans="1:20" s="14" customFormat="1" ht="11.25">
      <c r="A51" s="14" t="s">
        <v>702</v>
      </c>
      <c r="B51" s="14" t="s">
        <v>509</v>
      </c>
      <c r="C51" s="14" t="s">
        <v>88</v>
      </c>
      <c r="D51" s="169">
        <v>40</v>
      </c>
      <c r="E51" s="170">
        <v>40</v>
      </c>
      <c r="F51" s="14" t="s">
        <v>160</v>
      </c>
      <c r="G51" s="14" t="s">
        <v>149</v>
      </c>
      <c r="H51" s="23">
        <v>3059393</v>
      </c>
      <c r="I51" s="23">
        <v>378</v>
      </c>
      <c r="J51" s="14">
        <v>54</v>
      </c>
      <c r="L51" s="14">
        <v>0</v>
      </c>
      <c r="N51" s="24">
        <v>54</v>
      </c>
      <c r="P51" s="14">
        <v>75</v>
      </c>
      <c r="R51" s="14">
        <v>74</v>
      </c>
      <c r="T51" s="14" t="str">
        <f t="shared" si="0"/>
        <v>No</v>
      </c>
    </row>
    <row r="52" spans="1:20" s="14" customFormat="1" ht="11.25">
      <c r="A52" s="14" t="s">
        <v>1407</v>
      </c>
      <c r="B52" s="14" t="s">
        <v>1408</v>
      </c>
      <c r="C52" s="14" t="s">
        <v>86</v>
      </c>
      <c r="D52" s="169">
        <v>3083</v>
      </c>
      <c r="E52" s="170">
        <v>30083</v>
      </c>
      <c r="F52" s="14" t="s">
        <v>160</v>
      </c>
      <c r="G52" s="14" t="s">
        <v>149</v>
      </c>
      <c r="H52" s="23">
        <v>1439666</v>
      </c>
      <c r="I52" s="23">
        <v>375</v>
      </c>
      <c r="J52" s="14">
        <v>21</v>
      </c>
      <c r="L52" s="14">
        <v>0</v>
      </c>
      <c r="N52" s="24">
        <v>21</v>
      </c>
      <c r="P52" s="14">
        <v>1</v>
      </c>
      <c r="R52" s="14">
        <v>0</v>
      </c>
      <c r="T52" s="14" t="str">
        <f t="shared" si="0"/>
        <v>No</v>
      </c>
    </row>
    <row r="53" spans="1:20" s="14" customFormat="1" ht="11.25">
      <c r="A53" s="14" t="s">
        <v>681</v>
      </c>
      <c r="B53" s="14" t="s">
        <v>268</v>
      </c>
      <c r="C53" s="14" t="s">
        <v>71</v>
      </c>
      <c r="D53" s="169">
        <v>5016</v>
      </c>
      <c r="E53" s="170">
        <v>50016</v>
      </c>
      <c r="F53" s="14" t="s">
        <v>160</v>
      </c>
      <c r="G53" s="14" t="s">
        <v>149</v>
      </c>
      <c r="H53" s="23">
        <v>1368035</v>
      </c>
      <c r="I53" s="23">
        <v>357</v>
      </c>
      <c r="J53" s="14">
        <v>5</v>
      </c>
      <c r="L53" s="14">
        <v>0</v>
      </c>
      <c r="N53" s="24">
        <v>5</v>
      </c>
      <c r="P53" s="14">
        <v>1</v>
      </c>
      <c r="R53" s="14">
        <v>1</v>
      </c>
      <c r="T53" s="14" t="str">
        <f t="shared" si="0"/>
        <v>No</v>
      </c>
    </row>
    <row r="54" spans="1:20" s="14" customFormat="1" ht="11.25">
      <c r="A54" s="14" t="s">
        <v>856</v>
      </c>
      <c r="B54" s="14" t="s">
        <v>857</v>
      </c>
      <c r="C54" s="14" t="s">
        <v>19</v>
      </c>
      <c r="D54" s="169">
        <v>9147</v>
      </c>
      <c r="E54" s="170">
        <v>90147</v>
      </c>
      <c r="F54" s="14" t="s">
        <v>152</v>
      </c>
      <c r="G54" s="14" t="s">
        <v>149</v>
      </c>
      <c r="H54" s="23">
        <v>12150996</v>
      </c>
      <c r="I54" s="23">
        <v>357</v>
      </c>
      <c r="J54" s="14">
        <v>4</v>
      </c>
      <c r="L54" s="14">
        <v>0</v>
      </c>
      <c r="N54" s="24">
        <v>4</v>
      </c>
      <c r="P54" s="14">
        <v>0</v>
      </c>
      <c r="R54" s="14">
        <v>0</v>
      </c>
      <c r="T54" s="14" t="str">
        <f t="shared" si="0"/>
        <v>No</v>
      </c>
    </row>
    <row r="55" spans="1:20" s="14" customFormat="1" ht="11.25">
      <c r="A55" s="14" t="s">
        <v>1162</v>
      </c>
      <c r="B55" s="14" t="s">
        <v>367</v>
      </c>
      <c r="C55" s="14" t="s">
        <v>69</v>
      </c>
      <c r="D55" s="169">
        <v>2004</v>
      </c>
      <c r="E55" s="170">
        <v>20004</v>
      </c>
      <c r="F55" s="14" t="s">
        <v>160</v>
      </c>
      <c r="G55" s="14" t="s">
        <v>149</v>
      </c>
      <c r="H55" s="23">
        <v>935906</v>
      </c>
      <c r="I55" s="23">
        <v>356</v>
      </c>
      <c r="J55" s="14">
        <v>23</v>
      </c>
      <c r="L55" s="14">
        <v>0</v>
      </c>
      <c r="N55" s="24">
        <v>23</v>
      </c>
      <c r="P55" s="14">
        <v>19</v>
      </c>
      <c r="R55" s="14">
        <v>24</v>
      </c>
      <c r="T55" s="14" t="str">
        <f t="shared" si="0"/>
        <v>No</v>
      </c>
    </row>
    <row r="56" spans="1:20" s="14" customFormat="1" ht="11.25">
      <c r="A56" s="14" t="s">
        <v>1282</v>
      </c>
      <c r="B56" s="14" t="s">
        <v>1283</v>
      </c>
      <c r="C56" s="14" t="s">
        <v>71</v>
      </c>
      <c r="D56" s="169">
        <v>5012</v>
      </c>
      <c r="E56" s="170">
        <v>50012</v>
      </c>
      <c r="F56" s="14" t="s">
        <v>152</v>
      </c>
      <c r="G56" s="14" t="s">
        <v>149</v>
      </c>
      <c r="H56" s="23">
        <v>1624827</v>
      </c>
      <c r="I56" s="23">
        <v>348</v>
      </c>
      <c r="J56" s="14">
        <v>21</v>
      </c>
      <c r="L56" s="14">
        <v>0</v>
      </c>
      <c r="N56" s="24">
        <v>21</v>
      </c>
      <c r="P56" s="14">
        <v>2</v>
      </c>
      <c r="R56" s="14">
        <v>0</v>
      </c>
      <c r="T56" s="14" t="str">
        <f t="shared" si="0"/>
        <v>No</v>
      </c>
    </row>
    <row r="57" spans="1:20" s="14" customFormat="1" ht="11.25">
      <c r="A57" s="14" t="s">
        <v>1366</v>
      </c>
      <c r="B57" s="14" t="s">
        <v>1367</v>
      </c>
      <c r="C57" s="14" t="s">
        <v>69</v>
      </c>
      <c r="D57" s="169">
        <v>2076</v>
      </c>
      <c r="E57" s="170">
        <v>20076</v>
      </c>
      <c r="F57" s="14" t="s">
        <v>152</v>
      </c>
      <c r="G57" s="14" t="s">
        <v>149</v>
      </c>
      <c r="H57" s="23">
        <v>18351295</v>
      </c>
      <c r="I57" s="23">
        <v>340</v>
      </c>
      <c r="J57" s="14">
        <v>2</v>
      </c>
      <c r="L57" s="14">
        <v>0</v>
      </c>
      <c r="N57" s="24">
        <v>2</v>
      </c>
      <c r="P57" s="14">
        <v>0</v>
      </c>
      <c r="R57" s="14">
        <v>0</v>
      </c>
      <c r="T57" s="14" t="str">
        <f t="shared" si="0"/>
        <v>No</v>
      </c>
    </row>
    <row r="58" spans="1:20" s="14" customFormat="1" ht="11.25">
      <c r="A58" s="14" t="s">
        <v>668</v>
      </c>
      <c r="B58" s="14" t="s">
        <v>260</v>
      </c>
      <c r="C58" s="14" t="s">
        <v>69</v>
      </c>
      <c r="D58" s="169">
        <v>2206</v>
      </c>
      <c r="E58" s="170">
        <v>20206</v>
      </c>
      <c r="F58" s="14" t="s">
        <v>152</v>
      </c>
      <c r="G58" s="14" t="s">
        <v>149</v>
      </c>
      <c r="H58" s="23">
        <v>18351295</v>
      </c>
      <c r="I58" s="23">
        <v>338</v>
      </c>
      <c r="J58" s="14">
        <v>1</v>
      </c>
      <c r="L58" s="14">
        <v>0</v>
      </c>
      <c r="N58" s="24">
        <v>1</v>
      </c>
      <c r="P58" s="14">
        <v>0</v>
      </c>
      <c r="R58" s="14">
        <v>0</v>
      </c>
      <c r="T58" s="14" t="str">
        <f t="shared" si="0"/>
        <v>No</v>
      </c>
    </row>
    <row r="59" spans="1:20" s="14" customFormat="1" ht="11.25">
      <c r="A59" s="14" t="s">
        <v>1824</v>
      </c>
      <c r="B59" s="14" t="s">
        <v>893</v>
      </c>
      <c r="C59" s="14" t="s">
        <v>16</v>
      </c>
      <c r="D59" s="169">
        <v>9033</v>
      </c>
      <c r="E59" s="170">
        <v>90033</v>
      </c>
      <c r="F59" s="14" t="s">
        <v>152</v>
      </c>
      <c r="G59" s="14" t="s">
        <v>149</v>
      </c>
      <c r="H59" s="23">
        <v>843168</v>
      </c>
      <c r="I59" s="23">
        <v>333</v>
      </c>
      <c r="J59" s="14">
        <v>3</v>
      </c>
      <c r="L59" s="14">
        <v>0</v>
      </c>
      <c r="N59" s="24">
        <v>3</v>
      </c>
      <c r="P59" s="14">
        <v>0</v>
      </c>
      <c r="R59" s="14">
        <v>0</v>
      </c>
      <c r="T59" s="14" t="str">
        <f t="shared" si="0"/>
        <v>No</v>
      </c>
    </row>
    <row r="60" spans="1:20" s="14" customFormat="1" ht="11.25">
      <c r="A60" s="14" t="s">
        <v>23</v>
      </c>
      <c r="B60" s="14" t="s">
        <v>984</v>
      </c>
      <c r="C60" s="14" t="s">
        <v>19</v>
      </c>
      <c r="D60" s="169">
        <v>9146</v>
      </c>
      <c r="E60" s="170">
        <v>90146</v>
      </c>
      <c r="F60" s="14" t="s">
        <v>160</v>
      </c>
      <c r="G60" s="14" t="s">
        <v>149</v>
      </c>
      <c r="H60" s="23">
        <v>12150996</v>
      </c>
      <c r="I60" s="23">
        <v>329</v>
      </c>
      <c r="J60" s="14">
        <v>2</v>
      </c>
      <c r="L60" s="14">
        <v>0</v>
      </c>
      <c r="N60" s="24">
        <v>2</v>
      </c>
      <c r="P60" s="14">
        <v>0</v>
      </c>
      <c r="R60" s="14">
        <v>0</v>
      </c>
      <c r="T60" s="14" t="str">
        <f t="shared" si="0"/>
        <v>No</v>
      </c>
    </row>
    <row r="61" spans="1:20" s="14" customFormat="1" ht="11.25">
      <c r="A61" s="14" t="s">
        <v>1010</v>
      </c>
      <c r="B61" s="14" t="s">
        <v>254</v>
      </c>
      <c r="C61" s="14" t="s">
        <v>86</v>
      </c>
      <c r="D61" s="169">
        <v>3006</v>
      </c>
      <c r="E61" s="170">
        <v>30006</v>
      </c>
      <c r="F61" s="14" t="s">
        <v>348</v>
      </c>
      <c r="G61" s="14" t="s">
        <v>149</v>
      </c>
      <c r="H61" s="23">
        <v>953556</v>
      </c>
      <c r="I61" s="23">
        <v>327</v>
      </c>
      <c r="J61" s="14">
        <v>0</v>
      </c>
      <c r="L61" s="14">
        <v>0</v>
      </c>
      <c r="N61" s="24">
        <v>0</v>
      </c>
      <c r="P61" s="14">
        <v>0</v>
      </c>
      <c r="R61" s="14">
        <v>0</v>
      </c>
      <c r="T61" s="14" t="str">
        <f t="shared" si="0"/>
        <v>No</v>
      </c>
    </row>
    <row r="62" spans="1:20" s="14" customFormat="1" ht="11.25">
      <c r="A62" s="14" t="s">
        <v>1051</v>
      </c>
      <c r="B62" s="14" t="s">
        <v>526</v>
      </c>
      <c r="C62" s="14" t="s">
        <v>54</v>
      </c>
      <c r="D62" s="169">
        <v>7005</v>
      </c>
      <c r="E62" s="170">
        <v>70005</v>
      </c>
      <c r="F62" s="14" t="s">
        <v>160</v>
      </c>
      <c r="G62" s="14" t="s">
        <v>149</v>
      </c>
      <c r="H62" s="23">
        <v>1519417</v>
      </c>
      <c r="I62" s="23">
        <v>325</v>
      </c>
      <c r="J62" s="14">
        <v>0</v>
      </c>
      <c r="L62" s="14">
        <v>0</v>
      </c>
      <c r="N62" s="24">
        <v>0</v>
      </c>
      <c r="P62" s="14">
        <v>0</v>
      </c>
      <c r="R62" s="14">
        <v>0</v>
      </c>
      <c r="T62" s="14" t="str">
        <f t="shared" si="0"/>
        <v>No</v>
      </c>
    </row>
    <row r="63" spans="1:20" s="14" customFormat="1" ht="11.25">
      <c r="A63" s="14" t="s">
        <v>666</v>
      </c>
      <c r="B63" s="14" t="s">
        <v>309</v>
      </c>
      <c r="C63" s="14" t="s">
        <v>45</v>
      </c>
      <c r="D63" s="169">
        <v>1105</v>
      </c>
      <c r="E63" s="170">
        <v>10105</v>
      </c>
      <c r="F63" s="14" t="s">
        <v>160</v>
      </c>
      <c r="G63" s="14" t="s">
        <v>149</v>
      </c>
      <c r="H63" s="23">
        <v>246695</v>
      </c>
      <c r="I63" s="23">
        <v>323</v>
      </c>
      <c r="J63" s="14">
        <v>1</v>
      </c>
      <c r="L63" s="14">
        <v>0</v>
      </c>
      <c r="N63" s="24">
        <v>1</v>
      </c>
      <c r="P63" s="14">
        <v>1</v>
      </c>
      <c r="R63" s="14">
        <v>0</v>
      </c>
      <c r="T63" s="14" t="str">
        <f t="shared" si="0"/>
        <v>No</v>
      </c>
    </row>
    <row r="64" spans="1:20" s="14" customFormat="1" ht="11.25">
      <c r="A64" s="14" t="s">
        <v>1333</v>
      </c>
      <c r="B64" s="14" t="s">
        <v>225</v>
      </c>
      <c r="C64" s="14" t="s">
        <v>43</v>
      </c>
      <c r="D64" s="169">
        <v>4018</v>
      </c>
      <c r="E64" s="170">
        <v>40018</v>
      </c>
      <c r="F64" s="14" t="s">
        <v>160</v>
      </c>
      <c r="G64" s="14" t="s">
        <v>149</v>
      </c>
      <c r="H64" s="23">
        <v>972546</v>
      </c>
      <c r="I64" s="23">
        <v>320</v>
      </c>
      <c r="J64" s="14">
        <v>2</v>
      </c>
      <c r="L64" s="14">
        <v>0</v>
      </c>
      <c r="N64" s="24">
        <v>2</v>
      </c>
      <c r="P64" s="14">
        <v>0</v>
      </c>
      <c r="R64" s="14">
        <v>0</v>
      </c>
      <c r="T64" s="14" t="str">
        <f t="shared" si="0"/>
        <v>No</v>
      </c>
    </row>
    <row r="65" spans="1:20" s="14" customFormat="1" ht="11.25">
      <c r="A65" s="14" t="s">
        <v>1200</v>
      </c>
      <c r="B65" s="14" t="s">
        <v>1201</v>
      </c>
      <c r="C65" s="14" t="s">
        <v>62</v>
      </c>
      <c r="D65" s="169">
        <v>2098</v>
      </c>
      <c r="E65" s="170">
        <v>20098</v>
      </c>
      <c r="F65" s="14" t="s">
        <v>160</v>
      </c>
      <c r="G65" s="14" t="s">
        <v>149</v>
      </c>
      <c r="H65" s="23">
        <v>18351295</v>
      </c>
      <c r="I65" s="23">
        <v>313</v>
      </c>
      <c r="J65" s="14">
        <v>12</v>
      </c>
      <c r="L65" s="14">
        <v>5</v>
      </c>
      <c r="N65" s="24">
        <v>17</v>
      </c>
      <c r="P65" s="14">
        <v>18</v>
      </c>
      <c r="R65" s="14">
        <v>38</v>
      </c>
      <c r="T65" s="14" t="str">
        <f t="shared" si="0"/>
        <v>No</v>
      </c>
    </row>
    <row r="66" spans="1:20" s="14" customFormat="1" ht="11.25">
      <c r="A66" s="14" t="s">
        <v>1351</v>
      </c>
      <c r="B66" s="14" t="s">
        <v>1352</v>
      </c>
      <c r="C66" s="14" t="s">
        <v>19</v>
      </c>
      <c r="D66" s="169">
        <v>9148</v>
      </c>
      <c r="E66" s="170">
        <v>90148</v>
      </c>
      <c r="F66" s="14" t="s">
        <v>160</v>
      </c>
      <c r="G66" s="14" t="s">
        <v>149</v>
      </c>
      <c r="H66" s="23">
        <v>328454</v>
      </c>
      <c r="I66" s="23">
        <v>304</v>
      </c>
      <c r="J66" s="14">
        <v>0</v>
      </c>
      <c r="L66" s="14">
        <v>0</v>
      </c>
      <c r="N66" s="24">
        <v>0</v>
      </c>
      <c r="P66" s="14">
        <v>0</v>
      </c>
      <c r="R66" s="14">
        <v>0</v>
      </c>
      <c r="T66" s="14" t="str">
        <f t="shared" si="0"/>
        <v>No</v>
      </c>
    </row>
    <row r="67" spans="1:20" s="14" customFormat="1" ht="11.25">
      <c r="A67" s="14" t="s">
        <v>1302</v>
      </c>
      <c r="B67" s="14" t="s">
        <v>777</v>
      </c>
      <c r="C67" s="14" t="s">
        <v>51</v>
      </c>
      <c r="D67" s="169">
        <v>5031</v>
      </c>
      <c r="E67" s="170">
        <v>50031</v>
      </c>
      <c r="F67" s="14" t="s">
        <v>160</v>
      </c>
      <c r="G67" s="14" t="s">
        <v>149</v>
      </c>
      <c r="H67" s="23">
        <v>3734090</v>
      </c>
      <c r="I67" s="23">
        <v>302</v>
      </c>
      <c r="J67" s="14">
        <v>1</v>
      </c>
      <c r="L67" s="14">
        <v>0</v>
      </c>
      <c r="N67" s="24">
        <v>1</v>
      </c>
      <c r="P67" s="14">
        <v>1</v>
      </c>
      <c r="R67" s="14">
        <v>0</v>
      </c>
      <c r="T67" s="14" t="str">
        <f t="shared" ref="T67:T130" si="1">IF(S67&amp;Q67&amp;O67&amp;M67&amp;K67&lt;&gt;"","Yes","No")</f>
        <v>No</v>
      </c>
    </row>
    <row r="68" spans="1:20" s="14" customFormat="1" ht="11.25">
      <c r="A68" s="14" t="s">
        <v>1288</v>
      </c>
      <c r="B68" s="14" t="s">
        <v>1289</v>
      </c>
      <c r="C68" s="14" t="s">
        <v>88</v>
      </c>
      <c r="D68" s="169">
        <v>2</v>
      </c>
      <c r="E68" s="170">
        <v>2</v>
      </c>
      <c r="F68" s="14" t="s">
        <v>160</v>
      </c>
      <c r="G68" s="14" t="s">
        <v>149</v>
      </c>
      <c r="H68" s="23">
        <v>387847</v>
      </c>
      <c r="I68" s="23">
        <v>300</v>
      </c>
      <c r="J68" s="14">
        <v>1</v>
      </c>
      <c r="L68" s="14">
        <v>0</v>
      </c>
      <c r="N68" s="24">
        <v>1</v>
      </c>
      <c r="P68" s="14">
        <v>2</v>
      </c>
      <c r="R68" s="14">
        <v>1</v>
      </c>
      <c r="T68" s="14" t="str">
        <f t="shared" si="1"/>
        <v>No</v>
      </c>
    </row>
    <row r="69" spans="1:20" s="14" customFormat="1" ht="11.25">
      <c r="A69" s="14" t="s">
        <v>1304</v>
      </c>
      <c r="B69" s="14" t="s">
        <v>1305</v>
      </c>
      <c r="C69" s="14" t="s">
        <v>69</v>
      </c>
      <c r="D69" s="169">
        <v>2072</v>
      </c>
      <c r="E69" s="170">
        <v>20072</v>
      </c>
      <c r="F69" s="14" t="s">
        <v>152</v>
      </c>
      <c r="G69" s="14" t="s">
        <v>149</v>
      </c>
      <c r="H69" s="23">
        <v>18351295</v>
      </c>
      <c r="I69" s="23">
        <v>291</v>
      </c>
      <c r="J69" s="14">
        <v>0</v>
      </c>
      <c r="L69" s="14">
        <v>0</v>
      </c>
      <c r="N69" s="24">
        <v>0</v>
      </c>
      <c r="P69" s="14">
        <v>0</v>
      </c>
      <c r="R69" s="14">
        <v>0</v>
      </c>
      <c r="T69" s="14" t="str">
        <f t="shared" si="1"/>
        <v>No</v>
      </c>
    </row>
    <row r="70" spans="1:20" s="14" customFormat="1" ht="11.25">
      <c r="A70" s="14" t="s">
        <v>1223</v>
      </c>
      <c r="B70" s="14" t="s">
        <v>1224</v>
      </c>
      <c r="C70" s="14" t="s">
        <v>80</v>
      </c>
      <c r="D70" s="169">
        <v>1001</v>
      </c>
      <c r="E70" s="170">
        <v>10001</v>
      </c>
      <c r="F70" s="14" t="s">
        <v>160</v>
      </c>
      <c r="G70" s="14" t="s">
        <v>149</v>
      </c>
      <c r="H70" s="23">
        <v>1190956</v>
      </c>
      <c r="I70" s="23">
        <v>290</v>
      </c>
      <c r="J70" s="14">
        <v>1</v>
      </c>
      <c r="L70" s="14">
        <v>0</v>
      </c>
      <c r="N70" s="24">
        <v>1</v>
      </c>
      <c r="P70" s="14">
        <v>0</v>
      </c>
      <c r="R70" s="14">
        <v>0</v>
      </c>
      <c r="T70" s="14" t="str">
        <f t="shared" si="1"/>
        <v>No</v>
      </c>
    </row>
    <row r="71" spans="1:20" s="14" customFormat="1" ht="11.25">
      <c r="A71" s="14" t="s">
        <v>667</v>
      </c>
      <c r="B71" s="14" t="s">
        <v>240</v>
      </c>
      <c r="C71" s="14" t="s">
        <v>57</v>
      </c>
      <c r="D71" s="169">
        <v>4007</v>
      </c>
      <c r="E71" s="170">
        <v>40007</v>
      </c>
      <c r="F71" s="14" t="s">
        <v>152</v>
      </c>
      <c r="G71" s="14" t="s">
        <v>149</v>
      </c>
      <c r="H71" s="23">
        <v>884891</v>
      </c>
      <c r="I71" s="23">
        <v>289</v>
      </c>
      <c r="J71" s="14">
        <v>1</v>
      </c>
      <c r="L71" s="14">
        <v>0</v>
      </c>
      <c r="N71" s="24">
        <v>1</v>
      </c>
      <c r="P71" s="14">
        <v>1</v>
      </c>
      <c r="R71" s="14">
        <v>0</v>
      </c>
      <c r="T71" s="14" t="str">
        <f t="shared" si="1"/>
        <v>No</v>
      </c>
    </row>
    <row r="72" spans="1:20" s="14" customFormat="1" ht="11.25">
      <c r="A72" s="14" t="s">
        <v>1241</v>
      </c>
      <c r="B72" s="14" t="s">
        <v>318</v>
      </c>
      <c r="C72" s="14" t="s">
        <v>74</v>
      </c>
      <c r="D72" s="169">
        <v>25</v>
      </c>
      <c r="E72" s="170">
        <v>25</v>
      </c>
      <c r="F72" s="14" t="s">
        <v>160</v>
      </c>
      <c r="G72" s="14" t="s">
        <v>149</v>
      </c>
      <c r="H72" s="23">
        <v>236632</v>
      </c>
      <c r="I72" s="23">
        <v>288</v>
      </c>
      <c r="J72" s="14">
        <v>3</v>
      </c>
      <c r="L72" s="14">
        <v>0</v>
      </c>
      <c r="N72" s="24">
        <v>3</v>
      </c>
      <c r="P72" s="14">
        <v>0</v>
      </c>
      <c r="R72" s="14">
        <v>0</v>
      </c>
      <c r="T72" s="14" t="str">
        <f t="shared" si="1"/>
        <v>No</v>
      </c>
    </row>
    <row r="73" spans="1:20" s="14" customFormat="1" ht="11.25">
      <c r="A73" s="14" t="s">
        <v>48</v>
      </c>
      <c r="B73" s="14" t="s">
        <v>1226</v>
      </c>
      <c r="C73" s="14" t="s">
        <v>47</v>
      </c>
      <c r="D73" s="169">
        <v>3051</v>
      </c>
      <c r="E73" s="170">
        <v>30051</v>
      </c>
      <c r="F73" s="14" t="s">
        <v>152</v>
      </c>
      <c r="G73" s="14" t="s">
        <v>149</v>
      </c>
      <c r="H73" s="23">
        <v>4586770</v>
      </c>
      <c r="I73" s="23">
        <v>287</v>
      </c>
      <c r="J73" s="14">
        <v>3</v>
      </c>
      <c r="L73" s="14">
        <v>0</v>
      </c>
      <c r="N73" s="24">
        <v>3</v>
      </c>
      <c r="P73" s="14">
        <v>2</v>
      </c>
      <c r="R73" s="14">
        <v>0</v>
      </c>
      <c r="T73" s="14" t="str">
        <f t="shared" si="1"/>
        <v>No</v>
      </c>
    </row>
    <row r="74" spans="1:20" s="14" customFormat="1" ht="11.25">
      <c r="A74" s="14" t="s">
        <v>1060</v>
      </c>
      <c r="B74" s="14" t="s">
        <v>1061</v>
      </c>
      <c r="C74" s="14" t="s">
        <v>74</v>
      </c>
      <c r="D74" s="169">
        <v>7</v>
      </c>
      <c r="E74" s="170">
        <v>7</v>
      </c>
      <c r="F74" s="14" t="s">
        <v>160</v>
      </c>
      <c r="G74" s="14" t="s">
        <v>149</v>
      </c>
      <c r="H74" s="23">
        <v>247421</v>
      </c>
      <c r="I74" s="23">
        <v>277</v>
      </c>
      <c r="J74" s="14">
        <v>15</v>
      </c>
      <c r="L74" s="14">
        <v>0</v>
      </c>
      <c r="N74" s="24">
        <v>15</v>
      </c>
      <c r="P74" s="14">
        <v>0</v>
      </c>
      <c r="R74" s="14">
        <v>0</v>
      </c>
      <c r="T74" s="14" t="str">
        <f t="shared" si="1"/>
        <v>No</v>
      </c>
    </row>
    <row r="75" spans="1:20" s="14" customFormat="1" ht="11.25">
      <c r="A75" s="14" t="s">
        <v>1195</v>
      </c>
      <c r="B75" s="14" t="s">
        <v>1196</v>
      </c>
      <c r="C75" s="14" t="s">
        <v>32</v>
      </c>
      <c r="D75" s="169">
        <v>4027</v>
      </c>
      <c r="E75" s="170">
        <v>40027</v>
      </c>
      <c r="F75" s="14" t="s">
        <v>160</v>
      </c>
      <c r="G75" s="14" t="s">
        <v>149</v>
      </c>
      <c r="H75" s="23">
        <v>2441770</v>
      </c>
      <c r="I75" s="23">
        <v>276</v>
      </c>
      <c r="J75" s="14">
        <v>4</v>
      </c>
      <c r="L75" s="14">
        <v>0</v>
      </c>
      <c r="N75" s="24">
        <v>4</v>
      </c>
      <c r="P75" s="14">
        <v>0</v>
      </c>
      <c r="R75" s="14">
        <v>0</v>
      </c>
      <c r="T75" s="14" t="str">
        <f t="shared" si="1"/>
        <v>No</v>
      </c>
    </row>
    <row r="76" spans="1:20" s="14" customFormat="1" ht="11.25">
      <c r="A76" s="14" t="s">
        <v>671</v>
      </c>
      <c r="B76" s="14" t="s">
        <v>545</v>
      </c>
      <c r="C76" s="14" t="s">
        <v>69</v>
      </c>
      <c r="D76" s="169">
        <v>2002</v>
      </c>
      <c r="E76" s="170">
        <v>20002</v>
      </c>
      <c r="F76" s="14" t="s">
        <v>160</v>
      </c>
      <c r="G76" s="14" t="s">
        <v>149</v>
      </c>
      <c r="H76" s="23">
        <v>594962</v>
      </c>
      <c r="I76" s="23">
        <v>276</v>
      </c>
      <c r="J76" s="14">
        <v>0</v>
      </c>
      <c r="L76" s="14">
        <v>0</v>
      </c>
      <c r="N76" s="24">
        <v>0</v>
      </c>
      <c r="P76" s="14">
        <v>0</v>
      </c>
      <c r="R76" s="14">
        <v>0</v>
      </c>
      <c r="T76" s="14" t="str">
        <f t="shared" si="1"/>
        <v>No</v>
      </c>
    </row>
    <row r="77" spans="1:20" s="14" customFormat="1" ht="11.25">
      <c r="A77" s="14" t="s">
        <v>1036</v>
      </c>
      <c r="B77" s="14" t="s">
        <v>354</v>
      </c>
      <c r="C77" s="14" t="s">
        <v>88</v>
      </c>
      <c r="D77" s="169">
        <v>19</v>
      </c>
      <c r="E77" s="170">
        <v>19</v>
      </c>
      <c r="F77" s="14" t="s">
        <v>160</v>
      </c>
      <c r="G77" s="14" t="s">
        <v>149</v>
      </c>
      <c r="H77" s="23">
        <v>176617</v>
      </c>
      <c r="I77" s="23">
        <v>276</v>
      </c>
      <c r="J77" s="14">
        <v>4</v>
      </c>
      <c r="L77" s="14">
        <v>0</v>
      </c>
      <c r="N77" s="24">
        <v>4</v>
      </c>
      <c r="P77" s="14">
        <v>0</v>
      </c>
      <c r="R77" s="14">
        <v>0</v>
      </c>
      <c r="T77" s="14" t="str">
        <f t="shared" si="1"/>
        <v>No</v>
      </c>
    </row>
    <row r="78" spans="1:20" s="14" customFormat="1" ht="11.25">
      <c r="A78" s="14" t="s">
        <v>1227</v>
      </c>
      <c r="B78" s="14" t="s">
        <v>876</v>
      </c>
      <c r="C78" s="14" t="s">
        <v>19</v>
      </c>
      <c r="D78" s="169">
        <v>9031</v>
      </c>
      <c r="E78" s="170">
        <v>90031</v>
      </c>
      <c r="F78" s="14" t="s">
        <v>160</v>
      </c>
      <c r="G78" s="14" t="s">
        <v>149</v>
      </c>
      <c r="H78" s="23">
        <v>1932666</v>
      </c>
      <c r="I78" s="23">
        <v>275</v>
      </c>
      <c r="J78" s="14">
        <v>26</v>
      </c>
      <c r="L78" s="14">
        <v>0</v>
      </c>
      <c r="N78" s="24">
        <v>26</v>
      </c>
      <c r="P78" s="14">
        <v>9</v>
      </c>
      <c r="R78" s="14">
        <v>0</v>
      </c>
      <c r="T78" s="14" t="str">
        <f t="shared" si="1"/>
        <v>No</v>
      </c>
    </row>
    <row r="79" spans="1:20" s="14" customFormat="1" ht="11.25">
      <c r="A79" s="14" t="s">
        <v>1197</v>
      </c>
      <c r="B79" s="14" t="s">
        <v>732</v>
      </c>
      <c r="C79" s="14" t="s">
        <v>45</v>
      </c>
      <c r="D79" s="169">
        <v>1008</v>
      </c>
      <c r="E79" s="170">
        <v>10008</v>
      </c>
      <c r="F79" s="14" t="s">
        <v>160</v>
      </c>
      <c r="G79" s="14" t="s">
        <v>149</v>
      </c>
      <c r="H79" s="23">
        <v>621300</v>
      </c>
      <c r="I79" s="23">
        <v>265</v>
      </c>
      <c r="J79" s="14">
        <v>2</v>
      </c>
      <c r="L79" s="14">
        <v>0</v>
      </c>
      <c r="N79" s="24">
        <v>2</v>
      </c>
      <c r="P79" s="14">
        <v>0</v>
      </c>
      <c r="R79" s="14">
        <v>0</v>
      </c>
      <c r="T79" s="14" t="str">
        <f t="shared" si="1"/>
        <v>No</v>
      </c>
    </row>
    <row r="80" spans="1:20" s="14" customFormat="1" ht="11.25">
      <c r="A80" s="14" t="s">
        <v>1114</v>
      </c>
      <c r="B80" s="14" t="s">
        <v>387</v>
      </c>
      <c r="C80" s="14" t="s">
        <v>83</v>
      </c>
      <c r="D80" s="169">
        <v>4004</v>
      </c>
      <c r="E80" s="170">
        <v>40004</v>
      </c>
      <c r="F80" s="14" t="s">
        <v>160</v>
      </c>
      <c r="G80" s="14" t="s">
        <v>149</v>
      </c>
      <c r="H80" s="23">
        <v>969587</v>
      </c>
      <c r="I80" s="23">
        <v>262</v>
      </c>
      <c r="J80" s="14">
        <v>2</v>
      </c>
      <c r="L80" s="14">
        <v>0</v>
      </c>
      <c r="N80" s="24">
        <v>2</v>
      </c>
      <c r="P80" s="14">
        <v>2</v>
      </c>
      <c r="R80" s="14">
        <v>4</v>
      </c>
      <c r="T80" s="14" t="str">
        <f t="shared" si="1"/>
        <v>No</v>
      </c>
    </row>
    <row r="81" spans="1:20" s="14" customFormat="1" ht="11.25">
      <c r="A81" s="14" t="s">
        <v>89</v>
      </c>
      <c r="B81" s="14" t="s">
        <v>1053</v>
      </c>
      <c r="C81" s="14" t="s">
        <v>88</v>
      </c>
      <c r="D81" s="169">
        <v>20</v>
      </c>
      <c r="E81" s="170">
        <v>20</v>
      </c>
      <c r="F81" s="14" t="s">
        <v>160</v>
      </c>
      <c r="G81" s="14" t="s">
        <v>149</v>
      </c>
      <c r="H81" s="23">
        <v>198979</v>
      </c>
      <c r="I81" s="23">
        <v>262</v>
      </c>
      <c r="J81" s="14">
        <v>17</v>
      </c>
      <c r="L81" s="14">
        <v>1</v>
      </c>
      <c r="N81" s="24">
        <v>18</v>
      </c>
      <c r="P81" s="14">
        <v>3</v>
      </c>
      <c r="R81" s="14">
        <v>0</v>
      </c>
      <c r="T81" s="14" t="str">
        <f t="shared" si="1"/>
        <v>No</v>
      </c>
    </row>
    <row r="82" spans="1:20" s="14" customFormat="1" ht="11.25">
      <c r="A82" s="14" t="s">
        <v>1686</v>
      </c>
      <c r="B82" s="14" t="s">
        <v>258</v>
      </c>
      <c r="C82" s="14" t="s">
        <v>69</v>
      </c>
      <c r="D82" s="169">
        <v>2113</v>
      </c>
      <c r="E82" s="170">
        <v>20113</v>
      </c>
      <c r="F82" s="14" t="s">
        <v>160</v>
      </c>
      <c r="G82" s="14" t="s">
        <v>149</v>
      </c>
      <c r="H82" s="23">
        <v>720572</v>
      </c>
      <c r="I82" s="23">
        <v>258</v>
      </c>
      <c r="J82" s="14">
        <v>2</v>
      </c>
      <c r="L82" s="14">
        <v>0</v>
      </c>
      <c r="N82" s="24">
        <v>2</v>
      </c>
      <c r="P82" s="14">
        <v>0</v>
      </c>
      <c r="R82" s="14">
        <v>0</v>
      </c>
      <c r="T82" s="14" t="str">
        <f t="shared" si="1"/>
        <v>No</v>
      </c>
    </row>
    <row r="83" spans="1:20" s="14" customFormat="1" ht="11.25">
      <c r="A83" s="14" t="s">
        <v>1087</v>
      </c>
      <c r="B83" s="14" t="s">
        <v>228</v>
      </c>
      <c r="C83" s="14" t="s">
        <v>92</v>
      </c>
      <c r="D83" s="169">
        <v>5005</v>
      </c>
      <c r="E83" s="170">
        <v>50005</v>
      </c>
      <c r="F83" s="14" t="s">
        <v>152</v>
      </c>
      <c r="G83" s="14" t="s">
        <v>149</v>
      </c>
      <c r="H83" s="23">
        <v>401661</v>
      </c>
      <c r="I83" s="23">
        <v>254</v>
      </c>
      <c r="J83" s="14">
        <v>0</v>
      </c>
      <c r="L83" s="14">
        <v>0</v>
      </c>
      <c r="N83" s="24">
        <v>0</v>
      </c>
      <c r="P83" s="14">
        <v>0</v>
      </c>
      <c r="R83" s="14">
        <v>0</v>
      </c>
      <c r="T83" s="14" t="str">
        <f t="shared" si="1"/>
        <v>No</v>
      </c>
    </row>
    <row r="84" spans="1:20" s="14" customFormat="1" ht="11.25">
      <c r="A84" s="14" t="s">
        <v>1170</v>
      </c>
      <c r="B84" s="14" t="s">
        <v>1171</v>
      </c>
      <c r="C84" s="14" t="s">
        <v>19</v>
      </c>
      <c r="D84" s="169">
        <v>9029</v>
      </c>
      <c r="E84" s="170">
        <v>90029</v>
      </c>
      <c r="F84" s="14" t="s">
        <v>160</v>
      </c>
      <c r="G84" s="14" t="s">
        <v>149</v>
      </c>
      <c r="H84" s="23">
        <v>1932666</v>
      </c>
      <c r="I84" s="23">
        <v>250</v>
      </c>
      <c r="J84" s="14">
        <v>9</v>
      </c>
      <c r="L84" s="14">
        <v>0</v>
      </c>
      <c r="N84" s="24">
        <v>9</v>
      </c>
      <c r="P84" s="14">
        <v>2</v>
      </c>
      <c r="R84" s="14">
        <v>0</v>
      </c>
      <c r="T84" s="14" t="str">
        <f t="shared" si="1"/>
        <v>No</v>
      </c>
    </row>
    <row r="85" spans="1:20" s="14" customFormat="1" ht="11.25">
      <c r="A85" s="14" t="s">
        <v>1039</v>
      </c>
      <c r="B85" s="14" t="s">
        <v>250</v>
      </c>
      <c r="C85" s="14" t="s">
        <v>32</v>
      </c>
      <c r="D85" s="169">
        <v>4040</v>
      </c>
      <c r="E85" s="170">
        <v>40040</v>
      </c>
      <c r="F85" s="14" t="s">
        <v>160</v>
      </c>
      <c r="G85" s="14" t="s">
        <v>149</v>
      </c>
      <c r="H85" s="23">
        <v>1065219</v>
      </c>
      <c r="I85" s="23">
        <v>248</v>
      </c>
      <c r="J85" s="14">
        <v>13</v>
      </c>
      <c r="L85" s="14">
        <v>0</v>
      </c>
      <c r="N85" s="24">
        <v>13</v>
      </c>
      <c r="P85" s="14">
        <v>10</v>
      </c>
      <c r="R85" s="14">
        <v>22</v>
      </c>
      <c r="T85" s="14" t="str">
        <f t="shared" si="1"/>
        <v>No</v>
      </c>
    </row>
    <row r="86" spans="1:20" s="14" customFormat="1" ht="11.25">
      <c r="A86" s="14" t="s">
        <v>1825</v>
      </c>
      <c r="B86" s="14" t="s">
        <v>312</v>
      </c>
      <c r="C86" s="14" t="s">
        <v>75</v>
      </c>
      <c r="D86" s="169">
        <v>3027</v>
      </c>
      <c r="E86" s="170">
        <v>30027</v>
      </c>
      <c r="F86" s="14" t="s">
        <v>160</v>
      </c>
      <c r="G86" s="14" t="s">
        <v>149</v>
      </c>
      <c r="H86" s="23">
        <v>232045</v>
      </c>
      <c r="I86" s="23">
        <v>246</v>
      </c>
      <c r="J86" s="14">
        <v>4</v>
      </c>
      <c r="L86" s="14">
        <v>0</v>
      </c>
      <c r="N86" s="24">
        <v>4</v>
      </c>
      <c r="P86" s="14">
        <v>0</v>
      </c>
      <c r="R86" s="14">
        <v>0</v>
      </c>
      <c r="T86" s="14" t="str">
        <f t="shared" si="1"/>
        <v>No</v>
      </c>
    </row>
    <row r="87" spans="1:20" s="14" customFormat="1" ht="11.25">
      <c r="A87" s="14" t="s">
        <v>1826</v>
      </c>
      <c r="B87" s="14" t="s">
        <v>1094</v>
      </c>
      <c r="C87" s="14" t="s">
        <v>51</v>
      </c>
      <c r="D87" s="169">
        <v>5032</v>
      </c>
      <c r="E87" s="170">
        <v>50032</v>
      </c>
      <c r="F87" s="14" t="s">
        <v>160</v>
      </c>
      <c r="G87" s="14" t="s">
        <v>149</v>
      </c>
      <c r="H87" s="23">
        <v>356218</v>
      </c>
      <c r="I87" s="23">
        <v>237</v>
      </c>
      <c r="J87" s="14">
        <v>1</v>
      </c>
      <c r="L87" s="14">
        <v>0</v>
      </c>
      <c r="N87" s="24">
        <v>1</v>
      </c>
      <c r="P87" s="14">
        <v>0</v>
      </c>
      <c r="R87" s="14">
        <v>0</v>
      </c>
      <c r="T87" s="14" t="str">
        <f t="shared" si="1"/>
        <v>No</v>
      </c>
    </row>
    <row r="88" spans="1:20" s="14" customFormat="1" ht="11.25">
      <c r="A88" s="14" t="s">
        <v>978</v>
      </c>
      <c r="B88" s="14" t="s">
        <v>789</v>
      </c>
      <c r="C88" s="14" t="s">
        <v>86</v>
      </c>
      <c r="D88" s="169">
        <v>3068</v>
      </c>
      <c r="E88" s="170">
        <v>30068</v>
      </c>
      <c r="F88" s="14" t="s">
        <v>152</v>
      </c>
      <c r="G88" s="14" t="s">
        <v>149</v>
      </c>
      <c r="H88" s="23">
        <v>4586770</v>
      </c>
      <c r="I88" s="23">
        <v>235</v>
      </c>
      <c r="J88" s="14">
        <v>16</v>
      </c>
      <c r="L88" s="14">
        <v>0</v>
      </c>
      <c r="N88" s="24">
        <v>16</v>
      </c>
      <c r="P88" s="14">
        <v>5</v>
      </c>
      <c r="R88" s="14">
        <v>2</v>
      </c>
      <c r="T88" s="14" t="str">
        <f t="shared" si="1"/>
        <v>No</v>
      </c>
    </row>
    <row r="89" spans="1:20" s="14" customFormat="1" ht="11.25">
      <c r="A89" s="14" t="s">
        <v>998</v>
      </c>
      <c r="B89" s="14" t="s">
        <v>999</v>
      </c>
      <c r="C89" s="14" t="s">
        <v>51</v>
      </c>
      <c r="D89" s="169">
        <v>5033</v>
      </c>
      <c r="E89" s="170">
        <v>50033</v>
      </c>
      <c r="F89" s="14" t="s">
        <v>160</v>
      </c>
      <c r="G89" s="14" t="s">
        <v>149</v>
      </c>
      <c r="H89" s="23">
        <v>569935</v>
      </c>
      <c r="I89" s="23">
        <v>234</v>
      </c>
      <c r="J89" s="14">
        <v>3</v>
      </c>
      <c r="L89" s="14">
        <v>0</v>
      </c>
      <c r="N89" s="24">
        <v>3</v>
      </c>
      <c r="P89" s="14">
        <v>2</v>
      </c>
      <c r="R89" s="14">
        <v>0</v>
      </c>
      <c r="T89" s="14" t="str">
        <f t="shared" si="1"/>
        <v>No</v>
      </c>
    </row>
    <row r="90" spans="1:20" s="14" customFormat="1" ht="11.25">
      <c r="A90" s="14" t="s">
        <v>933</v>
      </c>
      <c r="B90" s="14" t="s">
        <v>838</v>
      </c>
      <c r="C90" s="14" t="s">
        <v>29</v>
      </c>
      <c r="D90" s="169">
        <v>1048</v>
      </c>
      <c r="E90" s="170">
        <v>10048</v>
      </c>
      <c r="F90" s="14" t="s">
        <v>269</v>
      </c>
      <c r="G90" s="14" t="s">
        <v>149</v>
      </c>
      <c r="H90" s="23">
        <v>924859</v>
      </c>
      <c r="I90" s="23">
        <v>233</v>
      </c>
      <c r="J90" s="14">
        <v>0</v>
      </c>
      <c r="L90" s="14">
        <v>0</v>
      </c>
      <c r="N90" s="24">
        <v>0</v>
      </c>
      <c r="P90" s="14">
        <v>0</v>
      </c>
      <c r="R90" s="14">
        <v>0</v>
      </c>
      <c r="T90" s="14" t="str">
        <f t="shared" si="1"/>
        <v>No</v>
      </c>
    </row>
    <row r="91" spans="1:20" s="14" customFormat="1" ht="11.25">
      <c r="A91" s="14" t="s">
        <v>1238</v>
      </c>
      <c r="B91" s="14" t="s">
        <v>208</v>
      </c>
      <c r="C91" s="14" t="s">
        <v>19</v>
      </c>
      <c r="D91" s="169">
        <v>9019</v>
      </c>
      <c r="E91" s="170">
        <v>90019</v>
      </c>
      <c r="F91" s="14" t="s">
        <v>160</v>
      </c>
      <c r="G91" s="14" t="s">
        <v>149</v>
      </c>
      <c r="H91" s="23">
        <v>1723634</v>
      </c>
      <c r="I91" s="23">
        <v>229</v>
      </c>
      <c r="J91" s="14">
        <v>75</v>
      </c>
      <c r="L91" s="14">
        <v>0</v>
      </c>
      <c r="N91" s="24">
        <v>75</v>
      </c>
      <c r="P91" s="14">
        <v>8</v>
      </c>
      <c r="R91" s="14">
        <v>0</v>
      </c>
      <c r="T91" s="14" t="str">
        <f t="shared" si="1"/>
        <v>No</v>
      </c>
    </row>
    <row r="92" spans="1:20" s="14" customFormat="1" ht="11.25">
      <c r="A92" s="14" t="s">
        <v>960</v>
      </c>
      <c r="B92" s="14" t="s">
        <v>234</v>
      </c>
      <c r="C92" s="14" t="s">
        <v>37</v>
      </c>
      <c r="D92" s="169">
        <v>7010</v>
      </c>
      <c r="E92" s="170">
        <v>70010</v>
      </c>
      <c r="F92" s="14" t="s">
        <v>160</v>
      </c>
      <c r="G92" s="14" t="s">
        <v>149</v>
      </c>
      <c r="H92" s="23">
        <v>450070</v>
      </c>
      <c r="I92" s="23">
        <v>229</v>
      </c>
      <c r="J92" s="14">
        <v>1</v>
      </c>
      <c r="L92" s="14">
        <v>0</v>
      </c>
      <c r="N92" s="24">
        <v>1</v>
      </c>
      <c r="P92" s="14">
        <v>1</v>
      </c>
      <c r="R92" s="14">
        <v>0</v>
      </c>
      <c r="T92" s="14" t="str">
        <f t="shared" si="1"/>
        <v>No</v>
      </c>
    </row>
    <row r="93" spans="1:20" s="14" customFormat="1" ht="11.25">
      <c r="A93" s="14" t="s">
        <v>1164</v>
      </c>
      <c r="B93" s="14" t="s">
        <v>1165</v>
      </c>
      <c r="C93" s="14" t="s">
        <v>19</v>
      </c>
      <c r="D93" s="169">
        <v>9030</v>
      </c>
      <c r="E93" s="170">
        <v>90030</v>
      </c>
      <c r="F93" s="14" t="s">
        <v>160</v>
      </c>
      <c r="G93" s="14" t="s">
        <v>149</v>
      </c>
      <c r="H93" s="23">
        <v>2956746</v>
      </c>
      <c r="I93" s="23">
        <v>229</v>
      </c>
      <c r="J93" s="14">
        <v>24</v>
      </c>
      <c r="L93" s="14">
        <v>0</v>
      </c>
      <c r="N93" s="24">
        <v>24</v>
      </c>
      <c r="P93" s="14">
        <v>3</v>
      </c>
      <c r="R93" s="14">
        <v>0</v>
      </c>
      <c r="T93" s="14" t="str">
        <f t="shared" si="1"/>
        <v>No</v>
      </c>
    </row>
    <row r="94" spans="1:20" s="14" customFormat="1" ht="11.25">
      <c r="A94" s="14" t="s">
        <v>63</v>
      </c>
      <c r="B94" s="14" t="s">
        <v>535</v>
      </c>
      <c r="C94" s="14" t="s">
        <v>62</v>
      </c>
      <c r="D94" s="169">
        <v>2122</v>
      </c>
      <c r="E94" s="170">
        <v>20122</v>
      </c>
      <c r="F94" s="14" t="s">
        <v>148</v>
      </c>
      <c r="G94" s="14" t="s">
        <v>149</v>
      </c>
      <c r="H94" s="23">
        <v>18351295</v>
      </c>
      <c r="I94" s="23">
        <v>225</v>
      </c>
      <c r="J94" s="14">
        <v>2</v>
      </c>
      <c r="L94" s="14">
        <v>0</v>
      </c>
      <c r="N94" s="24">
        <v>2</v>
      </c>
      <c r="P94" s="14">
        <v>2</v>
      </c>
      <c r="R94" s="14">
        <v>0</v>
      </c>
      <c r="T94" s="14" t="str">
        <f t="shared" si="1"/>
        <v>No</v>
      </c>
    </row>
    <row r="95" spans="1:20" s="14" customFormat="1" ht="11.25">
      <c r="A95" s="14" t="s">
        <v>53</v>
      </c>
      <c r="B95" s="14" t="s">
        <v>1105</v>
      </c>
      <c r="C95" s="14" t="s">
        <v>52</v>
      </c>
      <c r="D95" s="169">
        <v>5154</v>
      </c>
      <c r="E95" s="170">
        <v>50154</v>
      </c>
      <c r="F95" s="14" t="s">
        <v>152</v>
      </c>
      <c r="G95" s="14" t="s">
        <v>149</v>
      </c>
      <c r="H95" s="23">
        <v>2650890</v>
      </c>
      <c r="I95" s="23">
        <v>220</v>
      </c>
      <c r="J95" s="14">
        <v>19</v>
      </c>
      <c r="L95" s="14">
        <v>0</v>
      </c>
      <c r="N95" s="24">
        <v>19</v>
      </c>
      <c r="P95" s="14">
        <v>22</v>
      </c>
      <c r="R95" s="14">
        <v>5</v>
      </c>
      <c r="T95" s="14" t="str">
        <f t="shared" si="1"/>
        <v>No</v>
      </c>
    </row>
    <row r="96" spans="1:20" s="14" customFormat="1" ht="11.25">
      <c r="A96" s="14" t="s">
        <v>1220</v>
      </c>
      <c r="B96" s="14" t="s">
        <v>320</v>
      </c>
      <c r="C96" s="14" t="s">
        <v>68</v>
      </c>
      <c r="D96" s="169">
        <v>9001</v>
      </c>
      <c r="E96" s="170">
        <v>90001</v>
      </c>
      <c r="F96" s="14" t="s">
        <v>160</v>
      </c>
      <c r="G96" s="14" t="s">
        <v>149</v>
      </c>
      <c r="H96" s="23">
        <v>392141</v>
      </c>
      <c r="I96" s="23">
        <v>219</v>
      </c>
      <c r="J96" s="14">
        <v>2</v>
      </c>
      <c r="L96" s="14">
        <v>0</v>
      </c>
      <c r="N96" s="24">
        <v>2</v>
      </c>
      <c r="P96" s="14">
        <v>0</v>
      </c>
      <c r="R96" s="14">
        <v>0</v>
      </c>
      <c r="T96" s="14" t="str">
        <f t="shared" si="1"/>
        <v>No</v>
      </c>
    </row>
    <row r="97" spans="1:20" s="14" customFormat="1" ht="11.25">
      <c r="A97" s="14" t="s">
        <v>1321</v>
      </c>
      <c r="B97" s="14" t="s">
        <v>1322</v>
      </c>
      <c r="C97" s="14" t="s">
        <v>71</v>
      </c>
      <c r="D97" s="169">
        <v>5022</v>
      </c>
      <c r="E97" s="170">
        <v>50022</v>
      </c>
      <c r="F97" s="14" t="s">
        <v>160</v>
      </c>
      <c r="G97" s="14" t="s">
        <v>149</v>
      </c>
      <c r="H97" s="23">
        <v>507643</v>
      </c>
      <c r="I97" s="23">
        <v>214</v>
      </c>
      <c r="J97" s="14">
        <v>5</v>
      </c>
      <c r="L97" s="14">
        <v>0</v>
      </c>
      <c r="N97" s="24">
        <v>5</v>
      </c>
      <c r="P97" s="14">
        <v>2</v>
      </c>
      <c r="R97" s="14">
        <v>1</v>
      </c>
      <c r="T97" s="14" t="str">
        <f t="shared" si="1"/>
        <v>No</v>
      </c>
    </row>
    <row r="98" spans="1:20" s="14" customFormat="1" ht="11.25">
      <c r="A98" s="14" t="s">
        <v>1687</v>
      </c>
      <c r="B98" s="14" t="s">
        <v>263</v>
      </c>
      <c r="C98" s="14" t="s">
        <v>69</v>
      </c>
      <c r="D98" s="169">
        <v>2018</v>
      </c>
      <c r="E98" s="170">
        <v>20018</v>
      </c>
      <c r="F98" s="14" t="s">
        <v>160</v>
      </c>
      <c r="G98" s="14" t="s">
        <v>149</v>
      </c>
      <c r="H98" s="23">
        <v>412317</v>
      </c>
      <c r="I98" s="23">
        <v>213</v>
      </c>
      <c r="J98" s="14">
        <v>1</v>
      </c>
      <c r="L98" s="14">
        <v>0</v>
      </c>
      <c r="N98" s="24">
        <v>1</v>
      </c>
      <c r="P98" s="14">
        <v>0</v>
      </c>
      <c r="R98" s="14">
        <v>0</v>
      </c>
      <c r="T98" s="14" t="str">
        <f t="shared" si="1"/>
        <v>No</v>
      </c>
    </row>
    <row r="99" spans="1:20" s="14" customFormat="1" ht="11.25">
      <c r="A99" s="14" t="s">
        <v>1827</v>
      </c>
      <c r="B99" s="14" t="s">
        <v>1106</v>
      </c>
      <c r="C99" s="14" t="s">
        <v>71</v>
      </c>
      <c r="D99" s="169">
        <v>5010</v>
      </c>
      <c r="E99" s="170">
        <v>50010</v>
      </c>
      <c r="F99" s="14" t="s">
        <v>160</v>
      </c>
      <c r="G99" s="14" t="s">
        <v>149</v>
      </c>
      <c r="H99" s="23">
        <v>569499</v>
      </c>
      <c r="I99" s="23">
        <v>212</v>
      </c>
      <c r="J99" s="14">
        <v>2</v>
      </c>
      <c r="L99" s="14">
        <v>0</v>
      </c>
      <c r="N99" s="24">
        <v>2</v>
      </c>
      <c r="P99" s="14">
        <v>0</v>
      </c>
      <c r="R99" s="14">
        <v>0</v>
      </c>
      <c r="T99" s="14" t="str">
        <f t="shared" si="1"/>
        <v>No</v>
      </c>
    </row>
    <row r="100" spans="1:20" s="14" customFormat="1" ht="11.25">
      <c r="A100" s="14" t="s">
        <v>988</v>
      </c>
      <c r="B100" s="14" t="s">
        <v>989</v>
      </c>
      <c r="C100" s="14" t="s">
        <v>84</v>
      </c>
      <c r="D100" s="169">
        <v>6007</v>
      </c>
      <c r="E100" s="170">
        <v>60007</v>
      </c>
      <c r="F100" s="14" t="s">
        <v>160</v>
      </c>
      <c r="G100" s="14" t="s">
        <v>149</v>
      </c>
      <c r="H100" s="23">
        <v>5121892</v>
      </c>
      <c r="I100" s="23">
        <v>209</v>
      </c>
      <c r="J100" s="14">
        <v>5</v>
      </c>
      <c r="L100" s="14">
        <v>0</v>
      </c>
      <c r="N100" s="24">
        <v>5</v>
      </c>
      <c r="P100" s="14">
        <v>3</v>
      </c>
      <c r="R100" s="14">
        <v>0</v>
      </c>
      <c r="T100" s="14" t="str">
        <f t="shared" si="1"/>
        <v>No</v>
      </c>
    </row>
    <row r="101" spans="1:20" s="14" customFormat="1" ht="11.25">
      <c r="A101" s="14" t="s">
        <v>1035</v>
      </c>
      <c r="B101" s="14" t="s">
        <v>833</v>
      </c>
      <c r="C101" s="14" t="s">
        <v>40</v>
      </c>
      <c r="D101" s="169">
        <v>5050</v>
      </c>
      <c r="E101" s="170">
        <v>50050</v>
      </c>
      <c r="F101" s="14" t="s">
        <v>160</v>
      </c>
      <c r="G101" s="14" t="s">
        <v>149</v>
      </c>
      <c r="H101" s="23">
        <v>1487483</v>
      </c>
      <c r="I101" s="23">
        <v>209</v>
      </c>
      <c r="J101" s="14">
        <v>1</v>
      </c>
      <c r="L101" s="14">
        <v>0</v>
      </c>
      <c r="N101" s="24">
        <v>1</v>
      </c>
      <c r="P101" s="14">
        <v>0</v>
      </c>
      <c r="R101" s="14">
        <v>0</v>
      </c>
      <c r="T101" s="14" t="str">
        <f t="shared" si="1"/>
        <v>No</v>
      </c>
    </row>
    <row r="102" spans="1:20" s="14" customFormat="1" ht="11.25">
      <c r="A102" s="14" t="s">
        <v>632</v>
      </c>
      <c r="B102" s="14" t="s">
        <v>633</v>
      </c>
      <c r="C102" s="14" t="s">
        <v>51</v>
      </c>
      <c r="D102" s="169">
        <v>5148</v>
      </c>
      <c r="E102" s="170">
        <v>50148</v>
      </c>
      <c r="F102" s="14" t="s">
        <v>160</v>
      </c>
      <c r="G102" s="14" t="s">
        <v>149</v>
      </c>
      <c r="H102" s="23">
        <v>87106</v>
      </c>
      <c r="I102" s="23">
        <v>202</v>
      </c>
      <c r="J102" s="14">
        <v>2</v>
      </c>
      <c r="L102" s="14">
        <v>0</v>
      </c>
      <c r="N102" s="24">
        <v>2</v>
      </c>
      <c r="P102" s="14">
        <v>0</v>
      </c>
      <c r="R102" s="14">
        <v>0</v>
      </c>
      <c r="T102" s="14" t="str">
        <f t="shared" si="1"/>
        <v>No</v>
      </c>
    </row>
    <row r="103" spans="1:20" s="14" customFormat="1" ht="11.25">
      <c r="A103" s="14" t="s">
        <v>1093</v>
      </c>
      <c r="B103" s="14" t="s">
        <v>661</v>
      </c>
      <c r="C103" s="14" t="s">
        <v>84</v>
      </c>
      <c r="D103" s="169">
        <v>6006</v>
      </c>
      <c r="E103" s="170">
        <v>60006</v>
      </c>
      <c r="F103" s="14" t="s">
        <v>152</v>
      </c>
      <c r="G103" s="14" t="s">
        <v>149</v>
      </c>
      <c r="H103" s="23">
        <v>803086</v>
      </c>
      <c r="I103" s="23">
        <v>202</v>
      </c>
      <c r="J103" s="14">
        <v>8</v>
      </c>
      <c r="L103" s="14">
        <v>0</v>
      </c>
      <c r="N103" s="24">
        <v>8</v>
      </c>
      <c r="P103" s="14">
        <v>5</v>
      </c>
      <c r="R103" s="14">
        <v>0</v>
      </c>
      <c r="T103" s="14" t="str">
        <f t="shared" si="1"/>
        <v>No</v>
      </c>
    </row>
    <row r="104" spans="1:20" s="14" customFormat="1" ht="11.25">
      <c r="A104" s="14" t="s">
        <v>1025</v>
      </c>
      <c r="B104" s="14" t="s">
        <v>579</v>
      </c>
      <c r="C104" s="14" t="s">
        <v>32</v>
      </c>
      <c r="D104" s="169">
        <v>4041</v>
      </c>
      <c r="E104" s="170">
        <v>40041</v>
      </c>
      <c r="F104" s="14" t="s">
        <v>160</v>
      </c>
      <c r="G104" s="14" t="s">
        <v>149</v>
      </c>
      <c r="H104" s="23">
        <v>2441770</v>
      </c>
      <c r="I104" s="23">
        <v>201</v>
      </c>
      <c r="J104" s="14">
        <v>14</v>
      </c>
      <c r="L104" s="14">
        <v>0</v>
      </c>
      <c r="N104" s="24">
        <v>14</v>
      </c>
      <c r="P104" s="14">
        <v>1</v>
      </c>
      <c r="R104" s="14">
        <v>0</v>
      </c>
      <c r="T104" s="14" t="str">
        <f t="shared" si="1"/>
        <v>No</v>
      </c>
    </row>
    <row r="105" spans="1:20" s="14" customFormat="1" ht="11.25">
      <c r="A105" s="14" t="s">
        <v>1072</v>
      </c>
      <c r="B105" s="14" t="s">
        <v>853</v>
      </c>
      <c r="C105" s="14" t="s">
        <v>19</v>
      </c>
      <c r="D105" s="169">
        <v>9023</v>
      </c>
      <c r="E105" s="170">
        <v>90023</v>
      </c>
      <c r="F105" s="14" t="s">
        <v>348</v>
      </c>
      <c r="G105" s="14" t="s">
        <v>149</v>
      </c>
      <c r="H105" s="23">
        <v>12150996</v>
      </c>
      <c r="I105" s="23">
        <v>199</v>
      </c>
      <c r="J105" s="14">
        <v>0</v>
      </c>
      <c r="L105" s="14">
        <v>0</v>
      </c>
      <c r="N105" s="24">
        <v>0</v>
      </c>
      <c r="P105" s="14">
        <v>0</v>
      </c>
      <c r="R105" s="14">
        <v>0</v>
      </c>
      <c r="T105" s="14" t="str">
        <f t="shared" si="1"/>
        <v>No</v>
      </c>
    </row>
    <row r="106" spans="1:20" s="14" customFormat="1" ht="11.25">
      <c r="A106" s="14" t="s">
        <v>1281</v>
      </c>
      <c r="B106" s="14" t="s">
        <v>857</v>
      </c>
      <c r="C106" s="14" t="s">
        <v>19</v>
      </c>
      <c r="D106" s="169">
        <v>9151</v>
      </c>
      <c r="E106" s="170">
        <v>90151</v>
      </c>
      <c r="F106" s="14" t="s">
        <v>160</v>
      </c>
      <c r="G106" s="14" t="s">
        <v>149</v>
      </c>
      <c r="H106" s="23">
        <v>12150996</v>
      </c>
      <c r="I106" s="23">
        <v>195</v>
      </c>
      <c r="J106" s="14">
        <v>59</v>
      </c>
      <c r="L106" s="14">
        <v>0</v>
      </c>
      <c r="N106" s="24">
        <v>59</v>
      </c>
      <c r="P106" s="14">
        <v>30</v>
      </c>
      <c r="R106" s="14">
        <v>0</v>
      </c>
      <c r="T106" s="14" t="str">
        <f t="shared" si="1"/>
        <v>No</v>
      </c>
    </row>
    <row r="107" spans="1:20" s="14" customFormat="1" ht="11.25">
      <c r="A107" s="14" t="s">
        <v>1308</v>
      </c>
      <c r="B107" s="14" t="s">
        <v>524</v>
      </c>
      <c r="C107" s="14" t="s">
        <v>67</v>
      </c>
      <c r="D107" s="169">
        <v>6019</v>
      </c>
      <c r="E107" s="170">
        <v>60019</v>
      </c>
      <c r="F107" s="14" t="s">
        <v>152</v>
      </c>
      <c r="G107" s="14" t="s">
        <v>149</v>
      </c>
      <c r="H107" s="23">
        <v>741318</v>
      </c>
      <c r="I107" s="23">
        <v>193</v>
      </c>
      <c r="J107" s="14">
        <v>1</v>
      </c>
      <c r="L107" s="14">
        <v>0</v>
      </c>
      <c r="N107" s="24">
        <v>1</v>
      </c>
      <c r="P107" s="14">
        <v>0</v>
      </c>
      <c r="R107" s="14">
        <v>0</v>
      </c>
      <c r="T107" s="14" t="str">
        <f t="shared" si="1"/>
        <v>No</v>
      </c>
    </row>
    <row r="108" spans="1:20" s="14" customFormat="1" ht="11.25">
      <c r="A108" s="14" t="s">
        <v>1828</v>
      </c>
      <c r="B108" s="14" t="s">
        <v>332</v>
      </c>
      <c r="C108" s="14" t="s">
        <v>75</v>
      </c>
      <c r="D108" s="169"/>
      <c r="E108" s="170">
        <v>30202</v>
      </c>
      <c r="F108" s="14" t="s">
        <v>160</v>
      </c>
      <c r="G108" s="14" t="s">
        <v>149</v>
      </c>
      <c r="H108" s="23">
        <v>402004</v>
      </c>
      <c r="I108" s="23">
        <v>192</v>
      </c>
      <c r="J108" s="14">
        <v>2</v>
      </c>
      <c r="L108" s="14">
        <v>0</v>
      </c>
      <c r="N108" s="24">
        <v>2</v>
      </c>
      <c r="P108" s="14">
        <v>2</v>
      </c>
      <c r="R108" s="14">
        <v>0</v>
      </c>
      <c r="T108" s="14" t="str">
        <f t="shared" si="1"/>
        <v>No</v>
      </c>
    </row>
    <row r="109" spans="1:20" s="14" customFormat="1" ht="11.25">
      <c r="A109" s="14" t="s">
        <v>1029</v>
      </c>
      <c r="B109" s="14" t="s">
        <v>1030</v>
      </c>
      <c r="C109" s="14" t="s">
        <v>62</v>
      </c>
      <c r="D109" s="169">
        <v>2126</v>
      </c>
      <c r="E109" s="170">
        <v>20126</v>
      </c>
      <c r="F109" s="14" t="s">
        <v>148</v>
      </c>
      <c r="G109" s="14" t="s">
        <v>149</v>
      </c>
      <c r="H109" s="23">
        <v>18351295</v>
      </c>
      <c r="I109" s="23">
        <v>184</v>
      </c>
      <c r="J109" s="14">
        <v>4</v>
      </c>
      <c r="L109" s="14">
        <v>0</v>
      </c>
      <c r="N109" s="24">
        <v>4</v>
      </c>
      <c r="P109" s="14">
        <v>12</v>
      </c>
      <c r="R109" s="14">
        <v>0</v>
      </c>
      <c r="T109" s="14" t="str">
        <f t="shared" si="1"/>
        <v>No</v>
      </c>
    </row>
    <row r="110" spans="1:20" s="14" customFormat="1" ht="11.25">
      <c r="A110" s="14" t="s">
        <v>905</v>
      </c>
      <c r="B110" s="14" t="s">
        <v>906</v>
      </c>
      <c r="C110" s="14" t="s">
        <v>88</v>
      </c>
      <c r="D110" s="169">
        <v>24</v>
      </c>
      <c r="E110" s="170">
        <v>24</v>
      </c>
      <c r="F110" s="14" t="s">
        <v>160</v>
      </c>
      <c r="G110" s="14" t="s">
        <v>149</v>
      </c>
      <c r="H110" s="23">
        <v>1849898</v>
      </c>
      <c r="I110" s="23">
        <v>181</v>
      </c>
      <c r="J110" s="14">
        <v>6</v>
      </c>
      <c r="L110" s="14">
        <v>0</v>
      </c>
      <c r="N110" s="24">
        <v>6</v>
      </c>
      <c r="P110" s="14">
        <v>0</v>
      </c>
      <c r="R110" s="14">
        <v>0</v>
      </c>
      <c r="T110" s="14" t="str">
        <f t="shared" si="1"/>
        <v>No</v>
      </c>
    </row>
    <row r="111" spans="1:20" s="14" customFormat="1" ht="11.25">
      <c r="A111" s="14" t="s">
        <v>1118</v>
      </c>
      <c r="B111" s="14" t="s">
        <v>360</v>
      </c>
      <c r="C111" s="14" t="s">
        <v>71</v>
      </c>
      <c r="D111" s="169">
        <v>5017</v>
      </c>
      <c r="E111" s="170">
        <v>50017</v>
      </c>
      <c r="F111" s="14" t="s">
        <v>160</v>
      </c>
      <c r="G111" s="14" t="s">
        <v>149</v>
      </c>
      <c r="H111" s="23">
        <v>724091</v>
      </c>
      <c r="I111" s="23">
        <v>179</v>
      </c>
      <c r="J111" s="14">
        <v>9</v>
      </c>
      <c r="L111" s="14">
        <v>0</v>
      </c>
      <c r="N111" s="24">
        <v>9</v>
      </c>
      <c r="P111" s="14">
        <v>0</v>
      </c>
      <c r="R111" s="14">
        <v>0</v>
      </c>
      <c r="T111" s="14" t="str">
        <f t="shared" si="1"/>
        <v>No</v>
      </c>
    </row>
    <row r="112" spans="1:20" s="14" customFormat="1" ht="11.25">
      <c r="A112" s="14" t="s">
        <v>1068</v>
      </c>
      <c r="B112" s="14" t="s">
        <v>1069</v>
      </c>
      <c r="C112" s="14" t="s">
        <v>75</v>
      </c>
      <c r="D112" s="169">
        <v>3010</v>
      </c>
      <c r="E112" s="170">
        <v>30010</v>
      </c>
      <c r="F112" s="14" t="s">
        <v>160</v>
      </c>
      <c r="G112" s="14" t="s">
        <v>149</v>
      </c>
      <c r="H112" s="23">
        <v>664651</v>
      </c>
      <c r="I112" s="23">
        <v>178</v>
      </c>
      <c r="J112" s="14">
        <v>3</v>
      </c>
      <c r="L112" s="14">
        <v>0</v>
      </c>
      <c r="N112" s="24">
        <v>3</v>
      </c>
      <c r="P112" s="14">
        <v>4</v>
      </c>
      <c r="R112" s="14">
        <v>0</v>
      </c>
      <c r="T112" s="14" t="str">
        <f t="shared" si="1"/>
        <v>No</v>
      </c>
    </row>
    <row r="113" spans="1:20" s="14" customFormat="1" ht="11.25">
      <c r="A113" s="14" t="s">
        <v>1135</v>
      </c>
      <c r="B113" s="14" t="s">
        <v>1136</v>
      </c>
      <c r="C113" s="14" t="s">
        <v>45</v>
      </c>
      <c r="D113" s="169">
        <v>1061</v>
      </c>
      <c r="E113" s="170">
        <v>10061</v>
      </c>
      <c r="F113" s="14" t="s">
        <v>160</v>
      </c>
      <c r="G113" s="14" t="s">
        <v>149</v>
      </c>
      <c r="H113" s="23">
        <v>116960</v>
      </c>
      <c r="I113" s="23">
        <v>176</v>
      </c>
      <c r="J113" s="14">
        <v>1</v>
      </c>
      <c r="L113" s="14">
        <v>0</v>
      </c>
      <c r="N113" s="24">
        <v>1</v>
      </c>
      <c r="P113" s="14">
        <v>3</v>
      </c>
      <c r="R113" s="14">
        <v>0</v>
      </c>
      <c r="T113" s="14" t="str">
        <f t="shared" si="1"/>
        <v>No</v>
      </c>
    </row>
    <row r="114" spans="1:20" s="14" customFormat="1" ht="11.25">
      <c r="A114" s="14" t="s">
        <v>669</v>
      </c>
      <c r="B114" s="14" t="s">
        <v>670</v>
      </c>
      <c r="C114" s="14" t="s">
        <v>51</v>
      </c>
      <c r="D114" s="169">
        <v>5036</v>
      </c>
      <c r="E114" s="170">
        <v>50036</v>
      </c>
      <c r="F114" s="14" t="s">
        <v>160</v>
      </c>
      <c r="G114" s="14" t="s">
        <v>149</v>
      </c>
      <c r="H114" s="23">
        <v>313532</v>
      </c>
      <c r="I114" s="23">
        <v>171</v>
      </c>
      <c r="J114" s="14">
        <v>3</v>
      </c>
      <c r="L114" s="14">
        <v>0</v>
      </c>
      <c r="N114" s="24">
        <v>3</v>
      </c>
      <c r="P114" s="14">
        <v>0</v>
      </c>
      <c r="R114" s="14">
        <v>0</v>
      </c>
      <c r="T114" s="14" t="str">
        <f t="shared" si="1"/>
        <v>No</v>
      </c>
    </row>
    <row r="115" spans="1:20" s="14" customFormat="1" ht="11.25">
      <c r="A115" s="14" t="s">
        <v>1147</v>
      </c>
      <c r="B115" s="14" t="s">
        <v>325</v>
      </c>
      <c r="C115" s="14" t="s">
        <v>9</v>
      </c>
      <c r="D115" s="169">
        <v>12</v>
      </c>
      <c r="E115" s="170">
        <v>12</v>
      </c>
      <c r="F115" s="14" t="s">
        <v>152</v>
      </c>
      <c r="G115" s="14" t="s">
        <v>149</v>
      </c>
      <c r="H115" s="23">
        <v>251243</v>
      </c>
      <c r="I115" s="23">
        <v>170</v>
      </c>
      <c r="J115" s="14">
        <v>2</v>
      </c>
      <c r="L115" s="14">
        <v>0</v>
      </c>
      <c r="N115" s="24">
        <v>2</v>
      </c>
      <c r="P115" s="14">
        <v>0</v>
      </c>
      <c r="R115" s="14">
        <v>0</v>
      </c>
      <c r="T115" s="14" t="str">
        <f t="shared" si="1"/>
        <v>No</v>
      </c>
    </row>
    <row r="116" spans="1:20" s="14" customFormat="1" ht="11.25">
      <c r="A116" s="14" t="s">
        <v>1420</v>
      </c>
      <c r="B116" s="14" t="s">
        <v>1421</v>
      </c>
      <c r="C116" s="14" t="s">
        <v>19</v>
      </c>
      <c r="D116" s="169">
        <v>9008</v>
      </c>
      <c r="E116" s="170">
        <v>90008</v>
      </c>
      <c r="F116" s="14" t="s">
        <v>152</v>
      </c>
      <c r="G116" s="14" t="s">
        <v>149</v>
      </c>
      <c r="H116" s="23">
        <v>12150996</v>
      </c>
      <c r="I116" s="23">
        <v>168</v>
      </c>
      <c r="J116" s="14">
        <v>1</v>
      </c>
      <c r="L116" s="14">
        <v>0</v>
      </c>
      <c r="N116" s="24">
        <v>1</v>
      </c>
      <c r="P116" s="14">
        <v>0</v>
      </c>
      <c r="R116" s="14">
        <v>0</v>
      </c>
      <c r="T116" s="14" t="str">
        <f t="shared" si="1"/>
        <v>No</v>
      </c>
    </row>
    <row r="117" spans="1:20" s="14" customFormat="1" ht="11.25">
      <c r="A117" s="14" t="s">
        <v>1218</v>
      </c>
      <c r="B117" s="14" t="s">
        <v>1219</v>
      </c>
      <c r="C117" s="14" t="s">
        <v>44</v>
      </c>
      <c r="D117" s="169">
        <v>6032</v>
      </c>
      <c r="E117" s="170">
        <v>60032</v>
      </c>
      <c r="F117" s="14" t="s">
        <v>160</v>
      </c>
      <c r="G117" s="14" t="s">
        <v>149</v>
      </c>
      <c r="H117" s="23">
        <v>899703</v>
      </c>
      <c r="I117" s="23">
        <v>165</v>
      </c>
      <c r="J117" s="14">
        <v>20</v>
      </c>
      <c r="L117" s="14">
        <v>0</v>
      </c>
      <c r="N117" s="24">
        <v>20</v>
      </c>
      <c r="P117" s="14">
        <v>0</v>
      </c>
      <c r="R117" s="14">
        <v>0</v>
      </c>
      <c r="T117" s="14" t="str">
        <f t="shared" si="1"/>
        <v>No</v>
      </c>
    </row>
    <row r="118" spans="1:20" s="14" customFormat="1" ht="11.25">
      <c r="A118" s="14" t="s">
        <v>918</v>
      </c>
      <c r="B118" s="14" t="s">
        <v>919</v>
      </c>
      <c r="C118" s="14" t="s">
        <v>28</v>
      </c>
      <c r="D118" s="169">
        <v>8005</v>
      </c>
      <c r="E118" s="170">
        <v>80005</v>
      </c>
      <c r="F118" s="14" t="s">
        <v>152</v>
      </c>
      <c r="G118" s="14" t="s">
        <v>149</v>
      </c>
      <c r="H118" s="23">
        <v>559409</v>
      </c>
      <c r="I118" s="23">
        <v>165</v>
      </c>
      <c r="J118" s="14">
        <v>1</v>
      </c>
      <c r="L118" s="14">
        <v>0</v>
      </c>
      <c r="N118" s="24">
        <v>1</v>
      </c>
      <c r="P118" s="14">
        <v>0</v>
      </c>
      <c r="R118" s="14">
        <v>0</v>
      </c>
      <c r="T118" s="14" t="str">
        <f t="shared" si="1"/>
        <v>No</v>
      </c>
    </row>
    <row r="119" spans="1:20" s="14" customFormat="1" ht="11.25">
      <c r="A119" s="14" t="s">
        <v>991</v>
      </c>
      <c r="B119" s="14" t="s">
        <v>196</v>
      </c>
      <c r="C119" s="14" t="s">
        <v>32</v>
      </c>
      <c r="D119" s="169">
        <v>4030</v>
      </c>
      <c r="E119" s="170">
        <v>40030</v>
      </c>
      <c r="F119" s="14" t="s">
        <v>152</v>
      </c>
      <c r="G119" s="14" t="s">
        <v>149</v>
      </c>
      <c r="H119" s="23">
        <v>187781</v>
      </c>
      <c r="I119" s="23">
        <v>158</v>
      </c>
      <c r="J119" s="14">
        <v>2</v>
      </c>
      <c r="L119" s="14">
        <v>0</v>
      </c>
      <c r="N119" s="24">
        <v>2</v>
      </c>
      <c r="P119" s="14">
        <v>0</v>
      </c>
      <c r="R119" s="14">
        <v>0</v>
      </c>
      <c r="T119" s="14" t="str">
        <f t="shared" si="1"/>
        <v>No</v>
      </c>
    </row>
    <row r="120" spans="1:20" s="14" customFormat="1" ht="11.25">
      <c r="A120" s="14" t="s">
        <v>569</v>
      </c>
      <c r="B120" s="14" t="s">
        <v>570</v>
      </c>
      <c r="C120" s="14" t="s">
        <v>51</v>
      </c>
      <c r="D120" s="169">
        <v>5040</v>
      </c>
      <c r="E120" s="170">
        <v>50040</v>
      </c>
      <c r="F120" s="14" t="s">
        <v>160</v>
      </c>
      <c r="G120" s="14" t="s">
        <v>149</v>
      </c>
      <c r="H120" s="23">
        <v>306022</v>
      </c>
      <c r="I120" s="23">
        <v>153</v>
      </c>
      <c r="J120" s="14">
        <v>2</v>
      </c>
      <c r="L120" s="14">
        <v>0</v>
      </c>
      <c r="N120" s="24">
        <v>2</v>
      </c>
      <c r="P120" s="14">
        <v>1</v>
      </c>
      <c r="R120" s="14">
        <v>0</v>
      </c>
      <c r="T120" s="14" t="str">
        <f t="shared" si="1"/>
        <v>No</v>
      </c>
    </row>
    <row r="121" spans="1:20" s="14" customFormat="1" ht="11.25">
      <c r="A121" s="14" t="s">
        <v>995</v>
      </c>
      <c r="B121" s="14" t="s">
        <v>626</v>
      </c>
      <c r="C121" s="14" t="s">
        <v>19</v>
      </c>
      <c r="D121" s="169">
        <v>9016</v>
      </c>
      <c r="E121" s="170">
        <v>90016</v>
      </c>
      <c r="F121" s="14" t="s">
        <v>160</v>
      </c>
      <c r="G121" s="14" t="s">
        <v>149</v>
      </c>
      <c r="H121" s="23">
        <v>3281212</v>
      </c>
      <c r="I121" s="23">
        <v>146</v>
      </c>
      <c r="J121" s="14">
        <v>7</v>
      </c>
      <c r="L121" s="14">
        <v>0</v>
      </c>
      <c r="N121" s="24">
        <v>7</v>
      </c>
      <c r="P121" s="14">
        <v>0</v>
      </c>
      <c r="R121" s="14">
        <v>0</v>
      </c>
      <c r="T121" s="14" t="str">
        <f t="shared" si="1"/>
        <v>No</v>
      </c>
    </row>
    <row r="122" spans="1:20" s="14" customFormat="1" ht="11.25">
      <c r="A122" s="14" t="s">
        <v>1085</v>
      </c>
      <c r="B122" s="14" t="s">
        <v>1086</v>
      </c>
      <c r="C122" s="14" t="s">
        <v>39</v>
      </c>
      <c r="D122" s="169">
        <v>5146</v>
      </c>
      <c r="E122" s="170">
        <v>50146</v>
      </c>
      <c r="F122" s="14" t="s">
        <v>160</v>
      </c>
      <c r="G122" s="14" t="s">
        <v>149</v>
      </c>
      <c r="H122" s="23">
        <v>2150706</v>
      </c>
      <c r="I122" s="23">
        <v>144</v>
      </c>
      <c r="J122" s="14">
        <v>5</v>
      </c>
      <c r="L122" s="14">
        <v>0</v>
      </c>
      <c r="N122" s="24">
        <v>5</v>
      </c>
      <c r="P122" s="14">
        <v>0</v>
      </c>
      <c r="R122" s="14">
        <v>0</v>
      </c>
      <c r="T122" s="14" t="str">
        <f t="shared" si="1"/>
        <v>No</v>
      </c>
    </row>
    <row r="123" spans="1:20" s="14" customFormat="1" ht="11.25">
      <c r="A123" s="14" t="s">
        <v>133</v>
      </c>
      <c r="B123" s="14" t="s">
        <v>1222</v>
      </c>
      <c r="C123" s="14" t="s">
        <v>57</v>
      </c>
      <c r="D123" s="169">
        <v>4108</v>
      </c>
      <c r="E123" s="170">
        <v>40108</v>
      </c>
      <c r="F123" s="14" t="s">
        <v>160</v>
      </c>
      <c r="G123" s="14" t="s">
        <v>149</v>
      </c>
      <c r="H123" s="23">
        <v>347602</v>
      </c>
      <c r="I123" s="23">
        <v>144</v>
      </c>
      <c r="J123" s="14">
        <v>6</v>
      </c>
      <c r="L123" s="14">
        <v>0</v>
      </c>
      <c r="N123" s="24">
        <v>6</v>
      </c>
      <c r="P123" s="14">
        <v>0</v>
      </c>
      <c r="R123" s="14">
        <v>0</v>
      </c>
      <c r="T123" s="14" t="str">
        <f t="shared" si="1"/>
        <v>No</v>
      </c>
    </row>
    <row r="124" spans="1:20" s="14" customFormat="1" ht="11.25">
      <c r="A124" s="14" t="s">
        <v>1284</v>
      </c>
      <c r="B124" s="14" t="s">
        <v>1285</v>
      </c>
      <c r="C124" s="14" t="s">
        <v>32</v>
      </c>
      <c r="D124" s="169">
        <v>4063</v>
      </c>
      <c r="E124" s="170">
        <v>40063</v>
      </c>
      <c r="F124" s="14" t="s">
        <v>152</v>
      </c>
      <c r="G124" s="14" t="s">
        <v>149</v>
      </c>
      <c r="H124" s="23">
        <v>452791</v>
      </c>
      <c r="I124" s="23">
        <v>142</v>
      </c>
      <c r="J124" s="14">
        <v>0</v>
      </c>
      <c r="L124" s="14">
        <v>0</v>
      </c>
      <c r="N124" s="24">
        <v>0</v>
      </c>
      <c r="P124" s="14">
        <v>0</v>
      </c>
      <c r="R124" s="14">
        <v>0</v>
      </c>
      <c r="T124" s="14" t="str">
        <f t="shared" si="1"/>
        <v>No</v>
      </c>
    </row>
    <row r="125" spans="1:20" s="14" customFormat="1" ht="11.25">
      <c r="A125" s="14" t="s">
        <v>1187</v>
      </c>
      <c r="B125" s="14" t="s">
        <v>1188</v>
      </c>
      <c r="C125" s="14" t="s">
        <v>19</v>
      </c>
      <c r="D125" s="169">
        <v>9134</v>
      </c>
      <c r="E125" s="170">
        <v>90134</v>
      </c>
      <c r="F125" s="14" t="s">
        <v>160</v>
      </c>
      <c r="G125" s="14" t="s">
        <v>149</v>
      </c>
      <c r="H125" s="23">
        <v>3281212</v>
      </c>
      <c r="I125" s="23">
        <v>140</v>
      </c>
      <c r="J125" s="14">
        <v>26</v>
      </c>
      <c r="L125" s="14">
        <v>6</v>
      </c>
      <c r="N125" s="24">
        <v>32</v>
      </c>
      <c r="P125" s="14">
        <v>11</v>
      </c>
      <c r="R125" s="14">
        <v>4</v>
      </c>
      <c r="T125" s="14" t="str">
        <f t="shared" si="1"/>
        <v>No</v>
      </c>
    </row>
    <row r="126" spans="1:20" s="14" customFormat="1" ht="11.25">
      <c r="A126" s="14" t="s">
        <v>990</v>
      </c>
      <c r="B126" s="14" t="s">
        <v>211</v>
      </c>
      <c r="C126" s="14" t="s">
        <v>19</v>
      </c>
      <c r="D126" s="169">
        <v>9027</v>
      </c>
      <c r="E126" s="170">
        <v>90027</v>
      </c>
      <c r="F126" s="14" t="s">
        <v>152</v>
      </c>
      <c r="G126" s="14" t="s">
        <v>149</v>
      </c>
      <c r="H126" s="23">
        <v>654628</v>
      </c>
      <c r="I126" s="23">
        <v>139</v>
      </c>
      <c r="J126" s="14">
        <v>1</v>
      </c>
      <c r="L126" s="14">
        <v>0</v>
      </c>
      <c r="N126" s="24">
        <v>1</v>
      </c>
      <c r="P126" s="14">
        <v>0</v>
      </c>
      <c r="R126" s="14">
        <v>0</v>
      </c>
      <c r="T126" s="14" t="str">
        <f t="shared" si="1"/>
        <v>No</v>
      </c>
    </row>
    <row r="127" spans="1:20" s="14" customFormat="1" ht="11.25">
      <c r="A127" s="14" t="s">
        <v>1097</v>
      </c>
      <c r="B127" s="14" t="s">
        <v>1098</v>
      </c>
      <c r="C127" s="14" t="s">
        <v>83</v>
      </c>
      <c r="D127" s="169">
        <v>4003</v>
      </c>
      <c r="E127" s="170">
        <v>40003</v>
      </c>
      <c r="F127" s="14" t="s">
        <v>152</v>
      </c>
      <c r="G127" s="14" t="s">
        <v>149</v>
      </c>
      <c r="H127" s="23">
        <v>1060061</v>
      </c>
      <c r="I127" s="23">
        <v>139</v>
      </c>
      <c r="J127" s="14">
        <v>11</v>
      </c>
      <c r="L127" s="14">
        <v>0</v>
      </c>
      <c r="N127" s="24">
        <v>11</v>
      </c>
      <c r="P127" s="14">
        <v>2</v>
      </c>
      <c r="R127" s="14">
        <v>0</v>
      </c>
      <c r="T127" s="14" t="str">
        <f t="shared" si="1"/>
        <v>No</v>
      </c>
    </row>
    <row r="128" spans="1:20" s="14" customFormat="1" ht="11.25">
      <c r="A128" s="14" t="s">
        <v>678</v>
      </c>
      <c r="B128" s="14" t="s">
        <v>313</v>
      </c>
      <c r="C128" s="14" t="s">
        <v>19</v>
      </c>
      <c r="D128" s="169">
        <v>9078</v>
      </c>
      <c r="E128" s="170">
        <v>90078</v>
      </c>
      <c r="F128" s="14" t="s">
        <v>160</v>
      </c>
      <c r="G128" s="14" t="s">
        <v>149</v>
      </c>
      <c r="H128" s="23">
        <v>615968</v>
      </c>
      <c r="I128" s="23">
        <v>139</v>
      </c>
      <c r="J128" s="14">
        <v>1</v>
      </c>
      <c r="L128" s="14">
        <v>0</v>
      </c>
      <c r="N128" s="24">
        <v>1</v>
      </c>
      <c r="P128" s="14">
        <v>3</v>
      </c>
      <c r="R128" s="14">
        <v>0</v>
      </c>
      <c r="T128" s="14" t="str">
        <f t="shared" si="1"/>
        <v>No</v>
      </c>
    </row>
    <row r="129" spans="1:20" s="14" customFormat="1" ht="11.25">
      <c r="A129" s="14" t="s">
        <v>943</v>
      </c>
      <c r="B129" s="14" t="s">
        <v>944</v>
      </c>
      <c r="C129" s="14" t="s">
        <v>32</v>
      </c>
      <c r="D129" s="169">
        <v>4032</v>
      </c>
      <c r="E129" s="170">
        <v>40032</v>
      </c>
      <c r="F129" s="14" t="s">
        <v>152</v>
      </c>
      <c r="G129" s="14" t="s">
        <v>149</v>
      </c>
      <c r="H129" s="23">
        <v>349064</v>
      </c>
      <c r="I129" s="23">
        <v>138</v>
      </c>
      <c r="J129" s="14">
        <v>2</v>
      </c>
      <c r="L129" s="14">
        <v>0</v>
      </c>
      <c r="N129" s="24">
        <v>2</v>
      </c>
      <c r="P129" s="14">
        <v>0</v>
      </c>
      <c r="R129" s="14">
        <v>0</v>
      </c>
      <c r="T129" s="14" t="str">
        <f t="shared" si="1"/>
        <v>No</v>
      </c>
    </row>
    <row r="130" spans="1:20" s="14" customFormat="1" ht="11.25">
      <c r="A130" s="14" t="s">
        <v>1653</v>
      </c>
      <c r="B130" s="14" t="s">
        <v>1679</v>
      </c>
      <c r="C130" s="14" t="s">
        <v>52</v>
      </c>
      <c r="D130" s="169">
        <v>5222</v>
      </c>
      <c r="E130" s="170">
        <v>50519</v>
      </c>
      <c r="F130" s="14" t="s">
        <v>160</v>
      </c>
      <c r="G130" s="14" t="s">
        <v>149</v>
      </c>
      <c r="H130" s="23">
        <v>2650890</v>
      </c>
      <c r="I130" s="23">
        <v>133</v>
      </c>
      <c r="J130" s="14">
        <v>7</v>
      </c>
      <c r="L130" s="14">
        <v>0</v>
      </c>
      <c r="N130" s="24">
        <v>7</v>
      </c>
      <c r="P130" s="14">
        <v>2</v>
      </c>
      <c r="R130" s="14">
        <v>6</v>
      </c>
      <c r="T130" s="14" t="str">
        <f t="shared" si="1"/>
        <v>No</v>
      </c>
    </row>
    <row r="131" spans="1:20" s="14" customFormat="1" ht="11.25">
      <c r="A131" s="14" t="s">
        <v>1111</v>
      </c>
      <c r="B131" s="14" t="s">
        <v>881</v>
      </c>
      <c r="C131" s="14" t="s">
        <v>77</v>
      </c>
      <c r="D131" s="169">
        <v>4086</v>
      </c>
      <c r="E131" s="170">
        <v>40086</v>
      </c>
      <c r="F131" s="14" t="s">
        <v>160</v>
      </c>
      <c r="G131" s="14" t="s">
        <v>149</v>
      </c>
      <c r="H131" s="23">
        <v>2148346</v>
      </c>
      <c r="I131" s="23">
        <v>128</v>
      </c>
      <c r="J131" s="14">
        <v>8</v>
      </c>
      <c r="L131" s="14">
        <v>0</v>
      </c>
      <c r="N131" s="24">
        <v>8</v>
      </c>
      <c r="P131" s="14">
        <v>0</v>
      </c>
      <c r="R131" s="14">
        <v>0</v>
      </c>
      <c r="T131" s="14" t="str">
        <f t="shared" ref="T131:T194" si="2">IF(S131&amp;Q131&amp;O131&amp;M131&amp;K131&lt;&gt;"","Yes","No")</f>
        <v>No</v>
      </c>
    </row>
    <row r="132" spans="1:20" s="14" customFormat="1" ht="11.25">
      <c r="A132" s="14" t="s">
        <v>843</v>
      </c>
      <c r="B132" s="14" t="s">
        <v>844</v>
      </c>
      <c r="C132" s="14" t="s">
        <v>39</v>
      </c>
      <c r="D132" s="169">
        <v>5211</v>
      </c>
      <c r="E132" s="170">
        <v>50211</v>
      </c>
      <c r="F132" s="14" t="s">
        <v>160</v>
      </c>
      <c r="G132" s="14" t="s">
        <v>149</v>
      </c>
      <c r="H132" s="23">
        <v>67821</v>
      </c>
      <c r="I132" s="23">
        <v>126</v>
      </c>
      <c r="J132" s="14">
        <v>4</v>
      </c>
      <c r="L132" s="14">
        <v>0</v>
      </c>
      <c r="N132" s="24">
        <v>4</v>
      </c>
      <c r="P132" s="14">
        <v>0</v>
      </c>
      <c r="R132" s="14">
        <v>0</v>
      </c>
      <c r="T132" s="14" t="str">
        <f t="shared" si="2"/>
        <v>No</v>
      </c>
    </row>
    <row r="133" spans="1:20" s="14" customFormat="1" ht="11.25">
      <c r="A133" s="14" t="s">
        <v>1428</v>
      </c>
      <c r="B133" s="14" t="s">
        <v>324</v>
      </c>
      <c r="C133" s="14" t="s">
        <v>35</v>
      </c>
      <c r="D133" s="169">
        <v>4135</v>
      </c>
      <c r="E133" s="170">
        <v>40135</v>
      </c>
      <c r="F133" s="14" t="s">
        <v>269</v>
      </c>
      <c r="G133" s="14" t="s">
        <v>149</v>
      </c>
      <c r="H133" s="23">
        <v>4515419</v>
      </c>
      <c r="I133" s="23">
        <v>125</v>
      </c>
      <c r="J133" s="14">
        <v>12</v>
      </c>
      <c r="L133" s="14">
        <v>0</v>
      </c>
      <c r="N133" s="24">
        <v>12</v>
      </c>
      <c r="P133" s="14">
        <v>30</v>
      </c>
      <c r="R133" s="14">
        <v>79</v>
      </c>
      <c r="T133" s="14" t="str">
        <f t="shared" si="2"/>
        <v>No</v>
      </c>
    </row>
    <row r="134" spans="1:20" s="14" customFormat="1" ht="11.25">
      <c r="A134" s="14" t="s">
        <v>372</v>
      </c>
      <c r="B134" s="14" t="s">
        <v>373</v>
      </c>
      <c r="C134" s="14" t="s">
        <v>84</v>
      </c>
      <c r="D134" s="169">
        <v>6101</v>
      </c>
      <c r="E134" s="170">
        <v>60101</v>
      </c>
      <c r="F134" s="14" t="s">
        <v>160</v>
      </c>
      <c r="G134" s="14" t="s">
        <v>149</v>
      </c>
      <c r="H134" s="23">
        <v>366174</v>
      </c>
      <c r="I134" s="23">
        <v>123</v>
      </c>
      <c r="J134" s="14">
        <v>5</v>
      </c>
      <c r="L134" s="14">
        <v>0</v>
      </c>
      <c r="N134" s="24">
        <v>5</v>
      </c>
      <c r="P134" s="14">
        <v>0</v>
      </c>
      <c r="R134" s="14">
        <v>0</v>
      </c>
      <c r="T134" s="14" t="str">
        <f t="shared" si="2"/>
        <v>No</v>
      </c>
    </row>
    <row r="135" spans="1:20" s="14" customFormat="1" ht="11.25">
      <c r="A135" s="14" t="s">
        <v>973</v>
      </c>
      <c r="B135" s="14" t="s">
        <v>974</v>
      </c>
      <c r="C135" s="14" t="s">
        <v>75</v>
      </c>
      <c r="D135" s="169">
        <v>3013</v>
      </c>
      <c r="E135" s="170">
        <v>30013</v>
      </c>
      <c r="F135" s="14" t="s">
        <v>160</v>
      </c>
      <c r="G135" s="14" t="s">
        <v>149</v>
      </c>
      <c r="H135" s="23">
        <v>196611</v>
      </c>
      <c r="I135" s="23">
        <v>120</v>
      </c>
      <c r="J135" s="14">
        <v>1</v>
      </c>
      <c r="L135" s="14">
        <v>0</v>
      </c>
      <c r="N135" s="24">
        <v>1</v>
      </c>
      <c r="P135" s="14">
        <v>0</v>
      </c>
      <c r="R135" s="14">
        <v>0</v>
      </c>
      <c r="T135" s="14" t="str">
        <f t="shared" si="2"/>
        <v>No</v>
      </c>
    </row>
    <row r="136" spans="1:20" s="14" customFormat="1" ht="11.25">
      <c r="A136" s="14" t="s">
        <v>705</v>
      </c>
      <c r="B136" s="14" t="s">
        <v>246</v>
      </c>
      <c r="C136" s="14" t="s">
        <v>39</v>
      </c>
      <c r="D136" s="169">
        <v>5060</v>
      </c>
      <c r="E136" s="170">
        <v>50060</v>
      </c>
      <c r="F136" s="14" t="s">
        <v>160</v>
      </c>
      <c r="G136" s="14" t="s">
        <v>149</v>
      </c>
      <c r="H136" s="23">
        <v>145361</v>
      </c>
      <c r="I136" s="23">
        <v>119</v>
      </c>
      <c r="J136" s="14">
        <v>1</v>
      </c>
      <c r="L136" s="14">
        <v>0</v>
      </c>
      <c r="N136" s="24">
        <v>1</v>
      </c>
      <c r="P136" s="14">
        <v>2</v>
      </c>
      <c r="R136" s="14">
        <v>0</v>
      </c>
      <c r="T136" s="14" t="str">
        <f t="shared" si="2"/>
        <v>No</v>
      </c>
    </row>
    <row r="137" spans="1:20" s="14" customFormat="1" ht="11.25">
      <c r="A137" s="14" t="s">
        <v>1330</v>
      </c>
      <c r="B137" s="14" t="s">
        <v>1331</v>
      </c>
      <c r="C137" s="14" t="s">
        <v>43</v>
      </c>
      <c r="D137" s="169">
        <v>4019</v>
      </c>
      <c r="E137" s="170">
        <v>40019</v>
      </c>
      <c r="F137" s="14" t="s">
        <v>160</v>
      </c>
      <c r="G137" s="14" t="s">
        <v>149</v>
      </c>
      <c r="H137" s="23">
        <v>1624827</v>
      </c>
      <c r="I137" s="23">
        <v>119</v>
      </c>
      <c r="J137" s="14">
        <v>1</v>
      </c>
      <c r="L137" s="14">
        <v>0</v>
      </c>
      <c r="N137" s="24">
        <v>1</v>
      </c>
      <c r="P137" s="14">
        <v>0</v>
      </c>
      <c r="R137" s="14">
        <v>0</v>
      </c>
      <c r="T137" s="14" t="str">
        <f t="shared" si="2"/>
        <v>No</v>
      </c>
    </row>
    <row r="138" spans="1:20" s="14" customFormat="1" ht="11.25">
      <c r="A138" s="14" t="s">
        <v>1431</v>
      </c>
      <c r="B138" s="14" t="s">
        <v>1432</v>
      </c>
      <c r="C138" s="14" t="s">
        <v>47</v>
      </c>
      <c r="D138" s="169">
        <v>3085</v>
      </c>
      <c r="E138" s="170">
        <v>30085</v>
      </c>
      <c r="F138" s="14" t="s">
        <v>152</v>
      </c>
      <c r="G138" s="14" t="s">
        <v>149</v>
      </c>
      <c r="H138" s="23">
        <v>4586770</v>
      </c>
      <c r="I138" s="23">
        <v>116</v>
      </c>
      <c r="J138" s="14">
        <v>0</v>
      </c>
      <c r="L138" s="14">
        <v>0</v>
      </c>
      <c r="N138" s="24">
        <v>0</v>
      </c>
      <c r="P138" s="14">
        <v>0</v>
      </c>
      <c r="R138" s="14">
        <v>0</v>
      </c>
      <c r="T138" s="14" t="str">
        <f t="shared" si="2"/>
        <v>No</v>
      </c>
    </row>
    <row r="139" spans="1:20" s="14" customFormat="1" ht="11.25">
      <c r="A139" s="14" t="s">
        <v>1000</v>
      </c>
      <c r="B139" s="14" t="s">
        <v>1001</v>
      </c>
      <c r="C139" s="14" t="s">
        <v>45</v>
      </c>
      <c r="D139" s="169">
        <v>1064</v>
      </c>
      <c r="E139" s="170">
        <v>10064</v>
      </c>
      <c r="F139" s="14" t="s">
        <v>160</v>
      </c>
      <c r="G139" s="14" t="s">
        <v>149</v>
      </c>
      <c r="H139" s="23">
        <v>1190956</v>
      </c>
      <c r="I139" s="23">
        <v>115</v>
      </c>
      <c r="J139" s="14">
        <v>2</v>
      </c>
      <c r="L139" s="14">
        <v>0</v>
      </c>
      <c r="N139" s="24">
        <v>2</v>
      </c>
      <c r="P139" s="14">
        <v>0</v>
      </c>
      <c r="R139" s="14">
        <v>0</v>
      </c>
      <c r="T139" s="14" t="str">
        <f t="shared" si="2"/>
        <v>No</v>
      </c>
    </row>
    <row r="140" spans="1:20" s="14" customFormat="1" ht="11.25">
      <c r="A140" s="14" t="s">
        <v>1375</v>
      </c>
      <c r="B140" s="14" t="s">
        <v>408</v>
      </c>
      <c r="C140" s="14" t="s">
        <v>88</v>
      </c>
      <c r="D140" s="169">
        <v>21</v>
      </c>
      <c r="E140" s="170">
        <v>21</v>
      </c>
      <c r="F140" s="14" t="s">
        <v>160</v>
      </c>
      <c r="G140" s="14" t="s">
        <v>149</v>
      </c>
      <c r="H140" s="23">
        <v>114473</v>
      </c>
      <c r="I140" s="23">
        <v>113</v>
      </c>
      <c r="J140" s="14">
        <v>4</v>
      </c>
      <c r="L140" s="14">
        <v>0</v>
      </c>
      <c r="N140" s="24">
        <v>4</v>
      </c>
      <c r="P140" s="14">
        <v>0</v>
      </c>
      <c r="R140" s="14">
        <v>0</v>
      </c>
      <c r="T140" s="14" t="str">
        <f t="shared" si="2"/>
        <v>No</v>
      </c>
    </row>
    <row r="141" spans="1:20" s="14" customFormat="1" ht="11.25">
      <c r="A141" s="14" t="s">
        <v>1254</v>
      </c>
      <c r="B141" s="14" t="s">
        <v>1255</v>
      </c>
      <c r="C141" s="14" t="s">
        <v>19</v>
      </c>
      <c r="D141" s="169">
        <v>9006</v>
      </c>
      <c r="E141" s="170">
        <v>90006</v>
      </c>
      <c r="F141" s="14" t="s">
        <v>160</v>
      </c>
      <c r="G141" s="14" t="s">
        <v>149</v>
      </c>
      <c r="H141" s="23">
        <v>163703</v>
      </c>
      <c r="I141" s="23">
        <v>112</v>
      </c>
      <c r="J141" s="14">
        <v>7</v>
      </c>
      <c r="L141" s="14">
        <v>0</v>
      </c>
      <c r="N141" s="24">
        <v>7</v>
      </c>
      <c r="P141" s="14">
        <v>0</v>
      </c>
      <c r="R141" s="14">
        <v>0</v>
      </c>
      <c r="T141" s="14" t="str">
        <f t="shared" si="2"/>
        <v>No</v>
      </c>
    </row>
    <row r="142" spans="1:20" s="14" customFormat="1" ht="11.25">
      <c r="A142" s="14" t="s">
        <v>947</v>
      </c>
      <c r="B142" s="14" t="s">
        <v>844</v>
      </c>
      <c r="C142" s="14" t="s">
        <v>75</v>
      </c>
      <c r="D142" s="169">
        <v>3014</v>
      </c>
      <c r="E142" s="170">
        <v>30014</v>
      </c>
      <c r="F142" s="14" t="s">
        <v>160</v>
      </c>
      <c r="G142" s="14" t="s">
        <v>149</v>
      </c>
      <c r="H142" s="23">
        <v>444474</v>
      </c>
      <c r="I142" s="23">
        <v>112</v>
      </c>
      <c r="J142" s="14">
        <v>1</v>
      </c>
      <c r="L142" s="14">
        <v>0</v>
      </c>
      <c r="N142" s="24">
        <v>1</v>
      </c>
      <c r="P142" s="14">
        <v>0</v>
      </c>
      <c r="R142" s="14">
        <v>0</v>
      </c>
      <c r="T142" s="14" t="str">
        <f t="shared" si="2"/>
        <v>No</v>
      </c>
    </row>
    <row r="143" spans="1:20" s="14" customFormat="1" ht="11.25">
      <c r="A143" s="14" t="s">
        <v>1332</v>
      </c>
      <c r="B143" s="14" t="s">
        <v>310</v>
      </c>
      <c r="C143" s="14" t="s">
        <v>59</v>
      </c>
      <c r="D143" s="169">
        <v>7002</v>
      </c>
      <c r="E143" s="170">
        <v>70002</v>
      </c>
      <c r="F143" s="14" t="s">
        <v>160</v>
      </c>
      <c r="G143" s="14" t="s">
        <v>149</v>
      </c>
      <c r="H143" s="23">
        <v>725008</v>
      </c>
      <c r="I143" s="23">
        <v>111</v>
      </c>
      <c r="J143" s="14">
        <v>1</v>
      </c>
      <c r="L143" s="14">
        <v>0</v>
      </c>
      <c r="N143" s="24">
        <v>1</v>
      </c>
      <c r="P143" s="14">
        <v>1</v>
      </c>
      <c r="R143" s="14">
        <v>0</v>
      </c>
      <c r="T143" s="14" t="str">
        <f t="shared" si="2"/>
        <v>No</v>
      </c>
    </row>
    <row r="144" spans="1:20" s="14" customFormat="1" ht="11.25">
      <c r="A144" s="14" t="s">
        <v>1139</v>
      </c>
      <c r="B144" s="14" t="s">
        <v>1140</v>
      </c>
      <c r="C144" s="14" t="s">
        <v>19</v>
      </c>
      <c r="D144" s="169">
        <v>9062</v>
      </c>
      <c r="E144" s="170">
        <v>90062</v>
      </c>
      <c r="F144" s="14" t="s">
        <v>160</v>
      </c>
      <c r="G144" s="14" t="s">
        <v>149</v>
      </c>
      <c r="H144" s="23">
        <v>114237</v>
      </c>
      <c r="I144" s="23">
        <v>110</v>
      </c>
      <c r="J144" s="14">
        <v>16</v>
      </c>
      <c r="L144" s="14">
        <v>0</v>
      </c>
      <c r="N144" s="24">
        <v>16</v>
      </c>
      <c r="P144" s="14">
        <v>1</v>
      </c>
      <c r="R144" s="14">
        <v>1</v>
      </c>
      <c r="T144" s="14" t="str">
        <f t="shared" si="2"/>
        <v>No</v>
      </c>
    </row>
    <row r="145" spans="1:20" s="14" customFormat="1" ht="11.25">
      <c r="A145" s="14" t="s">
        <v>703</v>
      </c>
      <c r="B145" s="14" t="s">
        <v>704</v>
      </c>
      <c r="C145" s="14" t="s">
        <v>75</v>
      </c>
      <c r="D145" s="169">
        <v>3054</v>
      </c>
      <c r="E145" s="170">
        <v>30054</v>
      </c>
      <c r="F145" s="14" t="s">
        <v>160</v>
      </c>
      <c r="G145" s="14" t="s">
        <v>149</v>
      </c>
      <c r="H145" s="23">
        <v>87454</v>
      </c>
      <c r="I145" s="23">
        <v>110</v>
      </c>
      <c r="J145" s="14">
        <v>1</v>
      </c>
      <c r="L145" s="14">
        <v>0</v>
      </c>
      <c r="N145" s="24">
        <v>1</v>
      </c>
      <c r="P145" s="14">
        <v>0</v>
      </c>
      <c r="R145" s="14">
        <v>0</v>
      </c>
      <c r="T145" s="14" t="str">
        <f t="shared" si="2"/>
        <v>No</v>
      </c>
    </row>
    <row r="146" spans="1:20" s="14" customFormat="1" ht="11.25">
      <c r="A146" s="14" t="s">
        <v>1066</v>
      </c>
      <c r="B146" s="14" t="s">
        <v>1067</v>
      </c>
      <c r="C146" s="14" t="s">
        <v>32</v>
      </c>
      <c r="D146" s="169">
        <v>4028</v>
      </c>
      <c r="E146" s="170">
        <v>40028</v>
      </c>
      <c r="F146" s="14" t="s">
        <v>152</v>
      </c>
      <c r="G146" s="14" t="s">
        <v>149</v>
      </c>
      <c r="H146" s="23">
        <v>530290</v>
      </c>
      <c r="I146" s="23">
        <v>109</v>
      </c>
      <c r="J146" s="14">
        <v>3</v>
      </c>
      <c r="L146" s="14">
        <v>0</v>
      </c>
      <c r="N146" s="24">
        <v>3</v>
      </c>
      <c r="P146" s="14">
        <v>0</v>
      </c>
      <c r="R146" s="14">
        <v>0</v>
      </c>
      <c r="T146" s="14" t="str">
        <f t="shared" si="2"/>
        <v>No</v>
      </c>
    </row>
    <row r="147" spans="1:20" s="14" customFormat="1" ht="11.25">
      <c r="A147" s="14" t="s">
        <v>1137</v>
      </c>
      <c r="B147" s="14" t="s">
        <v>1138</v>
      </c>
      <c r="C147" s="14" t="s">
        <v>19</v>
      </c>
      <c r="D147" s="169">
        <v>9041</v>
      </c>
      <c r="E147" s="170">
        <v>90041</v>
      </c>
      <c r="F147" s="14" t="s">
        <v>152</v>
      </c>
      <c r="G147" s="14" t="s">
        <v>149</v>
      </c>
      <c r="H147" s="23">
        <v>12150996</v>
      </c>
      <c r="I147" s="23">
        <v>107</v>
      </c>
      <c r="J147" s="14">
        <v>2</v>
      </c>
      <c r="L147" s="14">
        <v>0</v>
      </c>
      <c r="N147" s="24">
        <v>2</v>
      </c>
      <c r="P147" s="14">
        <v>0</v>
      </c>
      <c r="R147" s="14">
        <v>0</v>
      </c>
      <c r="T147" s="14" t="str">
        <f t="shared" si="2"/>
        <v>No</v>
      </c>
    </row>
    <row r="148" spans="1:20" s="14" customFormat="1" ht="11.25">
      <c r="A148" s="14" t="s">
        <v>1829</v>
      </c>
      <c r="B148" s="14" t="s">
        <v>738</v>
      </c>
      <c r="C148" s="14" t="s">
        <v>86</v>
      </c>
      <c r="D148" s="169">
        <v>3071</v>
      </c>
      <c r="E148" s="170">
        <v>30071</v>
      </c>
      <c r="F148" s="14" t="s">
        <v>152</v>
      </c>
      <c r="G148" s="14" t="s">
        <v>149</v>
      </c>
      <c r="H148" s="23">
        <v>4586770</v>
      </c>
      <c r="I148" s="23">
        <v>105</v>
      </c>
      <c r="J148" s="14">
        <v>7</v>
      </c>
      <c r="L148" s="14">
        <v>0</v>
      </c>
      <c r="N148" s="24">
        <v>7</v>
      </c>
      <c r="P148" s="14">
        <v>0</v>
      </c>
      <c r="R148" s="14">
        <v>0</v>
      </c>
      <c r="T148" s="14" t="str">
        <f t="shared" si="2"/>
        <v>No</v>
      </c>
    </row>
    <row r="149" spans="1:20" s="14" customFormat="1" ht="11.25">
      <c r="A149" s="14" t="s">
        <v>939</v>
      </c>
      <c r="B149" s="14" t="s">
        <v>940</v>
      </c>
      <c r="C149" s="14" t="s">
        <v>84</v>
      </c>
      <c r="D149" s="169">
        <v>6051</v>
      </c>
      <c r="E149" s="170">
        <v>60051</v>
      </c>
      <c r="F149" s="14" t="s">
        <v>160</v>
      </c>
      <c r="G149" s="14" t="s">
        <v>149</v>
      </c>
      <c r="H149" s="23">
        <v>320069</v>
      </c>
      <c r="I149" s="23">
        <v>105</v>
      </c>
      <c r="J149" s="14">
        <v>6</v>
      </c>
      <c r="L149" s="14">
        <v>0</v>
      </c>
      <c r="N149" s="24">
        <v>6</v>
      </c>
      <c r="P149" s="14">
        <v>0</v>
      </c>
      <c r="R149" s="14">
        <v>0</v>
      </c>
      <c r="T149" s="14" t="str">
        <f t="shared" si="2"/>
        <v>No</v>
      </c>
    </row>
    <row r="150" spans="1:20" s="14" customFormat="1" ht="11.25">
      <c r="A150" s="14" t="s">
        <v>1247</v>
      </c>
      <c r="B150" s="14" t="s">
        <v>553</v>
      </c>
      <c r="C150" s="14" t="s">
        <v>19</v>
      </c>
      <c r="D150" s="169">
        <v>9012</v>
      </c>
      <c r="E150" s="170">
        <v>90012</v>
      </c>
      <c r="F150" s="14" t="s">
        <v>160</v>
      </c>
      <c r="G150" s="14" t="s">
        <v>149</v>
      </c>
      <c r="H150" s="23">
        <v>370583</v>
      </c>
      <c r="I150" s="23">
        <v>104</v>
      </c>
      <c r="J150" s="14">
        <v>1</v>
      </c>
      <c r="L150" s="14">
        <v>0</v>
      </c>
      <c r="N150" s="24">
        <v>1</v>
      </c>
      <c r="P150" s="14">
        <v>0</v>
      </c>
      <c r="R150" s="14">
        <v>0</v>
      </c>
      <c r="T150" s="14" t="str">
        <f t="shared" si="2"/>
        <v>No</v>
      </c>
    </row>
    <row r="151" spans="1:20" s="14" customFormat="1" ht="11.25">
      <c r="A151" s="14" t="s">
        <v>1303</v>
      </c>
      <c r="B151" s="14" t="s">
        <v>565</v>
      </c>
      <c r="C151" s="14" t="s">
        <v>62</v>
      </c>
      <c r="D151" s="169">
        <v>2128</v>
      </c>
      <c r="E151" s="170">
        <v>20128</v>
      </c>
      <c r="F151" s="14" t="s">
        <v>148</v>
      </c>
      <c r="G151" s="14" t="s">
        <v>149</v>
      </c>
      <c r="H151" s="23">
        <v>18351295</v>
      </c>
      <c r="I151" s="23">
        <v>103</v>
      </c>
      <c r="J151" s="14">
        <v>3</v>
      </c>
      <c r="L151" s="14">
        <v>0</v>
      </c>
      <c r="N151" s="24">
        <v>3</v>
      </c>
      <c r="P151" s="14">
        <v>2</v>
      </c>
      <c r="R151" s="14">
        <v>0</v>
      </c>
      <c r="T151" s="14" t="str">
        <f t="shared" si="2"/>
        <v>No</v>
      </c>
    </row>
    <row r="152" spans="1:20" s="14" customFormat="1" ht="11.25">
      <c r="A152" s="14" t="s">
        <v>1383</v>
      </c>
      <c r="B152" s="14" t="s">
        <v>634</v>
      </c>
      <c r="C152" s="14" t="s">
        <v>45</v>
      </c>
      <c r="D152" s="169">
        <v>1014</v>
      </c>
      <c r="E152" s="170">
        <v>10014</v>
      </c>
      <c r="F152" s="14" t="s">
        <v>160</v>
      </c>
      <c r="G152" s="14" t="s">
        <v>149</v>
      </c>
      <c r="H152" s="23">
        <v>486514</v>
      </c>
      <c r="I152" s="23">
        <v>103</v>
      </c>
      <c r="J152" s="14">
        <v>1</v>
      </c>
      <c r="L152" s="14">
        <v>0</v>
      </c>
      <c r="N152" s="24">
        <v>1</v>
      </c>
      <c r="P152" s="14">
        <v>0</v>
      </c>
      <c r="R152" s="14">
        <v>0</v>
      </c>
      <c r="T152" s="14" t="str">
        <f t="shared" si="2"/>
        <v>No</v>
      </c>
    </row>
    <row r="153" spans="1:20" s="14" customFormat="1" ht="11.25">
      <c r="A153" s="14" t="s">
        <v>1329</v>
      </c>
      <c r="B153" s="14" t="s">
        <v>272</v>
      </c>
      <c r="C153" s="14" t="s">
        <v>43</v>
      </c>
      <c r="D153" s="169">
        <v>4017</v>
      </c>
      <c r="E153" s="170">
        <v>40017</v>
      </c>
      <c r="F153" s="14" t="s">
        <v>160</v>
      </c>
      <c r="G153" s="14" t="s">
        <v>149</v>
      </c>
      <c r="H153" s="23">
        <v>290263</v>
      </c>
      <c r="I153" s="23">
        <v>103</v>
      </c>
      <c r="J153" s="14">
        <v>1</v>
      </c>
      <c r="L153" s="14">
        <v>0</v>
      </c>
      <c r="N153" s="24">
        <v>1</v>
      </c>
      <c r="P153" s="14">
        <v>1</v>
      </c>
      <c r="R153" s="14">
        <v>0</v>
      </c>
      <c r="T153" s="14" t="str">
        <f t="shared" si="2"/>
        <v>No</v>
      </c>
    </row>
    <row r="154" spans="1:20" s="14" customFormat="1" ht="11.25">
      <c r="A154" s="14" t="s">
        <v>1423</v>
      </c>
      <c r="B154" s="14" t="s">
        <v>1424</v>
      </c>
      <c r="C154" s="14" t="s">
        <v>84</v>
      </c>
      <c r="D154" s="169">
        <v>6091</v>
      </c>
      <c r="E154" s="170">
        <v>60091</v>
      </c>
      <c r="F154" s="14" t="s">
        <v>160</v>
      </c>
      <c r="G154" s="14" t="s">
        <v>149</v>
      </c>
      <c r="H154" s="23">
        <v>217630</v>
      </c>
      <c r="I154" s="23">
        <v>102</v>
      </c>
      <c r="J154" s="14">
        <v>0</v>
      </c>
      <c r="L154" s="14">
        <v>0</v>
      </c>
      <c r="N154" s="24">
        <v>0</v>
      </c>
      <c r="P154" s="14">
        <v>0</v>
      </c>
      <c r="R154" s="14">
        <v>0</v>
      </c>
      <c r="T154" s="14" t="str">
        <f t="shared" si="2"/>
        <v>No</v>
      </c>
    </row>
    <row r="155" spans="1:20" s="14" customFormat="1" ht="11.25">
      <c r="A155" s="14" t="s">
        <v>1688</v>
      </c>
      <c r="B155" s="14" t="s">
        <v>340</v>
      </c>
      <c r="C155" s="14" t="s">
        <v>35</v>
      </c>
      <c r="D155" s="169">
        <v>4078</v>
      </c>
      <c r="E155" s="170">
        <v>40078</v>
      </c>
      <c r="F155" s="14" t="s">
        <v>152</v>
      </c>
      <c r="G155" s="14" t="s">
        <v>149</v>
      </c>
      <c r="H155" s="23">
        <v>4515419</v>
      </c>
      <c r="I155" s="23">
        <v>102</v>
      </c>
      <c r="J155" s="14">
        <v>4</v>
      </c>
      <c r="L155" s="14">
        <v>0</v>
      </c>
      <c r="N155" s="24">
        <v>4</v>
      </c>
      <c r="P155" s="14">
        <v>0</v>
      </c>
      <c r="R155" s="14">
        <v>0</v>
      </c>
      <c r="T155" s="14" t="str">
        <f t="shared" si="2"/>
        <v>No</v>
      </c>
    </row>
    <row r="156" spans="1:20" s="14" customFormat="1" ht="11.25">
      <c r="A156" s="14" t="s">
        <v>1047</v>
      </c>
      <c r="B156" s="14" t="s">
        <v>1048</v>
      </c>
      <c r="C156" s="14" t="s">
        <v>42</v>
      </c>
      <c r="D156" s="169">
        <v>7035</v>
      </c>
      <c r="E156" s="170">
        <v>70035</v>
      </c>
      <c r="F156" s="14" t="s">
        <v>152</v>
      </c>
      <c r="G156" s="14" t="s">
        <v>149</v>
      </c>
      <c r="H156" s="23">
        <v>1519417</v>
      </c>
      <c r="I156" s="23">
        <v>101</v>
      </c>
      <c r="J156" s="14">
        <v>0</v>
      </c>
      <c r="L156" s="14">
        <v>0</v>
      </c>
      <c r="N156" s="24">
        <v>0</v>
      </c>
      <c r="P156" s="14">
        <v>0</v>
      </c>
      <c r="R156" s="14">
        <v>0</v>
      </c>
      <c r="T156" s="14" t="str">
        <f t="shared" si="2"/>
        <v>No</v>
      </c>
    </row>
    <row r="157" spans="1:20" s="14" customFormat="1" ht="11.25">
      <c r="A157" s="14" t="s">
        <v>623</v>
      </c>
      <c r="B157" s="14" t="s">
        <v>201</v>
      </c>
      <c r="C157" s="14" t="s">
        <v>13</v>
      </c>
      <c r="D157" s="169">
        <v>4042</v>
      </c>
      <c r="E157" s="170">
        <v>40042</v>
      </c>
      <c r="F157" s="14" t="s">
        <v>160</v>
      </c>
      <c r="G157" s="14" t="s">
        <v>149</v>
      </c>
      <c r="H157" s="23">
        <v>749495</v>
      </c>
      <c r="I157" s="23">
        <v>100</v>
      </c>
      <c r="J157" s="14">
        <v>1</v>
      </c>
      <c r="L157" s="14">
        <v>0</v>
      </c>
      <c r="N157" s="24">
        <v>1</v>
      </c>
      <c r="P157" s="14">
        <v>0</v>
      </c>
      <c r="R157" s="14">
        <v>0</v>
      </c>
      <c r="T157" s="14" t="str">
        <f t="shared" si="2"/>
        <v>No</v>
      </c>
    </row>
    <row r="158" spans="1:20" s="14" customFormat="1" ht="11.25">
      <c r="A158" s="14" t="s">
        <v>934</v>
      </c>
      <c r="B158" s="14" t="s">
        <v>838</v>
      </c>
      <c r="C158" s="14" t="s">
        <v>29</v>
      </c>
      <c r="D158" s="169">
        <v>1055</v>
      </c>
      <c r="E158" s="170">
        <v>10055</v>
      </c>
      <c r="F158" s="14" t="s">
        <v>269</v>
      </c>
      <c r="G158" s="14" t="s">
        <v>149</v>
      </c>
      <c r="H158" s="23">
        <v>562839</v>
      </c>
      <c r="I158" s="23">
        <v>98</v>
      </c>
      <c r="J158" s="14">
        <v>0</v>
      </c>
      <c r="L158" s="14">
        <v>0</v>
      </c>
      <c r="N158" s="24">
        <v>0</v>
      </c>
      <c r="P158" s="14">
        <v>0</v>
      </c>
      <c r="R158" s="14">
        <v>0</v>
      </c>
      <c r="T158" s="14" t="str">
        <f t="shared" si="2"/>
        <v>No</v>
      </c>
    </row>
    <row r="159" spans="1:20" s="14" customFormat="1" ht="11.25">
      <c r="A159" s="14" t="s">
        <v>1353</v>
      </c>
      <c r="B159" s="14" t="s">
        <v>738</v>
      </c>
      <c r="C159" s="14" t="s">
        <v>86</v>
      </c>
      <c r="D159" s="169">
        <v>3073</v>
      </c>
      <c r="E159" s="170">
        <v>30073</v>
      </c>
      <c r="F159" s="14" t="s">
        <v>160</v>
      </c>
      <c r="G159" s="14" t="s">
        <v>149</v>
      </c>
      <c r="H159" s="23">
        <v>4586770</v>
      </c>
      <c r="I159" s="23">
        <v>97</v>
      </c>
      <c r="J159" s="14">
        <v>19</v>
      </c>
      <c r="L159" s="14">
        <v>0</v>
      </c>
      <c r="N159" s="24">
        <v>19</v>
      </c>
      <c r="P159" s="14">
        <v>5</v>
      </c>
      <c r="R159" s="14">
        <v>0</v>
      </c>
      <c r="T159" s="14" t="str">
        <f t="shared" si="2"/>
        <v>No</v>
      </c>
    </row>
    <row r="160" spans="1:20" s="14" customFormat="1" ht="11.25">
      <c r="A160" s="14" t="s">
        <v>1078</v>
      </c>
      <c r="B160" s="14" t="s">
        <v>1079</v>
      </c>
      <c r="C160" s="14" t="s">
        <v>86</v>
      </c>
      <c r="D160" s="169">
        <v>3081</v>
      </c>
      <c r="E160" s="170">
        <v>30081</v>
      </c>
      <c r="F160" s="14" t="s">
        <v>152</v>
      </c>
      <c r="G160" s="14" t="s">
        <v>149</v>
      </c>
      <c r="H160" s="23">
        <v>4586770</v>
      </c>
      <c r="I160" s="23">
        <v>96</v>
      </c>
      <c r="J160" s="14">
        <v>0</v>
      </c>
      <c r="L160" s="14">
        <v>0</v>
      </c>
      <c r="N160" s="24">
        <v>0</v>
      </c>
      <c r="P160" s="14">
        <v>0</v>
      </c>
      <c r="R160" s="14">
        <v>0</v>
      </c>
      <c r="T160" s="14" t="str">
        <f t="shared" si="2"/>
        <v>No</v>
      </c>
    </row>
    <row r="161" spans="1:20" s="14" customFormat="1" ht="11.25">
      <c r="A161" s="14" t="s">
        <v>72</v>
      </c>
      <c r="B161" s="14" t="s">
        <v>1055</v>
      </c>
      <c r="C161" s="14" t="s">
        <v>71</v>
      </c>
      <c r="D161" s="169">
        <v>5117</v>
      </c>
      <c r="E161" s="170">
        <v>50117</v>
      </c>
      <c r="F161" s="14" t="s">
        <v>160</v>
      </c>
      <c r="G161" s="14" t="s">
        <v>149</v>
      </c>
      <c r="H161" s="23">
        <v>1780673</v>
      </c>
      <c r="I161" s="23">
        <v>96</v>
      </c>
      <c r="J161" s="14">
        <v>5</v>
      </c>
      <c r="L161" s="14">
        <v>0</v>
      </c>
      <c r="N161" s="24">
        <v>5</v>
      </c>
      <c r="P161" s="14">
        <v>0</v>
      </c>
      <c r="R161" s="14">
        <v>0</v>
      </c>
      <c r="T161" s="14" t="str">
        <f t="shared" si="2"/>
        <v>No</v>
      </c>
    </row>
    <row r="162" spans="1:20" s="14" customFormat="1" ht="11.25">
      <c r="A162" s="14" t="s">
        <v>454</v>
      </c>
      <c r="B162" s="14" t="s">
        <v>455</v>
      </c>
      <c r="C162" s="14" t="s">
        <v>45</v>
      </c>
      <c r="D162" s="169">
        <v>1118</v>
      </c>
      <c r="E162" s="170">
        <v>10118</v>
      </c>
      <c r="F162" s="14" t="s">
        <v>160</v>
      </c>
      <c r="G162" s="14" t="s">
        <v>149</v>
      </c>
      <c r="H162" s="23">
        <v>4181019</v>
      </c>
      <c r="I162" s="23">
        <v>95</v>
      </c>
      <c r="J162" s="14">
        <v>1</v>
      </c>
      <c r="L162" s="14">
        <v>0</v>
      </c>
      <c r="N162" s="24">
        <v>1</v>
      </c>
      <c r="P162" s="14">
        <v>0</v>
      </c>
      <c r="R162" s="14">
        <v>0</v>
      </c>
      <c r="T162" s="14" t="str">
        <f t="shared" si="2"/>
        <v>No</v>
      </c>
    </row>
    <row r="163" spans="1:20" s="14" customFormat="1" ht="11.25">
      <c r="A163" s="14" t="s">
        <v>66</v>
      </c>
      <c r="B163" s="14" t="s">
        <v>1427</v>
      </c>
      <c r="C163" s="14" t="s">
        <v>62</v>
      </c>
      <c r="D163" s="169">
        <v>2149</v>
      </c>
      <c r="E163" s="170">
        <v>20149</v>
      </c>
      <c r="F163" s="14" t="s">
        <v>148</v>
      </c>
      <c r="G163" s="14" t="s">
        <v>149</v>
      </c>
      <c r="H163" s="23">
        <v>18351295</v>
      </c>
      <c r="I163" s="23">
        <v>94</v>
      </c>
      <c r="J163" s="14">
        <v>2</v>
      </c>
      <c r="L163" s="14">
        <v>0</v>
      </c>
      <c r="N163" s="24">
        <v>2</v>
      </c>
      <c r="P163" s="14">
        <v>0</v>
      </c>
      <c r="R163" s="14">
        <v>0</v>
      </c>
      <c r="T163" s="14" t="str">
        <f t="shared" si="2"/>
        <v>No</v>
      </c>
    </row>
    <row r="164" spans="1:20" s="14" customFormat="1" ht="11.25">
      <c r="A164" s="14" t="s">
        <v>1116</v>
      </c>
      <c r="B164" s="14" t="s">
        <v>1117</v>
      </c>
      <c r="C164" s="14" t="s">
        <v>73</v>
      </c>
      <c r="D164" s="169">
        <v>6018</v>
      </c>
      <c r="E164" s="170">
        <v>60018</v>
      </c>
      <c r="F164" s="14" t="s">
        <v>152</v>
      </c>
      <c r="G164" s="14" t="s">
        <v>149</v>
      </c>
      <c r="H164" s="23">
        <v>655479</v>
      </c>
      <c r="I164" s="23">
        <v>93</v>
      </c>
      <c r="J164" s="14">
        <v>4</v>
      </c>
      <c r="L164" s="14">
        <v>0</v>
      </c>
      <c r="N164" s="24">
        <v>4</v>
      </c>
      <c r="P164" s="14">
        <v>0</v>
      </c>
      <c r="R164" s="14">
        <v>0</v>
      </c>
      <c r="T164" s="14" t="str">
        <f t="shared" si="2"/>
        <v>No</v>
      </c>
    </row>
    <row r="165" spans="1:20" s="14" customFormat="1" ht="11.25">
      <c r="A165" s="14" t="s">
        <v>1309</v>
      </c>
      <c r="B165" s="14" t="s">
        <v>1310</v>
      </c>
      <c r="C165" s="14" t="s">
        <v>19</v>
      </c>
      <c r="D165" s="169">
        <v>9079</v>
      </c>
      <c r="E165" s="170">
        <v>90079</v>
      </c>
      <c r="F165" s="14" t="s">
        <v>160</v>
      </c>
      <c r="G165" s="14" t="s">
        <v>149</v>
      </c>
      <c r="H165" s="23">
        <v>345580</v>
      </c>
      <c r="I165" s="23">
        <v>93</v>
      </c>
      <c r="J165" s="14">
        <v>1</v>
      </c>
      <c r="L165" s="14">
        <v>0</v>
      </c>
      <c r="N165" s="24">
        <v>1</v>
      </c>
      <c r="P165" s="14">
        <v>0</v>
      </c>
      <c r="R165" s="14">
        <v>0</v>
      </c>
      <c r="T165" s="14" t="str">
        <f t="shared" si="2"/>
        <v>No</v>
      </c>
    </row>
    <row r="166" spans="1:20" s="14" customFormat="1" ht="11.25">
      <c r="A166" s="14" t="s">
        <v>1373</v>
      </c>
      <c r="B166" s="14" t="s">
        <v>1374</v>
      </c>
      <c r="C166" s="14" t="s">
        <v>75</v>
      </c>
      <c r="D166" s="169">
        <v>3044</v>
      </c>
      <c r="E166" s="170">
        <v>30044</v>
      </c>
      <c r="F166" s="14" t="s">
        <v>152</v>
      </c>
      <c r="G166" s="14" t="s">
        <v>149</v>
      </c>
      <c r="H166" s="23">
        <v>1733853</v>
      </c>
      <c r="I166" s="23">
        <v>92</v>
      </c>
      <c r="J166" s="14">
        <v>1</v>
      </c>
      <c r="L166" s="14">
        <v>0</v>
      </c>
      <c r="N166" s="24">
        <v>1</v>
      </c>
      <c r="P166" s="14">
        <v>0</v>
      </c>
      <c r="R166" s="14">
        <v>0</v>
      </c>
      <c r="T166" s="14" t="str">
        <f t="shared" si="2"/>
        <v>No</v>
      </c>
    </row>
    <row r="167" spans="1:20" s="14" customFormat="1" ht="11.25">
      <c r="A167" s="14" t="s">
        <v>1260</v>
      </c>
      <c r="B167" s="14" t="s">
        <v>1261</v>
      </c>
      <c r="C167" s="14" t="s">
        <v>32</v>
      </c>
      <c r="D167" s="169">
        <v>4046</v>
      </c>
      <c r="E167" s="170">
        <v>40046</v>
      </c>
      <c r="F167" s="14" t="s">
        <v>152</v>
      </c>
      <c r="G167" s="14" t="s">
        <v>149</v>
      </c>
      <c r="H167" s="23">
        <v>643260</v>
      </c>
      <c r="I167" s="23">
        <v>92</v>
      </c>
      <c r="J167" s="14">
        <v>5</v>
      </c>
      <c r="L167" s="14">
        <v>0</v>
      </c>
      <c r="N167" s="24">
        <v>5</v>
      </c>
      <c r="P167" s="14">
        <v>0</v>
      </c>
      <c r="R167" s="14">
        <v>0</v>
      </c>
      <c r="T167" s="14" t="str">
        <f t="shared" si="2"/>
        <v>No</v>
      </c>
    </row>
    <row r="168" spans="1:20" s="14" customFormat="1" ht="11.25">
      <c r="A168" s="14" t="s">
        <v>1252</v>
      </c>
      <c r="B168" s="14" t="s">
        <v>1253</v>
      </c>
      <c r="C168" s="14" t="s">
        <v>19</v>
      </c>
      <c r="D168" s="169">
        <v>9171</v>
      </c>
      <c r="E168" s="170">
        <v>90171</v>
      </c>
      <c r="F168" s="14" t="s">
        <v>152</v>
      </c>
      <c r="G168" s="14" t="s">
        <v>149</v>
      </c>
      <c r="H168" s="23">
        <v>258653</v>
      </c>
      <c r="I168" s="23">
        <v>90</v>
      </c>
      <c r="J168" s="14">
        <v>6</v>
      </c>
      <c r="L168" s="14">
        <v>0</v>
      </c>
      <c r="N168" s="24">
        <v>6</v>
      </c>
      <c r="P168" s="14">
        <v>0</v>
      </c>
      <c r="R168" s="14">
        <v>0</v>
      </c>
      <c r="T168" s="14" t="str">
        <f t="shared" si="2"/>
        <v>No</v>
      </c>
    </row>
    <row r="169" spans="1:20" s="14" customFormat="1" ht="11.25">
      <c r="A169" s="14" t="s">
        <v>964</v>
      </c>
      <c r="B169" s="14" t="s">
        <v>495</v>
      </c>
      <c r="C169" s="14" t="s">
        <v>57</v>
      </c>
      <c r="D169" s="169">
        <v>4087</v>
      </c>
      <c r="E169" s="170">
        <v>40087</v>
      </c>
      <c r="F169" s="14" t="s">
        <v>152</v>
      </c>
      <c r="G169" s="14" t="s">
        <v>149</v>
      </c>
      <c r="H169" s="23">
        <v>347602</v>
      </c>
      <c r="I169" s="23">
        <v>90</v>
      </c>
      <c r="J169" s="14">
        <v>1</v>
      </c>
      <c r="L169" s="14">
        <v>0</v>
      </c>
      <c r="N169" s="24">
        <v>1</v>
      </c>
      <c r="P169" s="14">
        <v>1</v>
      </c>
      <c r="R169" s="14">
        <v>0</v>
      </c>
      <c r="T169" s="14" t="str">
        <f t="shared" si="2"/>
        <v>No</v>
      </c>
    </row>
    <row r="170" spans="1:20" s="14" customFormat="1" ht="11.25">
      <c r="A170" s="14" t="s">
        <v>728</v>
      </c>
      <c r="B170" s="14" t="s">
        <v>729</v>
      </c>
      <c r="C170" s="14" t="s">
        <v>84</v>
      </c>
      <c r="D170" s="169">
        <v>6010</v>
      </c>
      <c r="E170" s="170">
        <v>60010</v>
      </c>
      <c r="F170" s="14" t="s">
        <v>152</v>
      </c>
      <c r="G170" s="14" t="s">
        <v>149</v>
      </c>
      <c r="H170" s="23">
        <v>237356</v>
      </c>
      <c r="I170" s="23">
        <v>89</v>
      </c>
      <c r="J170" s="14">
        <v>1</v>
      </c>
      <c r="L170" s="14">
        <v>0</v>
      </c>
      <c r="N170" s="24">
        <v>1</v>
      </c>
      <c r="P170" s="14">
        <v>0</v>
      </c>
      <c r="R170" s="14">
        <v>0</v>
      </c>
      <c r="T170" s="14" t="str">
        <f t="shared" si="2"/>
        <v>No</v>
      </c>
    </row>
    <row r="171" spans="1:20" s="14" customFormat="1" ht="11.25">
      <c r="A171" s="14" t="s">
        <v>706</v>
      </c>
      <c r="B171" s="14" t="s">
        <v>707</v>
      </c>
      <c r="C171" s="14" t="s">
        <v>57</v>
      </c>
      <c r="D171" s="169">
        <v>4051</v>
      </c>
      <c r="E171" s="170">
        <v>40051</v>
      </c>
      <c r="F171" s="14" t="s">
        <v>152</v>
      </c>
      <c r="G171" s="14" t="s">
        <v>149</v>
      </c>
      <c r="H171" s="23">
        <v>347602</v>
      </c>
      <c r="I171" s="23">
        <v>88</v>
      </c>
      <c r="J171" s="14">
        <v>0</v>
      </c>
      <c r="L171" s="14">
        <v>0</v>
      </c>
      <c r="N171" s="24">
        <v>0</v>
      </c>
      <c r="P171" s="14">
        <v>0</v>
      </c>
      <c r="R171" s="14">
        <v>0</v>
      </c>
      <c r="T171" s="14" t="str">
        <f t="shared" si="2"/>
        <v>No</v>
      </c>
    </row>
    <row r="172" spans="1:20" s="14" customFormat="1" ht="11.25">
      <c r="A172" s="14" t="s">
        <v>647</v>
      </c>
      <c r="B172" s="14" t="s">
        <v>648</v>
      </c>
      <c r="C172" s="14" t="s">
        <v>45</v>
      </c>
      <c r="D172" s="169">
        <v>1004</v>
      </c>
      <c r="E172" s="170">
        <v>10004</v>
      </c>
      <c r="F172" s="14" t="s">
        <v>160</v>
      </c>
      <c r="G172" s="14" t="s">
        <v>149</v>
      </c>
      <c r="H172" s="23">
        <v>4181019</v>
      </c>
      <c r="I172" s="23">
        <v>87</v>
      </c>
      <c r="J172" s="14">
        <v>1</v>
      </c>
      <c r="L172" s="14">
        <v>0</v>
      </c>
      <c r="N172" s="24">
        <v>1</v>
      </c>
      <c r="P172" s="14">
        <v>0</v>
      </c>
      <c r="R172" s="14">
        <v>0</v>
      </c>
      <c r="T172" s="14" t="str">
        <f t="shared" si="2"/>
        <v>No</v>
      </c>
    </row>
    <row r="173" spans="1:20" s="14" customFormat="1" ht="11.25">
      <c r="A173" s="14" t="s">
        <v>1248</v>
      </c>
      <c r="B173" s="14" t="s">
        <v>1249</v>
      </c>
      <c r="C173" s="14" t="s">
        <v>19</v>
      </c>
      <c r="D173" s="169">
        <v>9020</v>
      </c>
      <c r="E173" s="170">
        <v>90020</v>
      </c>
      <c r="F173" s="14" t="s">
        <v>160</v>
      </c>
      <c r="G173" s="14" t="s">
        <v>149</v>
      </c>
      <c r="H173" s="23">
        <v>195861</v>
      </c>
      <c r="I173" s="23">
        <v>87</v>
      </c>
      <c r="J173" s="14">
        <v>1</v>
      </c>
      <c r="L173" s="14">
        <v>0</v>
      </c>
      <c r="N173" s="24">
        <v>1</v>
      </c>
      <c r="P173" s="14">
        <v>0</v>
      </c>
      <c r="R173" s="14">
        <v>0</v>
      </c>
      <c r="T173" s="14" t="str">
        <f t="shared" si="2"/>
        <v>No</v>
      </c>
    </row>
    <row r="174" spans="1:20" s="14" customFormat="1" ht="11.25">
      <c r="A174" s="14" t="s">
        <v>1422</v>
      </c>
      <c r="B174" s="14" t="s">
        <v>486</v>
      </c>
      <c r="C174" s="14" t="s">
        <v>86</v>
      </c>
      <c r="D174" s="169">
        <v>3080</v>
      </c>
      <c r="E174" s="170">
        <v>30080</v>
      </c>
      <c r="F174" s="14" t="s">
        <v>152</v>
      </c>
      <c r="G174" s="14" t="s">
        <v>149</v>
      </c>
      <c r="H174" s="23">
        <v>4586770</v>
      </c>
      <c r="I174" s="23">
        <v>87</v>
      </c>
      <c r="J174" s="14">
        <v>11</v>
      </c>
      <c r="L174" s="14">
        <v>0</v>
      </c>
      <c r="N174" s="24">
        <v>11</v>
      </c>
      <c r="P174" s="14">
        <v>0</v>
      </c>
      <c r="R174" s="14">
        <v>0</v>
      </c>
      <c r="T174" s="14" t="str">
        <f t="shared" si="2"/>
        <v>No</v>
      </c>
    </row>
    <row r="175" spans="1:20" s="14" customFormat="1" ht="11.25">
      <c r="A175" s="14" t="s">
        <v>890</v>
      </c>
      <c r="B175" s="14" t="s">
        <v>222</v>
      </c>
      <c r="C175" s="14" t="s">
        <v>32</v>
      </c>
      <c r="D175" s="169">
        <v>4036</v>
      </c>
      <c r="E175" s="170">
        <v>40036</v>
      </c>
      <c r="F175" s="14" t="s">
        <v>152</v>
      </c>
      <c r="G175" s="14" t="s">
        <v>149</v>
      </c>
      <c r="H175" s="23">
        <v>240223</v>
      </c>
      <c r="I175" s="23">
        <v>87</v>
      </c>
      <c r="J175" s="14">
        <v>1</v>
      </c>
      <c r="L175" s="14">
        <v>0</v>
      </c>
      <c r="N175" s="24">
        <v>1</v>
      </c>
      <c r="P175" s="14">
        <v>0</v>
      </c>
      <c r="R175" s="14">
        <v>0</v>
      </c>
      <c r="T175" s="14" t="str">
        <f t="shared" si="2"/>
        <v>No</v>
      </c>
    </row>
    <row r="176" spans="1:20" s="14" customFormat="1" ht="11.25">
      <c r="A176" s="14" t="s">
        <v>713</v>
      </c>
      <c r="B176" s="14" t="s">
        <v>714</v>
      </c>
      <c r="C176" s="14" t="s">
        <v>35</v>
      </c>
      <c r="D176" s="169">
        <v>4025</v>
      </c>
      <c r="E176" s="170">
        <v>40025</v>
      </c>
      <c r="F176" s="14" t="s">
        <v>160</v>
      </c>
      <c r="G176" s="14" t="s">
        <v>149</v>
      </c>
      <c r="H176" s="23">
        <v>260677</v>
      </c>
      <c r="I176" s="23">
        <v>86</v>
      </c>
      <c r="J176" s="14">
        <v>2</v>
      </c>
      <c r="L176" s="14">
        <v>0</v>
      </c>
      <c r="N176" s="24">
        <v>2</v>
      </c>
      <c r="P176" s="14">
        <v>0</v>
      </c>
      <c r="R176" s="14">
        <v>0</v>
      </c>
      <c r="T176" s="14" t="str">
        <f t="shared" si="2"/>
        <v>No</v>
      </c>
    </row>
    <row r="177" spans="1:20" s="14" customFormat="1" ht="11.25">
      <c r="A177" s="14" t="s">
        <v>91</v>
      </c>
      <c r="B177" s="14" t="s">
        <v>267</v>
      </c>
      <c r="C177" s="14" t="s">
        <v>88</v>
      </c>
      <c r="D177" s="169">
        <v>44</v>
      </c>
      <c r="E177" s="170">
        <v>44</v>
      </c>
      <c r="F177" s="14" t="s">
        <v>160</v>
      </c>
      <c r="G177" s="14" t="s">
        <v>149</v>
      </c>
      <c r="H177" s="23">
        <v>62966</v>
      </c>
      <c r="I177" s="23">
        <v>85</v>
      </c>
      <c r="J177" s="14">
        <v>4</v>
      </c>
      <c r="L177" s="14">
        <v>0</v>
      </c>
      <c r="N177" s="24">
        <v>4</v>
      </c>
      <c r="P177" s="14">
        <v>2</v>
      </c>
      <c r="R177" s="14">
        <v>0</v>
      </c>
      <c r="T177" s="14" t="str">
        <f t="shared" si="2"/>
        <v>No</v>
      </c>
    </row>
    <row r="178" spans="1:20" s="14" customFormat="1" ht="11.25">
      <c r="A178" s="14" t="s">
        <v>994</v>
      </c>
      <c r="B178" s="14" t="s">
        <v>213</v>
      </c>
      <c r="C178" s="14" t="s">
        <v>19</v>
      </c>
      <c r="D178" s="169">
        <v>9004</v>
      </c>
      <c r="E178" s="170">
        <v>90004</v>
      </c>
      <c r="F178" s="14" t="s">
        <v>160</v>
      </c>
      <c r="G178" s="14" t="s">
        <v>149</v>
      </c>
      <c r="H178" s="23">
        <v>523994</v>
      </c>
      <c r="I178" s="23">
        <v>85</v>
      </c>
      <c r="J178" s="14">
        <v>3</v>
      </c>
      <c r="L178" s="14">
        <v>0</v>
      </c>
      <c r="N178" s="24">
        <v>3</v>
      </c>
      <c r="P178" s="14">
        <v>0</v>
      </c>
      <c r="R178" s="14">
        <v>0</v>
      </c>
      <c r="T178" s="14" t="str">
        <f t="shared" si="2"/>
        <v>No</v>
      </c>
    </row>
    <row r="179" spans="1:20" s="14" customFormat="1" ht="11.25">
      <c r="A179" s="14" t="s">
        <v>1184</v>
      </c>
      <c r="B179" s="14" t="s">
        <v>1185</v>
      </c>
      <c r="C179" s="14" t="s">
        <v>32</v>
      </c>
      <c r="D179" s="169">
        <v>4074</v>
      </c>
      <c r="E179" s="170">
        <v>40074</v>
      </c>
      <c r="F179" s="14" t="s">
        <v>152</v>
      </c>
      <c r="G179" s="14" t="s">
        <v>149</v>
      </c>
      <c r="H179" s="23">
        <v>2441770</v>
      </c>
      <c r="I179" s="23">
        <v>84</v>
      </c>
      <c r="J179" s="14">
        <v>0</v>
      </c>
      <c r="L179" s="14">
        <v>0</v>
      </c>
      <c r="N179" s="24">
        <v>0</v>
      </c>
      <c r="P179" s="14">
        <v>0</v>
      </c>
      <c r="R179" s="14">
        <v>0</v>
      </c>
      <c r="T179" s="14" t="str">
        <f t="shared" si="2"/>
        <v>No</v>
      </c>
    </row>
    <row r="180" spans="1:20" s="14" customFormat="1" ht="11.25">
      <c r="A180" s="14" t="s">
        <v>38</v>
      </c>
      <c r="B180" s="14" t="s">
        <v>1438</v>
      </c>
      <c r="C180" s="14" t="s">
        <v>37</v>
      </c>
      <c r="D180" s="169">
        <v>7041</v>
      </c>
      <c r="E180" s="170">
        <v>70041</v>
      </c>
      <c r="F180" s="14" t="s">
        <v>152</v>
      </c>
      <c r="G180" s="14" t="s">
        <v>149</v>
      </c>
      <c r="H180" s="23">
        <v>60438</v>
      </c>
      <c r="I180" s="23">
        <v>84</v>
      </c>
      <c r="J180" s="14">
        <v>1</v>
      </c>
      <c r="L180" s="14">
        <v>0</v>
      </c>
      <c r="N180" s="24">
        <v>1</v>
      </c>
      <c r="P180" s="14">
        <v>0</v>
      </c>
      <c r="R180" s="14">
        <v>0</v>
      </c>
      <c r="T180" s="14" t="str">
        <f t="shared" si="2"/>
        <v>No</v>
      </c>
    </row>
    <row r="181" spans="1:20" s="14" customFormat="1" ht="11.25">
      <c r="A181" s="14" t="s">
        <v>891</v>
      </c>
      <c r="B181" s="14" t="s">
        <v>892</v>
      </c>
      <c r="C181" s="14" t="s">
        <v>19</v>
      </c>
      <c r="D181" s="169">
        <v>9010</v>
      </c>
      <c r="E181" s="170">
        <v>90010</v>
      </c>
      <c r="F181" s="14" t="s">
        <v>152</v>
      </c>
      <c r="G181" s="14" t="s">
        <v>149</v>
      </c>
      <c r="H181" s="23">
        <v>12150996</v>
      </c>
      <c r="I181" s="23">
        <v>84</v>
      </c>
      <c r="J181" s="14">
        <v>2</v>
      </c>
      <c r="L181" s="14">
        <v>0</v>
      </c>
      <c r="N181" s="24">
        <v>2</v>
      </c>
      <c r="P181" s="14">
        <v>1</v>
      </c>
      <c r="R181" s="14">
        <v>0</v>
      </c>
      <c r="T181" s="14" t="str">
        <f t="shared" si="2"/>
        <v>No</v>
      </c>
    </row>
    <row r="182" spans="1:20" s="14" customFormat="1" ht="11.25">
      <c r="A182" s="14" t="s">
        <v>1014</v>
      </c>
      <c r="B182" s="14" t="s">
        <v>227</v>
      </c>
      <c r="C182" s="14" t="s">
        <v>57</v>
      </c>
      <c r="D182" s="169">
        <v>4093</v>
      </c>
      <c r="E182" s="170">
        <v>40093</v>
      </c>
      <c r="F182" s="14" t="s">
        <v>152</v>
      </c>
      <c r="G182" s="14" t="s">
        <v>149</v>
      </c>
      <c r="H182" s="23">
        <v>311810</v>
      </c>
      <c r="I182" s="23">
        <v>83</v>
      </c>
      <c r="J182" s="14">
        <v>1</v>
      </c>
      <c r="L182" s="14">
        <v>0</v>
      </c>
      <c r="N182" s="24">
        <v>1</v>
      </c>
      <c r="P182" s="14">
        <v>2</v>
      </c>
      <c r="R182" s="14">
        <v>1</v>
      </c>
      <c r="T182" s="14" t="str">
        <f t="shared" si="2"/>
        <v>No</v>
      </c>
    </row>
    <row r="183" spans="1:20" s="14" customFormat="1" ht="11.25">
      <c r="A183" s="14" t="s">
        <v>914</v>
      </c>
      <c r="B183" s="14" t="s">
        <v>915</v>
      </c>
      <c r="C183" s="14" t="s">
        <v>69</v>
      </c>
      <c r="D183" s="169">
        <v>2217</v>
      </c>
      <c r="E183" s="170">
        <v>20217</v>
      </c>
      <c r="F183" s="14" t="s">
        <v>148</v>
      </c>
      <c r="G183" s="14" t="s">
        <v>149</v>
      </c>
      <c r="H183" s="23">
        <v>18351295</v>
      </c>
      <c r="I183" s="23">
        <v>83</v>
      </c>
      <c r="J183" s="14">
        <v>2</v>
      </c>
      <c r="L183" s="14">
        <v>0</v>
      </c>
      <c r="N183" s="24">
        <v>2</v>
      </c>
      <c r="P183" s="14">
        <v>1</v>
      </c>
      <c r="R183" s="14">
        <v>0</v>
      </c>
      <c r="T183" s="14" t="str">
        <f t="shared" si="2"/>
        <v>No</v>
      </c>
    </row>
    <row r="184" spans="1:20" s="14" customFormat="1" ht="11.25">
      <c r="A184" s="14" t="s">
        <v>30</v>
      </c>
      <c r="B184" s="14" t="s">
        <v>330</v>
      </c>
      <c r="C184" s="14" t="s">
        <v>29</v>
      </c>
      <c r="D184" s="169">
        <v>1057</v>
      </c>
      <c r="E184" s="170">
        <v>10057</v>
      </c>
      <c r="F184" s="14" t="s">
        <v>160</v>
      </c>
      <c r="G184" s="14" t="s">
        <v>149</v>
      </c>
      <c r="H184" s="23">
        <v>923311</v>
      </c>
      <c r="I184" s="23">
        <v>82</v>
      </c>
      <c r="J184" s="14">
        <v>1</v>
      </c>
      <c r="L184" s="14">
        <v>0</v>
      </c>
      <c r="N184" s="24">
        <v>1</v>
      </c>
      <c r="P184" s="14">
        <v>0</v>
      </c>
      <c r="R184" s="14">
        <v>0</v>
      </c>
      <c r="T184" s="14" t="str">
        <f t="shared" si="2"/>
        <v>No</v>
      </c>
    </row>
    <row r="185" spans="1:20" s="14" customFormat="1" ht="11.25">
      <c r="A185" s="14" t="s">
        <v>574</v>
      </c>
      <c r="B185" s="14" t="s">
        <v>332</v>
      </c>
      <c r="C185" s="14" t="s">
        <v>19</v>
      </c>
      <c r="D185" s="169">
        <v>9121</v>
      </c>
      <c r="E185" s="170">
        <v>90121</v>
      </c>
      <c r="F185" s="14" t="s">
        <v>160</v>
      </c>
      <c r="G185" s="14" t="s">
        <v>149</v>
      </c>
      <c r="H185" s="23">
        <v>341219</v>
      </c>
      <c r="I185" s="23">
        <v>82</v>
      </c>
      <c r="J185" s="14">
        <v>0</v>
      </c>
      <c r="L185" s="14">
        <v>0</v>
      </c>
      <c r="N185" s="24">
        <v>0</v>
      </c>
      <c r="P185" s="14">
        <v>0</v>
      </c>
      <c r="R185" s="14">
        <v>0</v>
      </c>
      <c r="T185" s="14" t="str">
        <f t="shared" si="2"/>
        <v>No</v>
      </c>
    </row>
    <row r="186" spans="1:20" s="14" customFormat="1" ht="11.25">
      <c r="A186" s="14" t="s">
        <v>1008</v>
      </c>
      <c r="B186" s="14" t="s">
        <v>247</v>
      </c>
      <c r="C186" s="14" t="s">
        <v>39</v>
      </c>
      <c r="D186" s="169">
        <v>5056</v>
      </c>
      <c r="E186" s="170">
        <v>50056</v>
      </c>
      <c r="F186" s="14" t="s">
        <v>160</v>
      </c>
      <c r="G186" s="14" t="s">
        <v>149</v>
      </c>
      <c r="H186" s="23">
        <v>266921</v>
      </c>
      <c r="I186" s="23">
        <v>82</v>
      </c>
      <c r="J186" s="14">
        <v>1</v>
      </c>
      <c r="L186" s="14">
        <v>0</v>
      </c>
      <c r="N186" s="24">
        <v>1</v>
      </c>
      <c r="P186" s="14">
        <v>1</v>
      </c>
      <c r="R186" s="14">
        <v>0</v>
      </c>
      <c r="T186" s="14" t="str">
        <f t="shared" si="2"/>
        <v>No</v>
      </c>
    </row>
    <row r="187" spans="1:20" s="14" customFormat="1" ht="11.25">
      <c r="A187" s="14" t="s">
        <v>130</v>
      </c>
      <c r="B187" s="14" t="s">
        <v>790</v>
      </c>
      <c r="C187" s="14" t="s">
        <v>19</v>
      </c>
      <c r="D187" s="169">
        <v>9234</v>
      </c>
      <c r="E187" s="170">
        <v>90234</v>
      </c>
      <c r="F187" s="14" t="s">
        <v>160</v>
      </c>
      <c r="G187" s="14" t="s">
        <v>149</v>
      </c>
      <c r="H187" s="23">
        <v>3281212</v>
      </c>
      <c r="I187" s="23">
        <v>81</v>
      </c>
      <c r="J187" s="14">
        <v>1</v>
      </c>
      <c r="L187" s="14">
        <v>0</v>
      </c>
      <c r="N187" s="24">
        <v>1</v>
      </c>
      <c r="P187" s="14">
        <v>0</v>
      </c>
      <c r="R187" s="14">
        <v>0</v>
      </c>
      <c r="T187" s="14" t="str">
        <f t="shared" si="2"/>
        <v>No</v>
      </c>
    </row>
    <row r="188" spans="1:20" s="14" customFormat="1" ht="11.25">
      <c r="A188" s="14" t="s">
        <v>685</v>
      </c>
      <c r="B188" s="14" t="s">
        <v>686</v>
      </c>
      <c r="C188" s="14" t="s">
        <v>73</v>
      </c>
      <c r="D188" s="169">
        <v>6017</v>
      </c>
      <c r="E188" s="170">
        <v>60017</v>
      </c>
      <c r="F188" s="14" t="s">
        <v>152</v>
      </c>
      <c r="G188" s="14" t="s">
        <v>149</v>
      </c>
      <c r="H188" s="23">
        <v>861505</v>
      </c>
      <c r="I188" s="23">
        <v>80</v>
      </c>
      <c r="J188" s="14">
        <v>5</v>
      </c>
      <c r="L188" s="14">
        <v>0</v>
      </c>
      <c r="N188" s="24">
        <v>5</v>
      </c>
      <c r="P188" s="14">
        <v>0</v>
      </c>
      <c r="R188" s="14">
        <v>0</v>
      </c>
      <c r="T188" s="14" t="str">
        <f t="shared" si="2"/>
        <v>No</v>
      </c>
    </row>
    <row r="189" spans="1:20" s="14" customFormat="1" ht="11.25">
      <c r="A189" s="14" t="s">
        <v>1830</v>
      </c>
      <c r="B189" s="14" t="s">
        <v>291</v>
      </c>
      <c r="C189" s="14" t="s">
        <v>74</v>
      </c>
      <c r="D189" s="169" t="s">
        <v>1831</v>
      </c>
      <c r="E189" s="170">
        <v>376</v>
      </c>
      <c r="F189" s="14" t="s">
        <v>197</v>
      </c>
      <c r="G189" s="14" t="s">
        <v>149</v>
      </c>
      <c r="H189" s="23">
        <v>1849898</v>
      </c>
      <c r="I189" s="23">
        <v>80</v>
      </c>
      <c r="J189" s="14">
        <v>0</v>
      </c>
      <c r="L189" s="14">
        <v>0</v>
      </c>
      <c r="N189" s="24">
        <v>0</v>
      </c>
      <c r="P189" s="14">
        <v>0</v>
      </c>
      <c r="R189" s="14">
        <v>0</v>
      </c>
      <c r="T189" s="14" t="str">
        <f t="shared" si="2"/>
        <v>No</v>
      </c>
    </row>
    <row r="190" spans="1:20" s="14" customFormat="1" ht="11.25">
      <c r="A190" s="14" t="s">
        <v>715</v>
      </c>
      <c r="B190" s="14" t="s">
        <v>716</v>
      </c>
      <c r="C190" s="14" t="s">
        <v>83</v>
      </c>
      <c r="D190" s="169">
        <v>4001</v>
      </c>
      <c r="E190" s="170">
        <v>40001</v>
      </c>
      <c r="F190" s="14" t="s">
        <v>152</v>
      </c>
      <c r="G190" s="14" t="s">
        <v>149</v>
      </c>
      <c r="H190" s="23">
        <v>381112</v>
      </c>
      <c r="I190" s="23">
        <v>80</v>
      </c>
      <c r="J190" s="14">
        <v>3</v>
      </c>
      <c r="L190" s="14">
        <v>0</v>
      </c>
      <c r="N190" s="24">
        <v>3</v>
      </c>
      <c r="P190" s="14">
        <v>1</v>
      </c>
      <c r="R190" s="14">
        <v>0</v>
      </c>
      <c r="T190" s="14" t="str">
        <f t="shared" si="2"/>
        <v>No</v>
      </c>
    </row>
    <row r="191" spans="1:20" s="14" customFormat="1" ht="11.25">
      <c r="A191" s="14" t="s">
        <v>523</v>
      </c>
      <c r="B191" s="14" t="s">
        <v>524</v>
      </c>
      <c r="C191" s="14" t="s">
        <v>67</v>
      </c>
      <c r="D191" s="169">
        <v>6111</v>
      </c>
      <c r="E191" s="170">
        <v>60111</v>
      </c>
      <c r="F191" s="14" t="s">
        <v>160</v>
      </c>
      <c r="G191" s="14" t="s">
        <v>149</v>
      </c>
      <c r="H191" s="23">
        <v>741318</v>
      </c>
      <c r="I191" s="23">
        <v>80</v>
      </c>
      <c r="J191" s="14">
        <v>16</v>
      </c>
      <c r="L191" s="14">
        <v>0</v>
      </c>
      <c r="N191" s="24">
        <v>16</v>
      </c>
      <c r="P191" s="14">
        <v>0</v>
      </c>
      <c r="R191" s="14">
        <v>0</v>
      </c>
      <c r="T191" s="14" t="str">
        <f t="shared" si="2"/>
        <v>No</v>
      </c>
    </row>
    <row r="192" spans="1:20" s="14" customFormat="1" ht="11.25">
      <c r="A192" s="14" t="s">
        <v>1080</v>
      </c>
      <c r="B192" s="14" t="s">
        <v>1081</v>
      </c>
      <c r="C192" s="14" t="s">
        <v>45</v>
      </c>
      <c r="D192" s="169">
        <v>1005</v>
      </c>
      <c r="E192" s="170">
        <v>10005</v>
      </c>
      <c r="F192" s="14" t="s">
        <v>160</v>
      </c>
      <c r="G192" s="14" t="s">
        <v>149</v>
      </c>
      <c r="H192" s="23">
        <v>4181019</v>
      </c>
      <c r="I192" s="23">
        <v>79</v>
      </c>
      <c r="J192" s="14">
        <v>1</v>
      </c>
      <c r="L192" s="14">
        <v>0</v>
      </c>
      <c r="N192" s="24">
        <v>1</v>
      </c>
      <c r="P192" s="14">
        <v>2</v>
      </c>
      <c r="R192" s="14">
        <v>0</v>
      </c>
      <c r="T192" s="14" t="str">
        <f t="shared" si="2"/>
        <v>No</v>
      </c>
    </row>
    <row r="193" spans="1:20" s="14" customFormat="1" ht="11.25">
      <c r="A193" s="14" t="s">
        <v>471</v>
      </c>
      <c r="B193" s="14" t="s">
        <v>227</v>
      </c>
      <c r="C193" s="14" t="s">
        <v>57</v>
      </c>
      <c r="D193" s="169">
        <v>4173</v>
      </c>
      <c r="E193" s="170">
        <v>40173</v>
      </c>
      <c r="F193" s="14" t="s">
        <v>160</v>
      </c>
      <c r="G193" s="14" t="s">
        <v>149</v>
      </c>
      <c r="H193" s="23">
        <v>311810</v>
      </c>
      <c r="I193" s="23">
        <v>79</v>
      </c>
      <c r="J193" s="14">
        <v>1</v>
      </c>
      <c r="L193" s="14">
        <v>0</v>
      </c>
      <c r="N193" s="24">
        <v>1</v>
      </c>
      <c r="P193" s="14">
        <v>0</v>
      </c>
      <c r="R193" s="14">
        <v>0</v>
      </c>
      <c r="T193" s="14" t="str">
        <f t="shared" si="2"/>
        <v>No</v>
      </c>
    </row>
    <row r="194" spans="1:20" s="14" customFormat="1" ht="11.25">
      <c r="A194" s="14" t="s">
        <v>1202</v>
      </c>
      <c r="B194" s="14" t="s">
        <v>1203</v>
      </c>
      <c r="C194" s="14" t="s">
        <v>62</v>
      </c>
      <c r="D194" s="169">
        <v>2075</v>
      </c>
      <c r="E194" s="170">
        <v>20075</v>
      </c>
      <c r="F194" s="14" t="s">
        <v>160</v>
      </c>
      <c r="G194" s="14" t="s">
        <v>149</v>
      </c>
      <c r="H194" s="23">
        <v>5441567</v>
      </c>
      <c r="I194" s="23">
        <v>78</v>
      </c>
      <c r="J194" s="14">
        <v>7</v>
      </c>
      <c r="L194" s="14">
        <v>6</v>
      </c>
      <c r="N194" s="24">
        <v>13</v>
      </c>
      <c r="P194" s="14">
        <v>14</v>
      </c>
      <c r="R194" s="14">
        <v>11</v>
      </c>
      <c r="T194" s="14" t="str">
        <f t="shared" si="2"/>
        <v>No</v>
      </c>
    </row>
    <row r="195" spans="1:20" s="14" customFormat="1" ht="11.25">
      <c r="A195" s="14" t="s">
        <v>60</v>
      </c>
      <c r="B195" s="14" t="s">
        <v>249</v>
      </c>
      <c r="C195" s="14" t="s">
        <v>59</v>
      </c>
      <c r="D195" s="169">
        <v>7001</v>
      </c>
      <c r="E195" s="170">
        <v>70001</v>
      </c>
      <c r="F195" s="14" t="s">
        <v>152</v>
      </c>
      <c r="G195" s="14" t="s">
        <v>149</v>
      </c>
      <c r="H195" s="23">
        <v>258719</v>
      </c>
      <c r="I195" s="23">
        <v>78</v>
      </c>
      <c r="J195" s="14">
        <v>1</v>
      </c>
      <c r="L195" s="14">
        <v>0</v>
      </c>
      <c r="N195" s="24">
        <v>1</v>
      </c>
      <c r="P195" s="14">
        <v>0</v>
      </c>
      <c r="R195" s="14">
        <v>0</v>
      </c>
      <c r="T195" s="14" t="str">
        <f t="shared" ref="T195:T258" si="3">IF(S195&amp;Q195&amp;O195&amp;M195&amp;K195&lt;&gt;"","Yes","No")</f>
        <v>No</v>
      </c>
    </row>
    <row r="196" spans="1:20" s="14" customFormat="1" ht="11.25">
      <c r="A196" s="14" t="s">
        <v>836</v>
      </c>
      <c r="B196" s="14" t="s">
        <v>837</v>
      </c>
      <c r="C196" s="14" t="s">
        <v>36</v>
      </c>
      <c r="D196" s="169">
        <v>9241</v>
      </c>
      <c r="E196" s="170">
        <v>90241</v>
      </c>
      <c r="F196" s="14" t="s">
        <v>152</v>
      </c>
      <c r="G196" s="14" t="s">
        <v>149</v>
      </c>
      <c r="H196" s="23">
        <v>55934</v>
      </c>
      <c r="I196" s="23">
        <v>78</v>
      </c>
      <c r="J196" s="14">
        <v>1</v>
      </c>
      <c r="L196" s="14">
        <v>0</v>
      </c>
      <c r="N196" s="24">
        <v>1</v>
      </c>
      <c r="P196" s="14">
        <v>0</v>
      </c>
      <c r="R196" s="14">
        <v>0</v>
      </c>
      <c r="T196" s="14" t="str">
        <f t="shared" si="3"/>
        <v>No</v>
      </c>
    </row>
    <row r="197" spans="1:20" s="14" customFormat="1" ht="11.25">
      <c r="A197" s="14" t="s">
        <v>969</v>
      </c>
      <c r="B197" s="14" t="s">
        <v>970</v>
      </c>
      <c r="C197" s="14" t="s">
        <v>19</v>
      </c>
      <c r="D197" s="169">
        <v>9162</v>
      </c>
      <c r="E197" s="170">
        <v>90162</v>
      </c>
      <c r="F197" s="14" t="s">
        <v>160</v>
      </c>
      <c r="G197" s="14" t="s">
        <v>149</v>
      </c>
      <c r="H197" s="23">
        <v>277634</v>
      </c>
      <c r="I197" s="23">
        <v>78</v>
      </c>
      <c r="J197" s="14">
        <v>0</v>
      </c>
      <c r="L197" s="14">
        <v>0</v>
      </c>
      <c r="N197" s="24">
        <v>0</v>
      </c>
      <c r="P197" s="14">
        <v>0</v>
      </c>
      <c r="R197" s="14">
        <v>0</v>
      </c>
      <c r="T197" s="14" t="str">
        <f t="shared" si="3"/>
        <v>No</v>
      </c>
    </row>
    <row r="198" spans="1:20" s="14" customFormat="1" ht="11.25">
      <c r="A198" s="14" t="s">
        <v>708</v>
      </c>
      <c r="B198" s="14" t="s">
        <v>251</v>
      </c>
      <c r="C198" s="14" t="s">
        <v>81</v>
      </c>
      <c r="D198" s="169">
        <v>4110</v>
      </c>
      <c r="E198" s="170">
        <v>40110</v>
      </c>
      <c r="F198" s="14" t="s">
        <v>160</v>
      </c>
      <c r="G198" s="14" t="s">
        <v>149</v>
      </c>
      <c r="H198" s="23">
        <v>548404</v>
      </c>
      <c r="I198" s="23">
        <v>77</v>
      </c>
      <c r="J198" s="14">
        <v>1</v>
      </c>
      <c r="L198" s="14">
        <v>0</v>
      </c>
      <c r="N198" s="24">
        <v>1</v>
      </c>
      <c r="P198" s="14">
        <v>0</v>
      </c>
      <c r="R198" s="14">
        <v>0</v>
      </c>
      <c r="T198" s="14" t="str">
        <f t="shared" si="3"/>
        <v>No</v>
      </c>
    </row>
    <row r="199" spans="1:20" s="14" customFormat="1" ht="11.25">
      <c r="A199" s="14" t="s">
        <v>137</v>
      </c>
      <c r="B199" s="14" t="s">
        <v>742</v>
      </c>
      <c r="C199" s="14" t="s">
        <v>92</v>
      </c>
      <c r="D199" s="169">
        <v>5001</v>
      </c>
      <c r="E199" s="170">
        <v>50001</v>
      </c>
      <c r="F199" s="14" t="s">
        <v>152</v>
      </c>
      <c r="G199" s="14" t="s">
        <v>149</v>
      </c>
      <c r="H199" s="23">
        <v>216154</v>
      </c>
      <c r="I199" s="23">
        <v>76</v>
      </c>
      <c r="J199" s="14">
        <v>1</v>
      </c>
      <c r="L199" s="14">
        <v>0</v>
      </c>
      <c r="N199" s="24">
        <v>1</v>
      </c>
      <c r="P199" s="14">
        <v>0</v>
      </c>
      <c r="R199" s="14">
        <v>0</v>
      </c>
      <c r="T199" s="14" t="str">
        <f t="shared" si="3"/>
        <v>No</v>
      </c>
    </row>
    <row r="200" spans="1:20" s="14" customFormat="1" ht="11.25">
      <c r="A200" s="14" t="s">
        <v>727</v>
      </c>
      <c r="B200" s="14" t="s">
        <v>267</v>
      </c>
      <c r="C200" s="14" t="s">
        <v>87</v>
      </c>
      <c r="D200" s="169">
        <v>1066</v>
      </c>
      <c r="E200" s="170">
        <v>10066</v>
      </c>
      <c r="F200" s="14" t="s">
        <v>160</v>
      </c>
      <c r="G200" s="14" t="s">
        <v>149</v>
      </c>
      <c r="H200" s="23">
        <v>108740</v>
      </c>
      <c r="I200" s="23">
        <v>75</v>
      </c>
      <c r="J200" s="14">
        <v>2</v>
      </c>
      <c r="L200" s="14">
        <v>0</v>
      </c>
      <c r="N200" s="24">
        <v>2</v>
      </c>
      <c r="P200" s="14">
        <v>0</v>
      </c>
      <c r="R200" s="14">
        <v>0</v>
      </c>
      <c r="T200" s="14" t="str">
        <f t="shared" si="3"/>
        <v>No</v>
      </c>
    </row>
    <row r="201" spans="1:20" s="14" customFormat="1" ht="11.25">
      <c r="A201" s="14" t="s">
        <v>1054</v>
      </c>
      <c r="B201" s="14" t="s">
        <v>460</v>
      </c>
      <c r="C201" s="14" t="s">
        <v>83</v>
      </c>
      <c r="D201" s="169">
        <v>4002</v>
      </c>
      <c r="E201" s="170">
        <v>40002</v>
      </c>
      <c r="F201" s="14" t="s">
        <v>152</v>
      </c>
      <c r="G201" s="14" t="s">
        <v>149</v>
      </c>
      <c r="H201" s="23">
        <v>558696</v>
      </c>
      <c r="I201" s="23">
        <v>75</v>
      </c>
      <c r="J201" s="14">
        <v>1</v>
      </c>
      <c r="L201" s="14">
        <v>0</v>
      </c>
      <c r="N201" s="24">
        <v>1</v>
      </c>
      <c r="P201" s="14">
        <v>2</v>
      </c>
      <c r="R201" s="14">
        <v>1</v>
      </c>
      <c r="T201" s="14" t="str">
        <f t="shared" si="3"/>
        <v>No</v>
      </c>
    </row>
    <row r="202" spans="1:20" s="14" customFormat="1" ht="11.25">
      <c r="A202" s="14" t="s">
        <v>641</v>
      </c>
      <c r="B202" s="14" t="s">
        <v>642</v>
      </c>
      <c r="C202" s="14" t="s">
        <v>84</v>
      </c>
      <c r="D202" s="169">
        <v>6059</v>
      </c>
      <c r="E202" s="170">
        <v>60059</v>
      </c>
      <c r="F202" s="14" t="s">
        <v>160</v>
      </c>
      <c r="G202" s="14" t="s">
        <v>149</v>
      </c>
      <c r="H202" s="23">
        <v>171345</v>
      </c>
      <c r="I202" s="23">
        <v>75</v>
      </c>
      <c r="J202" s="14">
        <v>3</v>
      </c>
      <c r="L202" s="14">
        <v>0</v>
      </c>
      <c r="N202" s="24">
        <v>3</v>
      </c>
      <c r="P202" s="14">
        <v>0</v>
      </c>
      <c r="R202" s="14">
        <v>0</v>
      </c>
      <c r="T202" s="14" t="str">
        <f t="shared" si="3"/>
        <v>No</v>
      </c>
    </row>
    <row r="203" spans="1:20" s="14" customFormat="1" ht="11.25">
      <c r="A203" s="14" t="s">
        <v>673</v>
      </c>
      <c r="B203" s="14" t="s">
        <v>674</v>
      </c>
      <c r="C203" s="14" t="s">
        <v>44</v>
      </c>
      <c r="D203" s="169">
        <v>6022</v>
      </c>
      <c r="E203" s="170">
        <v>60022</v>
      </c>
      <c r="F203" s="14" t="s">
        <v>160</v>
      </c>
      <c r="G203" s="14" t="s">
        <v>149</v>
      </c>
      <c r="H203" s="23">
        <v>594309</v>
      </c>
      <c r="I203" s="23">
        <v>74</v>
      </c>
      <c r="J203" s="14">
        <v>1</v>
      </c>
      <c r="L203" s="14">
        <v>0</v>
      </c>
      <c r="N203" s="24">
        <v>1</v>
      </c>
      <c r="P203" s="14">
        <v>0</v>
      </c>
      <c r="R203" s="14">
        <v>0</v>
      </c>
      <c r="T203" s="14" t="str">
        <f t="shared" si="3"/>
        <v>No</v>
      </c>
    </row>
    <row r="204" spans="1:20" s="14" customFormat="1" ht="11.25">
      <c r="A204" s="14" t="s">
        <v>1279</v>
      </c>
      <c r="B204" s="14" t="s">
        <v>1280</v>
      </c>
      <c r="C204" s="14" t="s">
        <v>45</v>
      </c>
      <c r="D204" s="169">
        <v>1006</v>
      </c>
      <c r="E204" s="170">
        <v>10006</v>
      </c>
      <c r="F204" s="14" t="s">
        <v>160</v>
      </c>
      <c r="G204" s="14" t="s">
        <v>149</v>
      </c>
      <c r="H204" s="23">
        <v>149443</v>
      </c>
      <c r="I204" s="23">
        <v>74</v>
      </c>
      <c r="J204" s="14">
        <v>2</v>
      </c>
      <c r="L204" s="14">
        <v>0</v>
      </c>
      <c r="N204" s="24">
        <v>2</v>
      </c>
      <c r="P204" s="14">
        <v>2</v>
      </c>
      <c r="R204" s="14">
        <v>0</v>
      </c>
      <c r="T204" s="14" t="str">
        <f t="shared" si="3"/>
        <v>No</v>
      </c>
    </row>
    <row r="205" spans="1:20" s="14" customFormat="1" ht="11.25">
      <c r="A205" s="14" t="s">
        <v>533</v>
      </c>
      <c r="B205" s="14" t="s">
        <v>534</v>
      </c>
      <c r="C205" s="14" t="s">
        <v>84</v>
      </c>
      <c r="D205" s="169">
        <v>6114</v>
      </c>
      <c r="E205" s="170">
        <v>60114</v>
      </c>
      <c r="F205" s="14" t="s">
        <v>152</v>
      </c>
      <c r="G205" s="14" t="s">
        <v>149</v>
      </c>
      <c r="H205" s="23">
        <v>5121892</v>
      </c>
      <c r="I205" s="23">
        <v>74</v>
      </c>
      <c r="J205" s="14">
        <v>0</v>
      </c>
      <c r="L205" s="14">
        <v>0</v>
      </c>
      <c r="N205" s="24">
        <v>0</v>
      </c>
      <c r="P205" s="14">
        <v>0</v>
      </c>
      <c r="R205" s="14">
        <v>0</v>
      </c>
      <c r="T205" s="14" t="str">
        <f t="shared" si="3"/>
        <v>No</v>
      </c>
    </row>
    <row r="206" spans="1:20" s="14" customFormat="1" ht="11.25">
      <c r="A206" s="14" t="s">
        <v>1832</v>
      </c>
      <c r="B206" s="14" t="s">
        <v>1049</v>
      </c>
      <c r="C206" s="14" t="s">
        <v>51</v>
      </c>
      <c r="D206" s="169">
        <v>5035</v>
      </c>
      <c r="E206" s="170">
        <v>50035</v>
      </c>
      <c r="F206" s="14" t="s">
        <v>160</v>
      </c>
      <c r="G206" s="14" t="s">
        <v>149</v>
      </c>
      <c r="H206" s="23">
        <v>209703</v>
      </c>
      <c r="I206" s="23">
        <v>73</v>
      </c>
      <c r="J206" s="14">
        <v>1</v>
      </c>
      <c r="L206" s="14">
        <v>0</v>
      </c>
      <c r="N206" s="24">
        <v>1</v>
      </c>
      <c r="P206" s="14">
        <v>0</v>
      </c>
      <c r="R206" s="14">
        <v>0</v>
      </c>
      <c r="T206" s="14" t="str">
        <f t="shared" si="3"/>
        <v>No</v>
      </c>
    </row>
    <row r="207" spans="1:20" s="14" customFormat="1" ht="11.25">
      <c r="A207" s="14" t="s">
        <v>1084</v>
      </c>
      <c r="B207" s="14" t="s">
        <v>539</v>
      </c>
      <c r="C207" s="14" t="s">
        <v>75</v>
      </c>
      <c r="D207" s="169">
        <v>3015</v>
      </c>
      <c r="E207" s="170">
        <v>30015</v>
      </c>
      <c r="F207" s="14" t="s">
        <v>160</v>
      </c>
      <c r="G207" s="14" t="s">
        <v>149</v>
      </c>
      <c r="H207" s="23">
        <v>381502</v>
      </c>
      <c r="I207" s="23">
        <v>73</v>
      </c>
      <c r="J207" s="14">
        <v>1</v>
      </c>
      <c r="L207" s="14">
        <v>0</v>
      </c>
      <c r="N207" s="24">
        <v>1</v>
      </c>
      <c r="P207" s="14">
        <v>0</v>
      </c>
      <c r="R207" s="14">
        <v>0</v>
      </c>
      <c r="T207" s="14" t="str">
        <f t="shared" si="3"/>
        <v>No</v>
      </c>
    </row>
    <row r="208" spans="1:20" s="14" customFormat="1" ht="11.25">
      <c r="A208" s="14" t="s">
        <v>676</v>
      </c>
      <c r="B208" s="14" t="s">
        <v>677</v>
      </c>
      <c r="C208" s="14" t="s">
        <v>10</v>
      </c>
      <c r="D208" s="169">
        <v>6033</v>
      </c>
      <c r="E208" s="170">
        <v>60033</v>
      </c>
      <c r="F208" s="14" t="s">
        <v>160</v>
      </c>
      <c r="G208" s="14" t="s">
        <v>149</v>
      </c>
      <c r="H208" s="23">
        <v>431388</v>
      </c>
      <c r="I208" s="23">
        <v>73</v>
      </c>
      <c r="J208" s="14">
        <v>1</v>
      </c>
      <c r="L208" s="14">
        <v>0</v>
      </c>
      <c r="N208" s="24">
        <v>1</v>
      </c>
      <c r="P208" s="14">
        <v>0</v>
      </c>
      <c r="R208" s="14">
        <v>0</v>
      </c>
      <c r="T208" s="14" t="str">
        <f t="shared" si="3"/>
        <v>No</v>
      </c>
    </row>
    <row r="209" spans="1:20" s="14" customFormat="1" ht="11.25">
      <c r="A209" s="14" t="s">
        <v>1335</v>
      </c>
      <c r="B209" s="14" t="s">
        <v>1336</v>
      </c>
      <c r="C209" s="14" t="s">
        <v>69</v>
      </c>
      <c r="D209" s="169">
        <v>2084</v>
      </c>
      <c r="E209" s="170">
        <v>20084</v>
      </c>
      <c r="F209" s="14" t="s">
        <v>152</v>
      </c>
      <c r="G209" s="14" t="s">
        <v>149</v>
      </c>
      <c r="H209" s="23">
        <v>18351295</v>
      </c>
      <c r="I209" s="23">
        <v>71</v>
      </c>
      <c r="J209" s="14">
        <v>0</v>
      </c>
      <c r="L209" s="14">
        <v>0</v>
      </c>
      <c r="N209" s="24">
        <v>0</v>
      </c>
      <c r="P209" s="14">
        <v>0</v>
      </c>
      <c r="R209" s="14">
        <v>0</v>
      </c>
      <c r="T209" s="14" t="str">
        <f t="shared" si="3"/>
        <v>No</v>
      </c>
    </row>
    <row r="210" spans="1:20" s="14" customFormat="1" ht="11.25">
      <c r="A210" s="14" t="s">
        <v>1129</v>
      </c>
      <c r="B210" s="14" t="s">
        <v>1130</v>
      </c>
      <c r="C210" s="14" t="s">
        <v>55</v>
      </c>
      <c r="D210" s="169">
        <v>4014</v>
      </c>
      <c r="E210" s="170">
        <v>40014</v>
      </c>
      <c r="F210" s="14" t="s">
        <v>160</v>
      </c>
      <c r="G210" s="14" t="s">
        <v>149</v>
      </c>
      <c r="H210" s="23">
        <v>208948</v>
      </c>
      <c r="I210" s="23">
        <v>71</v>
      </c>
      <c r="J210" s="14">
        <v>8</v>
      </c>
      <c r="L210" s="14">
        <v>0</v>
      </c>
      <c r="N210" s="24">
        <v>8</v>
      </c>
      <c r="P210" s="14">
        <v>1</v>
      </c>
      <c r="R210" s="14">
        <v>0</v>
      </c>
      <c r="T210" s="14" t="str">
        <f t="shared" si="3"/>
        <v>No</v>
      </c>
    </row>
    <row r="211" spans="1:20" s="14" customFormat="1" ht="11.25">
      <c r="A211" s="14" t="s">
        <v>1101</v>
      </c>
      <c r="B211" s="14" t="s">
        <v>1102</v>
      </c>
      <c r="C211" s="14" t="s">
        <v>45</v>
      </c>
      <c r="D211" s="169">
        <v>1013</v>
      </c>
      <c r="E211" s="170">
        <v>10013</v>
      </c>
      <c r="F211" s="14" t="s">
        <v>160</v>
      </c>
      <c r="G211" s="14" t="s">
        <v>149</v>
      </c>
      <c r="H211" s="23">
        <v>4181019</v>
      </c>
      <c r="I211" s="23">
        <v>71</v>
      </c>
      <c r="J211" s="14">
        <v>4</v>
      </c>
      <c r="L211" s="14">
        <v>0</v>
      </c>
      <c r="N211" s="24">
        <v>4</v>
      </c>
      <c r="P211" s="14">
        <v>7</v>
      </c>
      <c r="R211" s="14">
        <v>0</v>
      </c>
      <c r="T211" s="14" t="str">
        <f t="shared" si="3"/>
        <v>No</v>
      </c>
    </row>
    <row r="212" spans="1:20" s="14" customFormat="1" ht="11.25">
      <c r="A212" s="14" t="s">
        <v>65</v>
      </c>
      <c r="B212" s="14" t="s">
        <v>449</v>
      </c>
      <c r="C212" s="14" t="s">
        <v>62</v>
      </c>
      <c r="D212" s="169">
        <v>2190</v>
      </c>
      <c r="E212" s="170">
        <v>20190</v>
      </c>
      <c r="F212" s="14" t="s">
        <v>148</v>
      </c>
      <c r="G212" s="14" t="s">
        <v>149</v>
      </c>
      <c r="H212" s="23">
        <v>18351295</v>
      </c>
      <c r="I212" s="23">
        <v>71</v>
      </c>
      <c r="J212" s="14">
        <v>8</v>
      </c>
      <c r="L212" s="14">
        <v>0</v>
      </c>
      <c r="N212" s="24">
        <v>8</v>
      </c>
      <c r="P212" s="14">
        <v>0</v>
      </c>
      <c r="R212" s="14">
        <v>0</v>
      </c>
      <c r="T212" s="14" t="str">
        <f t="shared" si="3"/>
        <v>No</v>
      </c>
    </row>
    <row r="213" spans="1:20" s="14" customFormat="1" ht="11.25">
      <c r="A213" s="14" t="s">
        <v>1275</v>
      </c>
      <c r="B213" s="14" t="s">
        <v>1276</v>
      </c>
      <c r="C213" s="14" t="s">
        <v>19</v>
      </c>
      <c r="D213" s="169">
        <v>9035</v>
      </c>
      <c r="E213" s="170">
        <v>90035</v>
      </c>
      <c r="F213" s="14" t="s">
        <v>160</v>
      </c>
      <c r="G213" s="14" t="s">
        <v>149</v>
      </c>
      <c r="H213" s="23">
        <v>367260</v>
      </c>
      <c r="I213" s="23">
        <v>70</v>
      </c>
      <c r="J213" s="14">
        <v>0</v>
      </c>
      <c r="L213" s="14">
        <v>0</v>
      </c>
      <c r="N213" s="24">
        <v>0</v>
      </c>
      <c r="P213" s="14">
        <v>0</v>
      </c>
      <c r="R213" s="14">
        <v>0</v>
      </c>
      <c r="T213" s="14" t="str">
        <f t="shared" si="3"/>
        <v>No</v>
      </c>
    </row>
    <row r="214" spans="1:20" s="14" customFormat="1" ht="11.25">
      <c r="A214" s="14" t="s">
        <v>644</v>
      </c>
      <c r="B214" s="14" t="s">
        <v>645</v>
      </c>
      <c r="C214" s="14" t="s">
        <v>29</v>
      </c>
      <c r="D214" s="169">
        <v>1128</v>
      </c>
      <c r="E214" s="170">
        <v>10128</v>
      </c>
      <c r="F214" s="14" t="s">
        <v>326</v>
      </c>
      <c r="G214" s="14" t="s">
        <v>149</v>
      </c>
      <c r="H214" s="23">
        <v>194535</v>
      </c>
      <c r="I214" s="23">
        <v>70</v>
      </c>
      <c r="J214" s="14">
        <v>0</v>
      </c>
      <c r="L214" s="14">
        <v>0</v>
      </c>
      <c r="N214" s="24">
        <v>0</v>
      </c>
      <c r="P214" s="14">
        <v>0</v>
      </c>
      <c r="R214" s="14">
        <v>0</v>
      </c>
      <c r="T214" s="14" t="str">
        <f t="shared" si="3"/>
        <v>No</v>
      </c>
    </row>
    <row r="215" spans="1:20" s="14" customFormat="1" ht="11.25">
      <c r="A215" s="14" t="s">
        <v>1167</v>
      </c>
      <c r="B215" s="14" t="s">
        <v>1168</v>
      </c>
      <c r="C215" s="14" t="s">
        <v>40</v>
      </c>
      <c r="D215" s="169">
        <v>5104</v>
      </c>
      <c r="E215" s="170">
        <v>50104</v>
      </c>
      <c r="F215" s="14" t="s">
        <v>160</v>
      </c>
      <c r="G215" s="14" t="s">
        <v>149</v>
      </c>
      <c r="H215" s="23">
        <v>8608208</v>
      </c>
      <c r="I215" s="23">
        <v>70</v>
      </c>
      <c r="J215" s="14">
        <v>14</v>
      </c>
      <c r="L215" s="14">
        <v>5</v>
      </c>
      <c r="N215" s="24">
        <v>19</v>
      </c>
      <c r="P215" s="14">
        <v>7</v>
      </c>
      <c r="R215" s="14">
        <v>1</v>
      </c>
      <c r="T215" s="14" t="str">
        <f t="shared" si="3"/>
        <v>No</v>
      </c>
    </row>
    <row r="216" spans="1:20" s="14" customFormat="1" ht="11.25">
      <c r="A216" s="14" t="s">
        <v>1639</v>
      </c>
      <c r="B216" s="14" t="s">
        <v>229</v>
      </c>
      <c r="C216" s="14" t="s">
        <v>75</v>
      </c>
      <c r="D216" s="169">
        <v>3111</v>
      </c>
      <c r="E216" s="170">
        <v>30111</v>
      </c>
      <c r="F216" s="14" t="s">
        <v>160</v>
      </c>
      <c r="G216" s="14" t="s">
        <v>149</v>
      </c>
      <c r="H216" s="23">
        <v>1733853</v>
      </c>
      <c r="I216" s="23">
        <v>70</v>
      </c>
      <c r="J216" s="14">
        <v>1</v>
      </c>
      <c r="L216" s="14">
        <v>0</v>
      </c>
      <c r="N216" s="24">
        <v>1</v>
      </c>
      <c r="P216" s="14">
        <v>1</v>
      </c>
      <c r="R216" s="14">
        <v>0</v>
      </c>
      <c r="T216" s="14" t="str">
        <f t="shared" si="3"/>
        <v>No</v>
      </c>
    </row>
    <row r="217" spans="1:20" s="14" customFormat="1" ht="11.25">
      <c r="A217" s="14" t="s">
        <v>1633</v>
      </c>
      <c r="B217" s="14" t="s">
        <v>1665</v>
      </c>
      <c r="C217" s="14" t="s">
        <v>62</v>
      </c>
      <c r="D217" s="169">
        <v>2209</v>
      </c>
      <c r="E217" s="170">
        <v>20209</v>
      </c>
      <c r="F217" s="14" t="s">
        <v>152</v>
      </c>
      <c r="G217" s="14" t="s">
        <v>149</v>
      </c>
      <c r="H217" s="23">
        <v>18351295</v>
      </c>
      <c r="I217" s="23">
        <v>68</v>
      </c>
      <c r="J217" s="14">
        <v>0</v>
      </c>
      <c r="L217" s="14">
        <v>0</v>
      </c>
      <c r="N217" s="24">
        <v>0</v>
      </c>
      <c r="P217" s="14">
        <v>0</v>
      </c>
      <c r="R217" s="14">
        <v>0</v>
      </c>
      <c r="T217" s="14" t="str">
        <f t="shared" si="3"/>
        <v>No</v>
      </c>
    </row>
    <row r="218" spans="1:20" s="14" customFormat="1" ht="11.25">
      <c r="A218" s="14" t="s">
        <v>557</v>
      </c>
      <c r="B218" s="14" t="s">
        <v>558</v>
      </c>
      <c r="C218" s="14" t="s">
        <v>62</v>
      </c>
      <c r="D218" s="169">
        <v>2192</v>
      </c>
      <c r="E218" s="170">
        <v>20192</v>
      </c>
      <c r="F218" s="14" t="s">
        <v>152</v>
      </c>
      <c r="G218" s="14" t="s">
        <v>149</v>
      </c>
      <c r="H218" s="23">
        <v>18351295</v>
      </c>
      <c r="I218" s="23">
        <v>68</v>
      </c>
      <c r="J218" s="14">
        <v>0</v>
      </c>
      <c r="L218" s="14">
        <v>0</v>
      </c>
      <c r="N218" s="24">
        <v>0</v>
      </c>
      <c r="P218" s="14">
        <v>0</v>
      </c>
      <c r="R218" s="14">
        <v>0</v>
      </c>
      <c r="T218" s="14" t="str">
        <f t="shared" si="3"/>
        <v>No</v>
      </c>
    </row>
    <row r="219" spans="1:20" s="14" customFormat="1" ht="11.25">
      <c r="A219" s="14" t="s">
        <v>1052</v>
      </c>
      <c r="B219" s="14" t="s">
        <v>364</v>
      </c>
      <c r="C219" s="14" t="s">
        <v>92</v>
      </c>
      <c r="D219" s="169">
        <v>5003</v>
      </c>
      <c r="E219" s="170">
        <v>50003</v>
      </c>
      <c r="F219" s="14" t="s">
        <v>152</v>
      </c>
      <c r="G219" s="14" t="s">
        <v>149</v>
      </c>
      <c r="H219" s="23">
        <v>124064</v>
      </c>
      <c r="I219" s="23">
        <v>68</v>
      </c>
      <c r="J219" s="14">
        <v>1</v>
      </c>
      <c r="L219" s="14">
        <v>0</v>
      </c>
      <c r="N219" s="24">
        <v>1</v>
      </c>
      <c r="P219" s="14">
        <v>0</v>
      </c>
      <c r="R219" s="14">
        <v>0</v>
      </c>
      <c r="T219" s="14" t="str">
        <f t="shared" si="3"/>
        <v>No</v>
      </c>
    </row>
    <row r="220" spans="1:20" s="14" customFormat="1" ht="11.25">
      <c r="A220" s="14" t="s">
        <v>1833</v>
      </c>
      <c r="B220" s="14" t="s">
        <v>1059</v>
      </c>
      <c r="C220" s="14" t="s">
        <v>32</v>
      </c>
      <c r="D220" s="169">
        <v>4031</v>
      </c>
      <c r="E220" s="170">
        <v>40031</v>
      </c>
      <c r="F220" s="14" t="s">
        <v>160</v>
      </c>
      <c r="G220" s="14" t="s">
        <v>149</v>
      </c>
      <c r="H220" s="23">
        <v>262596</v>
      </c>
      <c r="I220" s="23">
        <v>68</v>
      </c>
      <c r="J220" s="14">
        <v>2</v>
      </c>
      <c r="L220" s="14">
        <v>0</v>
      </c>
      <c r="N220" s="24">
        <v>2</v>
      </c>
      <c r="P220" s="14">
        <v>0</v>
      </c>
      <c r="R220" s="14">
        <v>0</v>
      </c>
      <c r="T220" s="14" t="str">
        <f t="shared" si="3"/>
        <v>No</v>
      </c>
    </row>
    <row r="221" spans="1:20" s="14" customFormat="1" ht="11.25">
      <c r="A221" s="14" t="s">
        <v>1337</v>
      </c>
      <c r="B221" s="14" t="s">
        <v>1338</v>
      </c>
      <c r="C221" s="14" t="s">
        <v>32</v>
      </c>
      <c r="D221" s="169">
        <v>4077</v>
      </c>
      <c r="E221" s="170">
        <v>40077</v>
      </c>
      <c r="F221" s="14" t="s">
        <v>160</v>
      </c>
      <c r="G221" s="14" t="s">
        <v>149</v>
      </c>
      <c r="H221" s="23">
        <v>5502379</v>
      </c>
      <c r="I221" s="23">
        <v>66</v>
      </c>
      <c r="J221" s="14">
        <v>18</v>
      </c>
      <c r="L221" s="14">
        <v>0</v>
      </c>
      <c r="N221" s="24">
        <v>18</v>
      </c>
      <c r="P221" s="14">
        <v>36</v>
      </c>
      <c r="R221" s="14">
        <v>6</v>
      </c>
      <c r="T221" s="14" t="str">
        <f t="shared" si="3"/>
        <v>No</v>
      </c>
    </row>
    <row r="222" spans="1:20" s="14" customFormat="1" ht="11.25">
      <c r="A222" s="14" t="s">
        <v>1381</v>
      </c>
      <c r="B222" s="14" t="s">
        <v>1382</v>
      </c>
      <c r="C222" s="14" t="s">
        <v>57</v>
      </c>
      <c r="D222" s="169">
        <v>4012</v>
      </c>
      <c r="E222" s="170">
        <v>40012</v>
      </c>
      <c r="F222" s="14" t="s">
        <v>160</v>
      </c>
      <c r="G222" s="14" t="s">
        <v>149</v>
      </c>
      <c r="H222" s="23">
        <v>391024</v>
      </c>
      <c r="I222" s="23">
        <v>66</v>
      </c>
      <c r="J222" s="14">
        <v>1</v>
      </c>
      <c r="L222" s="14">
        <v>0</v>
      </c>
      <c r="N222" s="24">
        <v>1</v>
      </c>
      <c r="P222" s="14">
        <v>1</v>
      </c>
      <c r="R222" s="14">
        <v>0</v>
      </c>
      <c r="T222" s="14" t="str">
        <f t="shared" si="3"/>
        <v>No</v>
      </c>
    </row>
    <row r="223" spans="1:20" s="14" customFormat="1" ht="11.25">
      <c r="A223" s="14" t="s">
        <v>1377</v>
      </c>
      <c r="B223" s="14" t="s">
        <v>877</v>
      </c>
      <c r="C223" s="14" t="s">
        <v>42</v>
      </c>
      <c r="D223" s="169">
        <v>7015</v>
      </c>
      <c r="E223" s="170">
        <v>70015</v>
      </c>
      <c r="F223" s="14" t="s">
        <v>152</v>
      </c>
      <c r="G223" s="14" t="s">
        <v>149</v>
      </c>
      <c r="H223" s="23">
        <v>472870</v>
      </c>
      <c r="I223" s="23">
        <v>66</v>
      </c>
      <c r="J223" s="14">
        <v>1</v>
      </c>
      <c r="L223" s="14">
        <v>0</v>
      </c>
      <c r="N223" s="24">
        <v>1</v>
      </c>
      <c r="P223" s="14">
        <v>0</v>
      </c>
      <c r="R223" s="14">
        <v>0</v>
      </c>
      <c r="T223" s="14" t="str">
        <f t="shared" si="3"/>
        <v>No</v>
      </c>
    </row>
    <row r="224" spans="1:20" s="14" customFormat="1" ht="11.25">
      <c r="A224" s="14" t="s">
        <v>564</v>
      </c>
      <c r="B224" s="14" t="s">
        <v>565</v>
      </c>
      <c r="C224" s="14" t="s">
        <v>62</v>
      </c>
      <c r="D224" s="169">
        <v>2196</v>
      </c>
      <c r="E224" s="170">
        <v>20196</v>
      </c>
      <c r="F224" s="14" t="s">
        <v>152</v>
      </c>
      <c r="G224" s="14" t="s">
        <v>149</v>
      </c>
      <c r="H224" s="23">
        <v>18351295</v>
      </c>
      <c r="I224" s="23">
        <v>66</v>
      </c>
      <c r="J224" s="14">
        <v>0</v>
      </c>
      <c r="L224" s="14">
        <v>0</v>
      </c>
      <c r="N224" s="24">
        <v>0</v>
      </c>
      <c r="P224" s="14">
        <v>0</v>
      </c>
      <c r="R224" s="14">
        <v>0</v>
      </c>
      <c r="T224" s="14" t="str">
        <f t="shared" si="3"/>
        <v>No</v>
      </c>
    </row>
    <row r="225" spans="1:20" s="14" customFormat="1" ht="11.25">
      <c r="A225" s="14" t="s">
        <v>1297</v>
      </c>
      <c r="B225" s="14" t="s">
        <v>293</v>
      </c>
      <c r="C225" s="14" t="s">
        <v>71</v>
      </c>
      <c r="D225" s="169">
        <v>5011</v>
      </c>
      <c r="E225" s="170">
        <v>50011</v>
      </c>
      <c r="F225" s="14" t="s">
        <v>160</v>
      </c>
      <c r="G225" s="14" t="s">
        <v>149</v>
      </c>
      <c r="H225" s="23">
        <v>279245</v>
      </c>
      <c r="I225" s="23">
        <v>66</v>
      </c>
      <c r="J225" s="14">
        <v>4</v>
      </c>
      <c r="L225" s="14">
        <v>0</v>
      </c>
      <c r="N225" s="24">
        <v>4</v>
      </c>
      <c r="P225" s="14">
        <v>0</v>
      </c>
      <c r="R225" s="14">
        <v>0</v>
      </c>
      <c r="T225" s="14" t="str">
        <f t="shared" si="3"/>
        <v>No</v>
      </c>
    </row>
    <row r="226" spans="1:20" s="14" customFormat="1" ht="11.25">
      <c r="A226" s="14" t="s">
        <v>1446</v>
      </c>
      <c r="B226" s="14" t="s">
        <v>1447</v>
      </c>
      <c r="C226" s="14" t="s">
        <v>35</v>
      </c>
      <c r="D226" s="169">
        <v>4138</v>
      </c>
      <c r="E226" s="170">
        <v>40138</v>
      </c>
      <c r="F226" s="14" t="s">
        <v>152</v>
      </c>
      <c r="G226" s="14" t="s">
        <v>149</v>
      </c>
      <c r="H226" s="23">
        <v>4515419</v>
      </c>
      <c r="I226" s="23">
        <v>65</v>
      </c>
      <c r="J226" s="14">
        <v>6</v>
      </c>
      <c r="L226" s="14">
        <v>0</v>
      </c>
      <c r="N226" s="24">
        <v>6</v>
      </c>
      <c r="P226" s="14">
        <v>6</v>
      </c>
      <c r="R226" s="14">
        <v>6</v>
      </c>
      <c r="T226" s="14" t="str">
        <f t="shared" si="3"/>
        <v>No</v>
      </c>
    </row>
    <row r="227" spans="1:20" s="14" customFormat="1" ht="11.25">
      <c r="A227" s="14" t="s">
        <v>1273</v>
      </c>
      <c r="B227" s="14" t="s">
        <v>885</v>
      </c>
      <c r="C227" s="14" t="s">
        <v>19</v>
      </c>
      <c r="D227" s="169">
        <v>9089</v>
      </c>
      <c r="E227" s="170">
        <v>90089</v>
      </c>
      <c r="F227" s="14" t="s">
        <v>152</v>
      </c>
      <c r="G227" s="14" t="s">
        <v>149</v>
      </c>
      <c r="H227" s="23">
        <v>308231</v>
      </c>
      <c r="I227" s="23">
        <v>65</v>
      </c>
      <c r="J227" s="14">
        <v>2</v>
      </c>
      <c r="L227" s="14">
        <v>0</v>
      </c>
      <c r="N227" s="24">
        <v>2</v>
      </c>
      <c r="P227" s="14">
        <v>1</v>
      </c>
      <c r="R227" s="14">
        <v>0</v>
      </c>
      <c r="T227" s="14" t="str">
        <f t="shared" si="3"/>
        <v>No</v>
      </c>
    </row>
    <row r="228" spans="1:20" s="14" customFormat="1" ht="11.25">
      <c r="A228" s="14" t="s">
        <v>1652</v>
      </c>
      <c r="B228" s="14" t="s">
        <v>1678</v>
      </c>
      <c r="C228" s="14" t="s">
        <v>52</v>
      </c>
      <c r="D228" s="169">
        <v>5221</v>
      </c>
      <c r="E228" s="170">
        <v>50518</v>
      </c>
      <c r="F228" s="14" t="s">
        <v>160</v>
      </c>
      <c r="G228" s="14" t="s">
        <v>149</v>
      </c>
      <c r="H228" s="23">
        <v>2650890</v>
      </c>
      <c r="I228" s="23">
        <v>65</v>
      </c>
      <c r="J228" s="14">
        <v>4</v>
      </c>
      <c r="L228" s="14">
        <v>0</v>
      </c>
      <c r="N228" s="24">
        <v>4</v>
      </c>
      <c r="P228" s="14">
        <v>7</v>
      </c>
      <c r="R228" s="14">
        <v>0</v>
      </c>
      <c r="T228" s="14" t="str">
        <f t="shared" si="3"/>
        <v>No</v>
      </c>
    </row>
    <row r="229" spans="1:20" s="14" customFormat="1" ht="11.25">
      <c r="A229" s="14" t="s">
        <v>1323</v>
      </c>
      <c r="B229" s="14" t="s">
        <v>1324</v>
      </c>
      <c r="C229" s="14" t="s">
        <v>69</v>
      </c>
      <c r="D229" s="169">
        <v>2145</v>
      </c>
      <c r="E229" s="170">
        <v>20145</v>
      </c>
      <c r="F229" s="14" t="s">
        <v>197</v>
      </c>
      <c r="G229" s="14" t="s">
        <v>149</v>
      </c>
      <c r="H229" s="23">
        <v>53661</v>
      </c>
      <c r="I229" s="23">
        <v>64</v>
      </c>
      <c r="J229" s="14">
        <v>1</v>
      </c>
      <c r="L229" s="14">
        <v>0</v>
      </c>
      <c r="N229" s="24">
        <v>1</v>
      </c>
      <c r="P229" s="14">
        <v>0</v>
      </c>
      <c r="R229" s="14">
        <v>0</v>
      </c>
      <c r="T229" s="14" t="str">
        <f t="shared" si="3"/>
        <v>No</v>
      </c>
    </row>
    <row r="230" spans="1:20" s="14" customFormat="1" ht="11.25">
      <c r="A230" s="14" t="s">
        <v>962</v>
      </c>
      <c r="B230" s="14" t="s">
        <v>963</v>
      </c>
      <c r="C230" s="14" t="s">
        <v>52</v>
      </c>
      <c r="D230" s="169">
        <v>5025</v>
      </c>
      <c r="E230" s="170">
        <v>50025</v>
      </c>
      <c r="F230" s="14" t="s">
        <v>160</v>
      </c>
      <c r="G230" s="14" t="s">
        <v>149</v>
      </c>
      <c r="H230" s="23">
        <v>120378</v>
      </c>
      <c r="I230" s="23">
        <v>64</v>
      </c>
      <c r="J230" s="14">
        <v>2</v>
      </c>
      <c r="L230" s="14">
        <v>0</v>
      </c>
      <c r="N230" s="24">
        <v>2</v>
      </c>
      <c r="P230" s="14">
        <v>4</v>
      </c>
      <c r="R230" s="14">
        <v>0</v>
      </c>
      <c r="T230" s="14" t="str">
        <f t="shared" si="3"/>
        <v>No</v>
      </c>
    </row>
    <row r="231" spans="1:20" s="14" customFormat="1" ht="11.25">
      <c r="A231" s="14" t="s">
        <v>1002</v>
      </c>
      <c r="B231" s="14" t="s">
        <v>311</v>
      </c>
      <c r="C231" s="14" t="s">
        <v>29</v>
      </c>
      <c r="D231" s="169">
        <v>1050</v>
      </c>
      <c r="E231" s="170">
        <v>10050</v>
      </c>
      <c r="F231" s="14" t="s">
        <v>160</v>
      </c>
      <c r="G231" s="14" t="s">
        <v>149</v>
      </c>
      <c r="H231" s="23">
        <v>923311</v>
      </c>
      <c r="I231" s="23">
        <v>64</v>
      </c>
      <c r="J231" s="14">
        <v>1</v>
      </c>
      <c r="L231" s="14">
        <v>0</v>
      </c>
      <c r="N231" s="24">
        <v>1</v>
      </c>
      <c r="P231" s="14">
        <v>1</v>
      </c>
      <c r="R231" s="14">
        <v>0</v>
      </c>
      <c r="T231" s="14" t="str">
        <f t="shared" si="3"/>
        <v>No</v>
      </c>
    </row>
    <row r="232" spans="1:20" s="14" customFormat="1" ht="11.25">
      <c r="A232" s="14" t="s">
        <v>389</v>
      </c>
      <c r="B232" s="14" t="s">
        <v>390</v>
      </c>
      <c r="C232" s="14" t="s">
        <v>19</v>
      </c>
      <c r="D232" s="169">
        <v>9211</v>
      </c>
      <c r="E232" s="170">
        <v>90211</v>
      </c>
      <c r="F232" s="14" t="s">
        <v>197</v>
      </c>
      <c r="G232" s="14" t="s">
        <v>149</v>
      </c>
      <c r="H232" s="23">
        <v>12150996</v>
      </c>
      <c r="I232" s="23">
        <v>63</v>
      </c>
      <c r="J232" s="14">
        <v>4</v>
      </c>
      <c r="L232" s="14">
        <v>0</v>
      </c>
      <c r="N232" s="24">
        <v>4</v>
      </c>
      <c r="P232" s="14">
        <v>2</v>
      </c>
      <c r="R232" s="14">
        <v>3</v>
      </c>
      <c r="T232" s="14" t="str">
        <f t="shared" si="3"/>
        <v>No</v>
      </c>
    </row>
    <row r="233" spans="1:20" s="14" customFormat="1" ht="11.25">
      <c r="A233" s="14" t="s">
        <v>1132</v>
      </c>
      <c r="B233" s="14" t="s">
        <v>815</v>
      </c>
      <c r="C233" s="14" t="s">
        <v>19</v>
      </c>
      <c r="D233" s="169">
        <v>9007</v>
      </c>
      <c r="E233" s="170">
        <v>90007</v>
      </c>
      <c r="F233" s="14" t="s">
        <v>152</v>
      </c>
      <c r="G233" s="14" t="s">
        <v>149</v>
      </c>
      <c r="H233" s="23">
        <v>358172</v>
      </c>
      <c r="I233" s="23">
        <v>63</v>
      </c>
      <c r="J233" s="14">
        <v>1</v>
      </c>
      <c r="L233" s="14">
        <v>0</v>
      </c>
      <c r="N233" s="24">
        <v>1</v>
      </c>
      <c r="P233" s="14">
        <v>0</v>
      </c>
      <c r="R233" s="14">
        <v>0</v>
      </c>
      <c r="T233" s="14" t="str">
        <f t="shared" si="3"/>
        <v>No</v>
      </c>
    </row>
    <row r="234" spans="1:20" s="14" customFormat="1" ht="11.25">
      <c r="A234" s="14" t="s">
        <v>635</v>
      </c>
      <c r="B234" s="14" t="s">
        <v>636</v>
      </c>
      <c r="C234" s="14" t="s">
        <v>2</v>
      </c>
      <c r="D234" s="169">
        <v>11</v>
      </c>
      <c r="E234" s="170">
        <v>11</v>
      </c>
      <c r="F234" s="14" t="s">
        <v>160</v>
      </c>
      <c r="G234" s="14" t="s">
        <v>149</v>
      </c>
      <c r="H234" s="23">
        <v>349684</v>
      </c>
      <c r="I234" s="23">
        <v>63</v>
      </c>
      <c r="J234" s="14">
        <v>1</v>
      </c>
      <c r="L234" s="14">
        <v>0</v>
      </c>
      <c r="N234" s="24">
        <v>1</v>
      </c>
      <c r="P234" s="14">
        <v>1</v>
      </c>
      <c r="R234" s="14">
        <v>0</v>
      </c>
      <c r="T234" s="14" t="str">
        <f t="shared" si="3"/>
        <v>No</v>
      </c>
    </row>
    <row r="235" spans="1:20" s="14" customFormat="1" ht="11.25">
      <c r="A235" s="14" t="s">
        <v>941</v>
      </c>
      <c r="B235" s="14" t="s">
        <v>942</v>
      </c>
      <c r="C235" s="14" t="s">
        <v>75</v>
      </c>
      <c r="D235" s="169">
        <v>3025</v>
      </c>
      <c r="E235" s="170">
        <v>30025</v>
      </c>
      <c r="F235" s="14" t="s">
        <v>160</v>
      </c>
      <c r="G235" s="14" t="s">
        <v>149</v>
      </c>
      <c r="H235" s="23">
        <v>381502</v>
      </c>
      <c r="I235" s="23">
        <v>62</v>
      </c>
      <c r="J235" s="14">
        <v>1</v>
      </c>
      <c r="L235" s="14">
        <v>0</v>
      </c>
      <c r="N235" s="24">
        <v>1</v>
      </c>
      <c r="P235" s="14">
        <v>0</v>
      </c>
      <c r="R235" s="14">
        <v>0</v>
      </c>
      <c r="T235" s="14" t="str">
        <f t="shared" si="3"/>
        <v>No</v>
      </c>
    </row>
    <row r="236" spans="1:20" s="14" customFormat="1" ht="11.25">
      <c r="A236" s="14" t="s">
        <v>1228</v>
      </c>
      <c r="B236" s="14" t="s">
        <v>1229</v>
      </c>
      <c r="C236" s="14" t="s">
        <v>39</v>
      </c>
      <c r="D236" s="169">
        <v>5057</v>
      </c>
      <c r="E236" s="170">
        <v>50057</v>
      </c>
      <c r="F236" s="14" t="s">
        <v>160</v>
      </c>
      <c r="G236" s="14" t="s">
        <v>149</v>
      </c>
      <c r="H236" s="23">
        <v>280051</v>
      </c>
      <c r="I236" s="23">
        <v>62</v>
      </c>
      <c r="J236" s="14">
        <v>7</v>
      </c>
      <c r="L236" s="14">
        <v>0</v>
      </c>
      <c r="N236" s="24">
        <v>7</v>
      </c>
      <c r="P236" s="14">
        <v>1</v>
      </c>
      <c r="R236" s="14">
        <v>0</v>
      </c>
      <c r="T236" s="14" t="str">
        <f t="shared" si="3"/>
        <v>No</v>
      </c>
    </row>
    <row r="237" spans="1:20" s="14" customFormat="1" ht="11.25">
      <c r="A237" s="14" t="s">
        <v>1005</v>
      </c>
      <c r="B237" s="14" t="s">
        <v>257</v>
      </c>
      <c r="C237" s="14" t="s">
        <v>40</v>
      </c>
      <c r="D237" s="169">
        <v>5051</v>
      </c>
      <c r="E237" s="170">
        <v>50051</v>
      </c>
      <c r="F237" s="14" t="s">
        <v>160</v>
      </c>
      <c r="G237" s="14" t="s">
        <v>149</v>
      </c>
      <c r="H237" s="23">
        <v>147725</v>
      </c>
      <c r="I237" s="23">
        <v>61</v>
      </c>
      <c r="J237" s="14">
        <v>1</v>
      </c>
      <c r="L237" s="14">
        <v>0</v>
      </c>
      <c r="N237" s="24">
        <v>1</v>
      </c>
      <c r="P237" s="14">
        <v>0</v>
      </c>
      <c r="R237" s="14">
        <v>0</v>
      </c>
      <c r="T237" s="14" t="str">
        <f t="shared" si="3"/>
        <v>No</v>
      </c>
    </row>
    <row r="238" spans="1:20" s="14" customFormat="1" ht="11.25">
      <c r="A238" s="14" t="s">
        <v>1384</v>
      </c>
      <c r="B238" s="14" t="s">
        <v>355</v>
      </c>
      <c r="C238" s="14" t="s">
        <v>88</v>
      </c>
      <c r="D238" s="169">
        <v>6</v>
      </c>
      <c r="E238" s="170">
        <v>6</v>
      </c>
      <c r="F238" s="14" t="s">
        <v>152</v>
      </c>
      <c r="G238" s="14" t="s">
        <v>149</v>
      </c>
      <c r="H238" s="23">
        <v>129534</v>
      </c>
      <c r="I238" s="23">
        <v>61</v>
      </c>
      <c r="J238" s="14">
        <v>1</v>
      </c>
      <c r="L238" s="14">
        <v>0</v>
      </c>
      <c r="N238" s="24">
        <v>1</v>
      </c>
      <c r="P238" s="14">
        <v>0</v>
      </c>
      <c r="R238" s="14">
        <v>0</v>
      </c>
      <c r="T238" s="14" t="str">
        <f t="shared" si="3"/>
        <v>No</v>
      </c>
    </row>
    <row r="239" spans="1:20" s="14" customFormat="1" ht="11.25">
      <c r="A239" s="14" t="s">
        <v>386</v>
      </c>
      <c r="B239" s="14" t="s">
        <v>387</v>
      </c>
      <c r="C239" s="14" t="s">
        <v>83</v>
      </c>
      <c r="D239" s="169">
        <v>4159</v>
      </c>
      <c r="E239" s="170">
        <v>40159</v>
      </c>
      <c r="F239" s="14" t="s">
        <v>160</v>
      </c>
      <c r="G239" s="14" t="s">
        <v>149</v>
      </c>
      <c r="H239" s="23">
        <v>969587</v>
      </c>
      <c r="I239" s="23">
        <v>59</v>
      </c>
      <c r="J239" s="14">
        <v>6</v>
      </c>
      <c r="L239" s="14">
        <v>0</v>
      </c>
      <c r="N239" s="24">
        <v>6</v>
      </c>
      <c r="P239" s="14">
        <v>0</v>
      </c>
      <c r="R239" s="14">
        <v>0</v>
      </c>
      <c r="T239" s="14" t="str">
        <f t="shared" si="3"/>
        <v>No</v>
      </c>
    </row>
    <row r="240" spans="1:20" s="14" customFormat="1" ht="11.25">
      <c r="A240" s="14" t="s">
        <v>1070</v>
      </c>
      <c r="B240" s="14" t="s">
        <v>1071</v>
      </c>
      <c r="C240" s="14" t="s">
        <v>19</v>
      </c>
      <c r="D240" s="169">
        <v>9144</v>
      </c>
      <c r="E240" s="170">
        <v>90144</v>
      </c>
      <c r="F240" s="14" t="s">
        <v>160</v>
      </c>
      <c r="G240" s="14" t="s">
        <v>149</v>
      </c>
      <c r="H240" s="23">
        <v>615968</v>
      </c>
      <c r="I240" s="23">
        <v>59</v>
      </c>
      <c r="J240" s="14">
        <v>5</v>
      </c>
      <c r="L240" s="14">
        <v>0</v>
      </c>
      <c r="N240" s="24">
        <v>5</v>
      </c>
      <c r="P240" s="14">
        <v>6</v>
      </c>
      <c r="R240" s="14">
        <v>13</v>
      </c>
      <c r="T240" s="14" t="str">
        <f t="shared" si="3"/>
        <v>No</v>
      </c>
    </row>
    <row r="241" spans="1:20" s="14" customFormat="1" ht="11.25">
      <c r="A241" s="14" t="s">
        <v>1265</v>
      </c>
      <c r="B241" s="14" t="s">
        <v>1266</v>
      </c>
      <c r="C241" s="14" t="s">
        <v>44</v>
      </c>
      <c r="D241" s="169">
        <v>6024</v>
      </c>
      <c r="E241" s="170">
        <v>60024</v>
      </c>
      <c r="F241" s="14" t="s">
        <v>152</v>
      </c>
      <c r="G241" s="14" t="s">
        <v>149</v>
      </c>
      <c r="H241" s="23">
        <v>298317</v>
      </c>
      <c r="I241" s="23">
        <v>58</v>
      </c>
      <c r="J241" s="14">
        <v>1</v>
      </c>
      <c r="L241" s="14">
        <v>0</v>
      </c>
      <c r="N241" s="24">
        <v>1</v>
      </c>
      <c r="P241" s="14">
        <v>0</v>
      </c>
      <c r="R241" s="14">
        <v>0</v>
      </c>
      <c r="T241" s="14" t="str">
        <f t="shared" si="3"/>
        <v>No</v>
      </c>
    </row>
    <row r="242" spans="1:20" s="14" customFormat="1" ht="11.25">
      <c r="A242" s="14" t="s">
        <v>1291</v>
      </c>
      <c r="B242" s="14" t="s">
        <v>732</v>
      </c>
      <c r="C242" s="14" t="s">
        <v>39</v>
      </c>
      <c r="D242" s="169">
        <v>5059</v>
      </c>
      <c r="E242" s="170">
        <v>50059</v>
      </c>
      <c r="F242" s="14" t="s">
        <v>160</v>
      </c>
      <c r="G242" s="14" t="s">
        <v>149</v>
      </c>
      <c r="H242" s="23">
        <v>161316</v>
      </c>
      <c r="I242" s="23">
        <v>58</v>
      </c>
      <c r="J242" s="14">
        <v>0</v>
      </c>
      <c r="L242" s="14">
        <v>0</v>
      </c>
      <c r="N242" s="24">
        <v>0</v>
      </c>
      <c r="P242" s="14">
        <v>0</v>
      </c>
      <c r="R242" s="14">
        <v>0</v>
      </c>
      <c r="T242" s="14" t="str">
        <f t="shared" si="3"/>
        <v>No</v>
      </c>
    </row>
    <row r="243" spans="1:20" s="14" customFormat="1" ht="11.25">
      <c r="A243" s="14" t="s">
        <v>1211</v>
      </c>
      <c r="B243" s="14" t="s">
        <v>881</v>
      </c>
      <c r="C243" s="14" t="s">
        <v>77</v>
      </c>
      <c r="D243" s="169">
        <v>4094</v>
      </c>
      <c r="E243" s="170">
        <v>40094</v>
      </c>
      <c r="F243" s="14" t="s">
        <v>269</v>
      </c>
      <c r="G243" s="14" t="s">
        <v>149</v>
      </c>
      <c r="H243" s="23">
        <v>2148346</v>
      </c>
      <c r="I243" s="23">
        <v>58</v>
      </c>
      <c r="J243" s="14">
        <v>18</v>
      </c>
      <c r="L243" s="14">
        <v>0</v>
      </c>
      <c r="N243" s="24">
        <v>18</v>
      </c>
      <c r="P243" s="14">
        <v>33</v>
      </c>
      <c r="R243" s="14">
        <v>51</v>
      </c>
      <c r="T243" s="14" t="str">
        <f t="shared" si="3"/>
        <v>No</v>
      </c>
    </row>
    <row r="244" spans="1:20" s="14" customFormat="1" ht="11.25">
      <c r="A244" s="14" t="s">
        <v>498</v>
      </c>
      <c r="B244" s="14" t="s">
        <v>327</v>
      </c>
      <c r="C244" s="14" t="s">
        <v>35</v>
      </c>
      <c r="D244" s="169">
        <v>4180</v>
      </c>
      <c r="E244" s="170">
        <v>40180</v>
      </c>
      <c r="F244" s="14" t="s">
        <v>98</v>
      </c>
      <c r="G244" s="14" t="s">
        <v>149</v>
      </c>
      <c r="H244" s="23">
        <v>128754</v>
      </c>
      <c r="I244" s="23">
        <v>58</v>
      </c>
      <c r="J244" s="14">
        <v>0</v>
      </c>
      <c r="L244" s="14">
        <v>0</v>
      </c>
      <c r="N244" s="24">
        <v>0</v>
      </c>
      <c r="P244" s="14">
        <v>0</v>
      </c>
      <c r="R244" s="14">
        <v>0</v>
      </c>
      <c r="T244" s="14" t="str">
        <f t="shared" si="3"/>
        <v>No</v>
      </c>
    </row>
    <row r="245" spans="1:20" s="14" customFormat="1" ht="11.25">
      <c r="A245" s="14" t="s">
        <v>976</v>
      </c>
      <c r="B245" s="14" t="s">
        <v>977</v>
      </c>
      <c r="C245" s="14" t="s">
        <v>88</v>
      </c>
      <c r="D245" s="169">
        <v>5</v>
      </c>
      <c r="E245" s="170">
        <v>5</v>
      </c>
      <c r="F245" s="14" t="s">
        <v>152</v>
      </c>
      <c r="G245" s="14" t="s">
        <v>149</v>
      </c>
      <c r="H245" s="23">
        <v>3059393</v>
      </c>
      <c r="I245" s="23">
        <v>57</v>
      </c>
      <c r="J245" s="14">
        <v>3</v>
      </c>
      <c r="L245" s="14">
        <v>0</v>
      </c>
      <c r="N245" s="24">
        <v>3</v>
      </c>
      <c r="P245" s="14">
        <v>0</v>
      </c>
      <c r="R245" s="14">
        <v>0</v>
      </c>
      <c r="T245" s="14" t="str">
        <f t="shared" si="3"/>
        <v>No</v>
      </c>
    </row>
    <row r="246" spans="1:20" s="14" customFormat="1" ht="11.25">
      <c r="A246" s="14" t="s">
        <v>954</v>
      </c>
      <c r="B246" s="14" t="s">
        <v>955</v>
      </c>
      <c r="C246" s="14" t="s">
        <v>62</v>
      </c>
      <c r="D246" s="169">
        <v>2161</v>
      </c>
      <c r="E246" s="170">
        <v>20161</v>
      </c>
      <c r="F246" s="14" t="s">
        <v>148</v>
      </c>
      <c r="G246" s="14" t="s">
        <v>149</v>
      </c>
      <c r="H246" s="23">
        <v>18351295</v>
      </c>
      <c r="I246" s="23">
        <v>57</v>
      </c>
      <c r="J246" s="14">
        <v>0</v>
      </c>
      <c r="L246" s="14">
        <v>0</v>
      </c>
      <c r="N246" s="24">
        <v>0</v>
      </c>
      <c r="P246" s="14">
        <v>0</v>
      </c>
      <c r="R246" s="14">
        <v>0</v>
      </c>
      <c r="T246" s="14" t="str">
        <f t="shared" si="3"/>
        <v>No</v>
      </c>
    </row>
    <row r="247" spans="1:20" s="14" customFormat="1" ht="11.25">
      <c r="A247" s="14" t="s">
        <v>1099</v>
      </c>
      <c r="B247" s="14" t="s">
        <v>1100</v>
      </c>
      <c r="C247" s="14" t="s">
        <v>19</v>
      </c>
      <c r="D247" s="169">
        <v>9173</v>
      </c>
      <c r="E247" s="170">
        <v>90173</v>
      </c>
      <c r="F247" s="14" t="s">
        <v>160</v>
      </c>
      <c r="G247" s="14" t="s">
        <v>149</v>
      </c>
      <c r="H247" s="23">
        <v>136969</v>
      </c>
      <c r="I247" s="23">
        <v>56</v>
      </c>
      <c r="J247" s="14">
        <v>3</v>
      </c>
      <c r="L247" s="14">
        <v>0</v>
      </c>
      <c r="N247" s="24">
        <v>3</v>
      </c>
      <c r="P247" s="14">
        <v>0</v>
      </c>
      <c r="R247" s="14">
        <v>0</v>
      </c>
      <c r="T247" s="14" t="str">
        <f t="shared" si="3"/>
        <v>No</v>
      </c>
    </row>
    <row r="248" spans="1:20" s="14" customFormat="1" ht="11.25">
      <c r="A248" s="14" t="s">
        <v>653</v>
      </c>
      <c r="B248" s="14" t="s">
        <v>654</v>
      </c>
      <c r="C248" s="14" t="s">
        <v>37</v>
      </c>
      <c r="D248" s="169">
        <v>7049</v>
      </c>
      <c r="E248" s="170">
        <v>70049</v>
      </c>
      <c r="F248" s="14" t="s">
        <v>197</v>
      </c>
      <c r="G248" s="14" t="s">
        <v>149</v>
      </c>
      <c r="H248" s="23">
        <v>280051</v>
      </c>
      <c r="I248" s="23">
        <v>56</v>
      </c>
      <c r="J248" s="14">
        <v>0</v>
      </c>
      <c r="L248" s="14">
        <v>0</v>
      </c>
      <c r="N248" s="24">
        <v>0</v>
      </c>
      <c r="P248" s="14">
        <v>0</v>
      </c>
      <c r="R248" s="14">
        <v>0</v>
      </c>
      <c r="T248" s="14" t="str">
        <f t="shared" si="3"/>
        <v>No</v>
      </c>
    </row>
    <row r="249" spans="1:20" s="14" customFormat="1" ht="11.25">
      <c r="A249" s="14" t="s">
        <v>649</v>
      </c>
      <c r="B249" s="14" t="s">
        <v>650</v>
      </c>
      <c r="C249" s="14" t="s">
        <v>69</v>
      </c>
      <c r="D249" s="169">
        <v>2003</v>
      </c>
      <c r="E249" s="170">
        <v>20003</v>
      </c>
      <c r="F249" s="14" t="s">
        <v>152</v>
      </c>
      <c r="G249" s="14" t="s">
        <v>149</v>
      </c>
      <c r="H249" s="23">
        <v>158084</v>
      </c>
      <c r="I249" s="23">
        <v>55</v>
      </c>
      <c r="J249" s="14">
        <v>1</v>
      </c>
      <c r="L249" s="14">
        <v>0</v>
      </c>
      <c r="N249" s="24">
        <v>1</v>
      </c>
      <c r="P249" s="14">
        <v>1</v>
      </c>
      <c r="R249" s="14">
        <v>0</v>
      </c>
      <c r="T249" s="14" t="str">
        <f t="shared" si="3"/>
        <v>No</v>
      </c>
    </row>
    <row r="250" spans="1:20" s="14" customFormat="1" ht="11.25">
      <c r="A250" s="14" t="s">
        <v>628</v>
      </c>
      <c r="B250" s="14" t="s">
        <v>629</v>
      </c>
      <c r="C250" s="14" t="s">
        <v>16</v>
      </c>
      <c r="D250" s="169">
        <v>9233</v>
      </c>
      <c r="E250" s="170">
        <v>90233</v>
      </c>
      <c r="F250" s="14" t="s">
        <v>160</v>
      </c>
      <c r="G250" s="14" t="s">
        <v>149</v>
      </c>
      <c r="H250" s="23">
        <v>135267</v>
      </c>
      <c r="I250" s="23">
        <v>55</v>
      </c>
      <c r="J250" s="14">
        <v>1</v>
      </c>
      <c r="L250" s="14">
        <v>0</v>
      </c>
      <c r="N250" s="24">
        <v>1</v>
      </c>
      <c r="P250" s="14">
        <v>0</v>
      </c>
      <c r="R250" s="14">
        <v>0</v>
      </c>
      <c r="T250" s="14" t="str">
        <f t="shared" si="3"/>
        <v>No</v>
      </c>
    </row>
    <row r="251" spans="1:20" s="14" customFormat="1" ht="11.25">
      <c r="A251" s="14" t="s">
        <v>341</v>
      </c>
      <c r="B251" s="14" t="s">
        <v>342</v>
      </c>
      <c r="C251" s="14" t="s">
        <v>19</v>
      </c>
      <c r="D251" s="169">
        <v>9205</v>
      </c>
      <c r="E251" s="170">
        <v>90205</v>
      </c>
      <c r="F251" s="14" t="s">
        <v>152</v>
      </c>
      <c r="G251" s="14" t="s">
        <v>149</v>
      </c>
      <c r="H251" s="23">
        <v>1723634</v>
      </c>
      <c r="I251" s="23">
        <v>54</v>
      </c>
      <c r="J251" s="14">
        <v>2</v>
      </c>
      <c r="L251" s="14">
        <v>0</v>
      </c>
      <c r="N251" s="24">
        <v>2</v>
      </c>
      <c r="P251" s="14">
        <v>0</v>
      </c>
      <c r="R251" s="14">
        <v>0</v>
      </c>
      <c r="T251" s="14" t="str">
        <f t="shared" si="3"/>
        <v>No</v>
      </c>
    </row>
    <row r="252" spans="1:20" s="14" customFormat="1" ht="11.25">
      <c r="A252" s="14" t="s">
        <v>513</v>
      </c>
      <c r="B252" s="14" t="s">
        <v>275</v>
      </c>
      <c r="C252" s="14" t="s">
        <v>81</v>
      </c>
      <c r="D252" s="169">
        <v>4141</v>
      </c>
      <c r="E252" s="170">
        <v>40141</v>
      </c>
      <c r="F252" s="14" t="s">
        <v>160</v>
      </c>
      <c r="G252" s="14" t="s">
        <v>149</v>
      </c>
      <c r="H252" s="23">
        <v>549777</v>
      </c>
      <c r="I252" s="23">
        <v>54</v>
      </c>
      <c r="J252" s="14">
        <v>1</v>
      </c>
      <c r="L252" s="14">
        <v>0</v>
      </c>
      <c r="N252" s="24">
        <v>1</v>
      </c>
      <c r="P252" s="14">
        <v>0</v>
      </c>
      <c r="R252" s="14">
        <v>0</v>
      </c>
      <c r="T252" s="14" t="str">
        <f t="shared" si="3"/>
        <v>No</v>
      </c>
    </row>
    <row r="253" spans="1:20" s="14" customFormat="1" ht="11.25">
      <c r="A253" s="14" t="s">
        <v>549</v>
      </c>
      <c r="B253" s="14" t="s">
        <v>307</v>
      </c>
      <c r="C253" s="14" t="s">
        <v>43</v>
      </c>
      <c r="D253" s="169">
        <v>4191</v>
      </c>
      <c r="E253" s="170">
        <v>40191</v>
      </c>
      <c r="F253" s="14" t="s">
        <v>160</v>
      </c>
      <c r="G253" s="14" t="s">
        <v>149</v>
      </c>
      <c r="H253" s="23">
        <v>73467</v>
      </c>
      <c r="I253" s="23">
        <v>54</v>
      </c>
      <c r="J253" s="14">
        <v>0</v>
      </c>
      <c r="L253" s="14">
        <v>0</v>
      </c>
      <c r="N253" s="24">
        <v>0</v>
      </c>
      <c r="P253" s="14">
        <v>0</v>
      </c>
      <c r="R253" s="14">
        <v>0</v>
      </c>
      <c r="T253" s="14" t="str">
        <f t="shared" si="3"/>
        <v>No</v>
      </c>
    </row>
    <row r="254" spans="1:20" s="14" customFormat="1" ht="11.25">
      <c r="A254" s="14" t="s">
        <v>64</v>
      </c>
      <c r="B254" s="14" t="s">
        <v>242</v>
      </c>
      <c r="C254" s="14" t="s">
        <v>62</v>
      </c>
      <c r="D254" s="169">
        <v>2163</v>
      </c>
      <c r="E254" s="170">
        <v>20163</v>
      </c>
      <c r="F254" s="14" t="s">
        <v>148</v>
      </c>
      <c r="G254" s="14" t="s">
        <v>149</v>
      </c>
      <c r="H254" s="23">
        <v>18351295</v>
      </c>
      <c r="I254" s="23">
        <v>54</v>
      </c>
      <c r="J254" s="14">
        <v>1</v>
      </c>
      <c r="L254" s="14">
        <v>0</v>
      </c>
      <c r="N254" s="24">
        <v>1</v>
      </c>
      <c r="P254" s="14">
        <v>0</v>
      </c>
      <c r="R254" s="14">
        <v>0</v>
      </c>
      <c r="T254" s="14" t="str">
        <f t="shared" si="3"/>
        <v>No</v>
      </c>
    </row>
    <row r="255" spans="1:20" s="14" customFormat="1" ht="11.25">
      <c r="A255" s="14" t="s">
        <v>377</v>
      </c>
      <c r="B255" s="14" t="s">
        <v>378</v>
      </c>
      <c r="C255" s="14" t="s">
        <v>84</v>
      </c>
      <c r="D255" s="169">
        <v>6102</v>
      </c>
      <c r="E255" s="170">
        <v>60102</v>
      </c>
      <c r="F255" s="14" t="s">
        <v>160</v>
      </c>
      <c r="G255" s="14" t="s">
        <v>149</v>
      </c>
      <c r="H255" s="23">
        <v>92984</v>
      </c>
      <c r="I255" s="23">
        <v>53</v>
      </c>
      <c r="J255" s="14">
        <v>1</v>
      </c>
      <c r="L255" s="14">
        <v>0</v>
      </c>
      <c r="N255" s="24">
        <v>1</v>
      </c>
      <c r="P255" s="14">
        <v>0</v>
      </c>
      <c r="R255" s="14">
        <v>0</v>
      </c>
      <c r="T255" s="14" t="str">
        <f t="shared" si="3"/>
        <v>No</v>
      </c>
    </row>
    <row r="256" spans="1:20" s="14" customFormat="1" ht="11.25">
      <c r="A256" s="14" t="s">
        <v>1294</v>
      </c>
      <c r="B256" s="14" t="s">
        <v>1295</v>
      </c>
      <c r="C256" s="14" t="s">
        <v>52</v>
      </c>
      <c r="D256" s="169">
        <v>5028</v>
      </c>
      <c r="E256" s="170">
        <v>50028</v>
      </c>
      <c r="F256" s="14" t="s">
        <v>160</v>
      </c>
      <c r="G256" s="14" t="s">
        <v>149</v>
      </c>
      <c r="H256" s="23">
        <v>110621</v>
      </c>
      <c r="I256" s="23">
        <v>53</v>
      </c>
      <c r="J256" s="14">
        <v>3</v>
      </c>
      <c r="L256" s="14">
        <v>0</v>
      </c>
      <c r="N256" s="24">
        <v>3</v>
      </c>
      <c r="P256" s="14">
        <v>0</v>
      </c>
      <c r="R256" s="14">
        <v>0</v>
      </c>
      <c r="T256" s="14" t="str">
        <f t="shared" si="3"/>
        <v>No</v>
      </c>
    </row>
    <row r="257" spans="1:20" s="14" customFormat="1" ht="11.25">
      <c r="A257" s="14" t="s">
        <v>659</v>
      </c>
      <c r="B257" s="14" t="s">
        <v>660</v>
      </c>
      <c r="C257" s="14" t="s">
        <v>75</v>
      </c>
      <c r="D257" s="169">
        <v>3012</v>
      </c>
      <c r="E257" s="170">
        <v>30012</v>
      </c>
      <c r="F257" s="14" t="s">
        <v>160</v>
      </c>
      <c r="G257" s="14" t="s">
        <v>149</v>
      </c>
      <c r="H257" s="23">
        <v>69014</v>
      </c>
      <c r="I257" s="23">
        <v>53</v>
      </c>
      <c r="J257" s="14">
        <v>3</v>
      </c>
      <c r="L257" s="14">
        <v>0</v>
      </c>
      <c r="N257" s="24">
        <v>3</v>
      </c>
      <c r="P257" s="14">
        <v>2</v>
      </c>
      <c r="R257" s="14">
        <v>0</v>
      </c>
      <c r="T257" s="14" t="str">
        <f t="shared" si="3"/>
        <v>No</v>
      </c>
    </row>
    <row r="258" spans="1:20" s="14" customFormat="1" ht="11.25">
      <c r="A258" s="14" t="s">
        <v>1011</v>
      </c>
      <c r="B258" s="14" t="s">
        <v>374</v>
      </c>
      <c r="C258" s="14" t="s">
        <v>86</v>
      </c>
      <c r="D258" s="169">
        <v>3007</v>
      </c>
      <c r="E258" s="170">
        <v>30007</v>
      </c>
      <c r="F258" s="14" t="s">
        <v>348</v>
      </c>
      <c r="G258" s="14" t="s">
        <v>149</v>
      </c>
      <c r="H258" s="23">
        <v>210111</v>
      </c>
      <c r="I258" s="23">
        <v>53</v>
      </c>
      <c r="J258" s="14">
        <v>1</v>
      </c>
      <c r="L258" s="14">
        <v>0</v>
      </c>
      <c r="N258" s="24">
        <v>1</v>
      </c>
      <c r="P258" s="14">
        <v>1</v>
      </c>
      <c r="R258" s="14">
        <v>0</v>
      </c>
      <c r="T258" s="14" t="str">
        <f t="shared" si="3"/>
        <v>No</v>
      </c>
    </row>
    <row r="259" spans="1:20" s="14" customFormat="1" ht="11.25">
      <c r="A259" s="14" t="s">
        <v>1640</v>
      </c>
      <c r="B259" s="14" t="s">
        <v>229</v>
      </c>
      <c r="C259" s="14" t="s">
        <v>31</v>
      </c>
      <c r="D259" s="169">
        <v>3112</v>
      </c>
      <c r="E259" s="170">
        <v>30112</v>
      </c>
      <c r="F259" s="14" t="s">
        <v>269</v>
      </c>
      <c r="G259" s="14" t="s">
        <v>149</v>
      </c>
      <c r="H259" s="23">
        <v>4586770</v>
      </c>
      <c r="I259" s="23">
        <v>53</v>
      </c>
      <c r="J259" s="14">
        <v>0</v>
      </c>
      <c r="L259" s="14">
        <v>0</v>
      </c>
      <c r="N259" s="24">
        <v>0</v>
      </c>
      <c r="P259" s="14">
        <v>0</v>
      </c>
      <c r="R259" s="14">
        <v>0</v>
      </c>
      <c r="T259" s="14" t="str">
        <f t="shared" ref="T259:T322" si="4">IF(S259&amp;Q259&amp;O259&amp;M259&amp;K259&lt;&gt;"","Yes","No")</f>
        <v>No</v>
      </c>
    </row>
    <row r="260" spans="1:20" s="14" customFormat="1" ht="11.25">
      <c r="A260" s="14" t="s">
        <v>588</v>
      </c>
      <c r="B260" s="14" t="s">
        <v>283</v>
      </c>
      <c r="C260" s="14" t="s">
        <v>51</v>
      </c>
      <c r="D260" s="169">
        <v>5029</v>
      </c>
      <c r="E260" s="170">
        <v>50029</v>
      </c>
      <c r="F260" s="14" t="s">
        <v>160</v>
      </c>
      <c r="G260" s="14" t="s">
        <v>149</v>
      </c>
      <c r="H260" s="23">
        <v>70585</v>
      </c>
      <c r="I260" s="23">
        <v>52</v>
      </c>
      <c r="J260" s="14">
        <v>1</v>
      </c>
      <c r="L260" s="14">
        <v>0</v>
      </c>
      <c r="N260" s="24">
        <v>1</v>
      </c>
      <c r="P260" s="14">
        <v>0</v>
      </c>
      <c r="R260" s="14">
        <v>0</v>
      </c>
      <c r="T260" s="14" t="str">
        <f t="shared" si="4"/>
        <v>No</v>
      </c>
    </row>
    <row r="261" spans="1:20" s="14" customFormat="1" ht="11.25">
      <c r="A261" s="14" t="s">
        <v>1062</v>
      </c>
      <c r="B261" s="14" t="s">
        <v>1063</v>
      </c>
      <c r="C261" s="14" t="s">
        <v>84</v>
      </c>
      <c r="D261" s="169">
        <v>6009</v>
      </c>
      <c r="E261" s="170">
        <v>60009</v>
      </c>
      <c r="F261" s="14" t="s">
        <v>152</v>
      </c>
      <c r="G261" s="14" t="s">
        <v>149</v>
      </c>
      <c r="H261" s="23">
        <v>235730</v>
      </c>
      <c r="I261" s="23">
        <v>52</v>
      </c>
      <c r="J261" s="14">
        <v>2</v>
      </c>
      <c r="L261" s="14">
        <v>0</v>
      </c>
      <c r="N261" s="24">
        <v>2</v>
      </c>
      <c r="P261" s="14">
        <v>0</v>
      </c>
      <c r="R261" s="14">
        <v>0</v>
      </c>
      <c r="T261" s="14" t="str">
        <f t="shared" si="4"/>
        <v>No</v>
      </c>
    </row>
    <row r="262" spans="1:20" s="14" customFormat="1" ht="11.25">
      <c r="A262" s="14" t="s">
        <v>1834</v>
      </c>
      <c r="B262" s="14" t="s">
        <v>1328</v>
      </c>
      <c r="C262" s="14" t="s">
        <v>75</v>
      </c>
      <c r="D262" s="169">
        <v>2169</v>
      </c>
      <c r="E262" s="170">
        <v>20169</v>
      </c>
      <c r="F262" s="14" t="s">
        <v>148</v>
      </c>
      <c r="G262" s="14" t="s">
        <v>149</v>
      </c>
      <c r="H262" s="23">
        <v>18351295</v>
      </c>
      <c r="I262" s="23">
        <v>52</v>
      </c>
      <c r="J262" s="14">
        <v>5</v>
      </c>
      <c r="L262" s="14">
        <v>0</v>
      </c>
      <c r="N262" s="24">
        <v>5</v>
      </c>
      <c r="P262" s="14">
        <v>0</v>
      </c>
      <c r="R262" s="14">
        <v>0</v>
      </c>
      <c r="T262" s="14" t="str">
        <f t="shared" si="4"/>
        <v>No</v>
      </c>
    </row>
    <row r="263" spans="1:20" s="14" customFormat="1" ht="11.25">
      <c r="A263" s="14" t="s">
        <v>1230</v>
      </c>
      <c r="B263" s="14" t="s">
        <v>1231</v>
      </c>
      <c r="C263" s="14" t="s">
        <v>39</v>
      </c>
      <c r="D263" s="169">
        <v>5058</v>
      </c>
      <c r="E263" s="170">
        <v>50058</v>
      </c>
      <c r="F263" s="14" t="s">
        <v>160</v>
      </c>
      <c r="G263" s="14" t="s">
        <v>149</v>
      </c>
      <c r="H263" s="23">
        <v>296863</v>
      </c>
      <c r="I263" s="23">
        <v>51</v>
      </c>
      <c r="J263" s="14">
        <v>2</v>
      </c>
      <c r="L263" s="14">
        <v>0</v>
      </c>
      <c r="N263" s="24">
        <v>2</v>
      </c>
      <c r="P263" s="14">
        <v>0</v>
      </c>
      <c r="R263" s="14">
        <v>0</v>
      </c>
      <c r="T263" s="14" t="str">
        <f t="shared" si="4"/>
        <v>No</v>
      </c>
    </row>
    <row r="264" spans="1:20" s="14" customFormat="1" ht="11.25">
      <c r="A264" s="14" t="s">
        <v>971</v>
      </c>
      <c r="B264" s="14" t="s">
        <v>972</v>
      </c>
      <c r="C264" s="14" t="s">
        <v>92</v>
      </c>
      <c r="D264" s="169">
        <v>5099</v>
      </c>
      <c r="E264" s="170">
        <v>50099</v>
      </c>
      <c r="F264" s="14" t="s">
        <v>152</v>
      </c>
      <c r="G264" s="14" t="s">
        <v>149</v>
      </c>
      <c r="H264" s="23">
        <v>102852</v>
      </c>
      <c r="I264" s="23">
        <v>50</v>
      </c>
      <c r="J264" s="14">
        <v>1</v>
      </c>
      <c r="L264" s="14">
        <v>0</v>
      </c>
      <c r="N264" s="24">
        <v>1</v>
      </c>
      <c r="P264" s="14">
        <v>0</v>
      </c>
      <c r="R264" s="14">
        <v>0</v>
      </c>
      <c r="T264" s="14" t="str">
        <f t="shared" si="4"/>
        <v>No</v>
      </c>
    </row>
    <row r="265" spans="1:20" s="14" customFormat="1" ht="11.25">
      <c r="A265" s="14" t="s">
        <v>1371</v>
      </c>
      <c r="B265" s="14" t="s">
        <v>1372</v>
      </c>
      <c r="C265" s="14" t="s">
        <v>71</v>
      </c>
      <c r="D265" s="169">
        <v>5024</v>
      </c>
      <c r="E265" s="170">
        <v>50024</v>
      </c>
      <c r="F265" s="14" t="s">
        <v>160</v>
      </c>
      <c r="G265" s="14" t="s">
        <v>149</v>
      </c>
      <c r="H265" s="23">
        <v>387550</v>
      </c>
      <c r="I265" s="23">
        <v>50</v>
      </c>
      <c r="J265" s="14">
        <v>1</v>
      </c>
      <c r="L265" s="14">
        <v>0</v>
      </c>
      <c r="N265" s="24">
        <v>1</v>
      </c>
      <c r="P265" s="14">
        <v>0</v>
      </c>
      <c r="R265" s="14">
        <v>0</v>
      </c>
      <c r="T265" s="14" t="str">
        <f t="shared" si="4"/>
        <v>No</v>
      </c>
    </row>
    <row r="266" spans="1:20" s="14" customFormat="1" ht="11.25">
      <c r="A266" s="14" t="s">
        <v>1082</v>
      </c>
      <c r="B266" s="14" t="s">
        <v>1083</v>
      </c>
      <c r="C266" s="14" t="s">
        <v>84</v>
      </c>
      <c r="D266" s="169">
        <v>6090</v>
      </c>
      <c r="E266" s="170">
        <v>60090</v>
      </c>
      <c r="F266" s="14" t="s">
        <v>188</v>
      </c>
      <c r="G266" s="14" t="s">
        <v>149</v>
      </c>
      <c r="H266" s="23">
        <v>728825</v>
      </c>
      <c r="I266" s="23">
        <v>50</v>
      </c>
      <c r="J266" s="14">
        <v>6</v>
      </c>
      <c r="L266" s="14">
        <v>2</v>
      </c>
      <c r="N266" s="24">
        <v>8</v>
      </c>
      <c r="P266" s="14">
        <v>0</v>
      </c>
      <c r="R266" s="14">
        <v>0</v>
      </c>
      <c r="T266" s="14" t="str">
        <f t="shared" si="4"/>
        <v>No</v>
      </c>
    </row>
    <row r="267" spans="1:20" s="14" customFormat="1" ht="11.25">
      <c r="A267" s="14" t="s">
        <v>1835</v>
      </c>
      <c r="B267" s="14" t="s">
        <v>496</v>
      </c>
      <c r="C267" s="14" t="s">
        <v>28</v>
      </c>
      <c r="D267" s="169">
        <v>8011</v>
      </c>
      <c r="E267" s="170">
        <v>80011</v>
      </c>
      <c r="F267" s="14" t="s">
        <v>152</v>
      </c>
      <c r="G267" s="14" t="s">
        <v>149</v>
      </c>
      <c r="H267" s="23">
        <v>264465</v>
      </c>
      <c r="I267" s="23">
        <v>50</v>
      </c>
      <c r="J267" s="14">
        <v>5</v>
      </c>
      <c r="L267" s="14">
        <v>0</v>
      </c>
      <c r="N267" s="24">
        <v>5</v>
      </c>
      <c r="P267" s="14">
        <v>0</v>
      </c>
      <c r="R267" s="14">
        <v>0</v>
      </c>
      <c r="T267" s="14" t="str">
        <f t="shared" si="4"/>
        <v>No</v>
      </c>
    </row>
    <row r="268" spans="1:20" s="14" customFormat="1" ht="11.25">
      <c r="A268" s="14" t="s">
        <v>1258</v>
      </c>
      <c r="B268" s="14" t="s">
        <v>1259</v>
      </c>
      <c r="C268" s="14" t="s">
        <v>81</v>
      </c>
      <c r="D268" s="169">
        <v>4100</v>
      </c>
      <c r="E268" s="170">
        <v>40100</v>
      </c>
      <c r="F268" s="14" t="s">
        <v>160</v>
      </c>
      <c r="G268" s="14" t="s">
        <v>149</v>
      </c>
      <c r="H268" s="23">
        <v>73107</v>
      </c>
      <c r="I268" s="23">
        <v>50</v>
      </c>
      <c r="J268" s="14">
        <v>2</v>
      </c>
      <c r="L268" s="14">
        <v>0</v>
      </c>
      <c r="N268" s="24">
        <v>2</v>
      </c>
      <c r="P268" s="14">
        <v>0</v>
      </c>
      <c r="R268" s="14">
        <v>0</v>
      </c>
      <c r="T268" s="14" t="str">
        <f t="shared" si="4"/>
        <v>No</v>
      </c>
    </row>
    <row r="269" spans="1:20" s="14" customFormat="1" ht="11.25">
      <c r="A269" s="14" t="s">
        <v>1368</v>
      </c>
      <c r="B269" s="14" t="s">
        <v>1369</v>
      </c>
      <c r="C269" s="14" t="s">
        <v>19</v>
      </c>
      <c r="D269" s="169">
        <v>9159</v>
      </c>
      <c r="E269" s="170">
        <v>90159</v>
      </c>
      <c r="F269" s="14" t="s">
        <v>160</v>
      </c>
      <c r="G269" s="14" t="s">
        <v>149</v>
      </c>
      <c r="H269" s="23">
        <v>3281212</v>
      </c>
      <c r="I269" s="23">
        <v>50</v>
      </c>
      <c r="J269" s="14">
        <v>5</v>
      </c>
      <c r="L269" s="14">
        <v>0</v>
      </c>
      <c r="N269" s="24">
        <v>5</v>
      </c>
      <c r="P269" s="14">
        <v>2</v>
      </c>
      <c r="R269" s="14">
        <v>2</v>
      </c>
      <c r="T269" s="14" t="str">
        <f t="shared" si="4"/>
        <v>No</v>
      </c>
    </row>
    <row r="270" spans="1:20" s="14" customFormat="1" ht="11.25">
      <c r="A270" s="14" t="s">
        <v>1836</v>
      </c>
      <c r="B270" s="14" t="s">
        <v>875</v>
      </c>
      <c r="C270" s="14" t="s">
        <v>69</v>
      </c>
      <c r="D270" s="169">
        <v>2010</v>
      </c>
      <c r="E270" s="170">
        <v>20010</v>
      </c>
      <c r="F270" s="14" t="s">
        <v>152</v>
      </c>
      <c r="G270" s="14" t="s">
        <v>149</v>
      </c>
      <c r="H270" s="23">
        <v>423566</v>
      </c>
      <c r="I270" s="23">
        <v>49</v>
      </c>
      <c r="J270" s="14">
        <v>1</v>
      </c>
      <c r="L270" s="14">
        <v>0</v>
      </c>
      <c r="N270" s="24">
        <v>1</v>
      </c>
      <c r="P270" s="14">
        <v>0</v>
      </c>
      <c r="R270" s="14">
        <v>0</v>
      </c>
      <c r="T270" s="14" t="str">
        <f t="shared" si="4"/>
        <v>No</v>
      </c>
    </row>
    <row r="271" spans="1:20" s="14" customFormat="1" ht="11.25">
      <c r="A271" s="14" t="s">
        <v>1206</v>
      </c>
      <c r="B271" s="14" t="s">
        <v>1207</v>
      </c>
      <c r="C271" s="14" t="s">
        <v>71</v>
      </c>
      <c r="D271" s="169">
        <v>5021</v>
      </c>
      <c r="E271" s="170">
        <v>50021</v>
      </c>
      <c r="F271" s="14" t="s">
        <v>160</v>
      </c>
      <c r="G271" s="14" t="s">
        <v>149</v>
      </c>
      <c r="H271" s="23">
        <v>569499</v>
      </c>
      <c r="I271" s="23">
        <v>49</v>
      </c>
      <c r="J271" s="14">
        <v>2</v>
      </c>
      <c r="L271" s="14">
        <v>0</v>
      </c>
      <c r="N271" s="24">
        <v>2</v>
      </c>
      <c r="P271" s="14">
        <v>2</v>
      </c>
      <c r="R271" s="14">
        <v>0</v>
      </c>
      <c r="T271" s="14" t="str">
        <f t="shared" si="4"/>
        <v>No</v>
      </c>
    </row>
    <row r="272" spans="1:20" s="14" customFormat="1" ht="11.25">
      <c r="A272" s="14" t="s">
        <v>1837</v>
      </c>
      <c r="B272" s="14" t="s">
        <v>465</v>
      </c>
      <c r="C272" s="14" t="s">
        <v>57</v>
      </c>
      <c r="D272" s="169">
        <v>4172</v>
      </c>
      <c r="E272" s="170">
        <v>40172</v>
      </c>
      <c r="F272" s="14" t="s">
        <v>160</v>
      </c>
      <c r="G272" s="14" t="s">
        <v>149</v>
      </c>
      <c r="H272" s="23">
        <v>212195</v>
      </c>
      <c r="I272" s="23">
        <v>49</v>
      </c>
      <c r="J272" s="14">
        <v>1</v>
      </c>
      <c r="L272" s="14">
        <v>0</v>
      </c>
      <c r="N272" s="24">
        <v>1</v>
      </c>
      <c r="P272" s="14">
        <v>0</v>
      </c>
      <c r="R272" s="14">
        <v>0</v>
      </c>
      <c r="T272" s="14" t="str">
        <f t="shared" si="4"/>
        <v>No</v>
      </c>
    </row>
    <row r="273" spans="1:20" s="14" customFormat="1" ht="11.25">
      <c r="A273" s="14" t="s">
        <v>793</v>
      </c>
      <c r="B273" s="14" t="s">
        <v>794</v>
      </c>
      <c r="C273" s="14" t="s">
        <v>19</v>
      </c>
      <c r="D273" s="169">
        <v>9042</v>
      </c>
      <c r="E273" s="170">
        <v>90042</v>
      </c>
      <c r="F273" s="14" t="s">
        <v>152</v>
      </c>
      <c r="G273" s="14" t="s">
        <v>149</v>
      </c>
      <c r="H273" s="23">
        <v>12150996</v>
      </c>
      <c r="I273" s="23">
        <v>49</v>
      </c>
      <c r="J273" s="14">
        <v>1</v>
      </c>
      <c r="L273" s="14">
        <v>0</v>
      </c>
      <c r="N273" s="24">
        <v>1</v>
      </c>
      <c r="P273" s="14">
        <v>0</v>
      </c>
      <c r="R273" s="14">
        <v>0</v>
      </c>
      <c r="T273" s="14" t="str">
        <f t="shared" si="4"/>
        <v>No</v>
      </c>
    </row>
    <row r="274" spans="1:20" s="14" customFormat="1" ht="11.25">
      <c r="A274" s="14" t="s">
        <v>945</v>
      </c>
      <c r="B274" s="14" t="s">
        <v>946</v>
      </c>
      <c r="C274" s="14" t="s">
        <v>19</v>
      </c>
      <c r="D274" s="169">
        <v>9039</v>
      </c>
      <c r="E274" s="170">
        <v>90039</v>
      </c>
      <c r="F274" s="14" t="s">
        <v>152</v>
      </c>
      <c r="G274" s="14" t="s">
        <v>149</v>
      </c>
      <c r="H274" s="23">
        <v>12150996</v>
      </c>
      <c r="I274" s="23">
        <v>49</v>
      </c>
      <c r="J274" s="14">
        <v>0</v>
      </c>
      <c r="L274" s="14">
        <v>0</v>
      </c>
      <c r="N274" s="24">
        <v>0</v>
      </c>
      <c r="P274" s="14">
        <v>0</v>
      </c>
      <c r="R274" s="14">
        <v>0</v>
      </c>
      <c r="T274" s="14" t="str">
        <f t="shared" si="4"/>
        <v>No</v>
      </c>
    </row>
    <row r="275" spans="1:20" s="14" customFormat="1" ht="11.25">
      <c r="A275" s="14" t="s">
        <v>1385</v>
      </c>
      <c r="B275" s="14" t="s">
        <v>1386</v>
      </c>
      <c r="C275" s="14" t="s">
        <v>19</v>
      </c>
      <c r="D275" s="169">
        <v>9090</v>
      </c>
      <c r="E275" s="170">
        <v>90090</v>
      </c>
      <c r="F275" s="14" t="s">
        <v>160</v>
      </c>
      <c r="G275" s="14" t="s">
        <v>149</v>
      </c>
      <c r="H275" s="23">
        <v>1723634</v>
      </c>
      <c r="I275" s="23">
        <v>48</v>
      </c>
      <c r="J275" s="14">
        <v>0</v>
      </c>
      <c r="L275" s="14">
        <v>0</v>
      </c>
      <c r="N275" s="24">
        <v>0</v>
      </c>
      <c r="P275" s="14">
        <v>0</v>
      </c>
      <c r="R275" s="14">
        <v>0</v>
      </c>
      <c r="T275" s="14" t="str">
        <f t="shared" si="4"/>
        <v>No</v>
      </c>
    </row>
    <row r="276" spans="1:20" s="14" customFormat="1" ht="11.25">
      <c r="A276" s="14" t="s">
        <v>1274</v>
      </c>
      <c r="B276" s="14" t="s">
        <v>1022</v>
      </c>
      <c r="C276" s="14" t="s">
        <v>40</v>
      </c>
      <c r="D276" s="169">
        <v>5052</v>
      </c>
      <c r="E276" s="170">
        <v>50052</v>
      </c>
      <c r="F276" s="14" t="s">
        <v>160</v>
      </c>
      <c r="G276" s="14" t="s">
        <v>149</v>
      </c>
      <c r="H276" s="23">
        <v>278165</v>
      </c>
      <c r="I276" s="23">
        <v>48</v>
      </c>
      <c r="J276" s="14">
        <v>2</v>
      </c>
      <c r="L276" s="14">
        <v>0</v>
      </c>
      <c r="N276" s="24">
        <v>2</v>
      </c>
      <c r="P276" s="14">
        <v>2</v>
      </c>
      <c r="R276" s="14">
        <v>0</v>
      </c>
      <c r="T276" s="14" t="str">
        <f t="shared" si="4"/>
        <v>No</v>
      </c>
    </row>
    <row r="277" spans="1:20" s="14" customFormat="1" ht="11.25">
      <c r="A277" s="14" t="s">
        <v>362</v>
      </c>
      <c r="B277" s="14" t="s">
        <v>363</v>
      </c>
      <c r="C277" s="14" t="s">
        <v>19</v>
      </c>
      <c r="D277" s="169">
        <v>9208</v>
      </c>
      <c r="E277" s="170">
        <v>90208</v>
      </c>
      <c r="F277" s="14" t="s">
        <v>188</v>
      </c>
      <c r="G277" s="14" t="s">
        <v>149</v>
      </c>
      <c r="H277" s="23">
        <v>98176</v>
      </c>
      <c r="I277" s="23">
        <v>47</v>
      </c>
      <c r="J277" s="14">
        <v>0</v>
      </c>
      <c r="L277" s="14">
        <v>0</v>
      </c>
      <c r="N277" s="24">
        <v>0</v>
      </c>
      <c r="P277" s="14">
        <v>0</v>
      </c>
      <c r="R277" s="14">
        <v>0</v>
      </c>
      <c r="T277" s="14" t="str">
        <f t="shared" si="4"/>
        <v>No</v>
      </c>
    </row>
    <row r="278" spans="1:20" s="14" customFormat="1" ht="11.25">
      <c r="A278" s="14" t="s">
        <v>343</v>
      </c>
      <c r="B278" s="14" t="s">
        <v>344</v>
      </c>
      <c r="C278" s="14" t="s">
        <v>19</v>
      </c>
      <c r="D278" s="169">
        <v>9206</v>
      </c>
      <c r="E278" s="170">
        <v>90206</v>
      </c>
      <c r="F278" s="14" t="s">
        <v>160</v>
      </c>
      <c r="G278" s="14" t="s">
        <v>149</v>
      </c>
      <c r="H278" s="23">
        <v>59219</v>
      </c>
      <c r="I278" s="23">
        <v>47</v>
      </c>
      <c r="J278" s="14">
        <v>0</v>
      </c>
      <c r="L278" s="14">
        <v>0</v>
      </c>
      <c r="N278" s="24">
        <v>0</v>
      </c>
      <c r="P278" s="14">
        <v>0</v>
      </c>
      <c r="R278" s="14">
        <v>0</v>
      </c>
      <c r="T278" s="14" t="str">
        <f t="shared" si="4"/>
        <v>No</v>
      </c>
    </row>
    <row r="279" spans="1:20" s="14" customFormat="1" ht="11.25">
      <c r="A279" s="14" t="s">
        <v>1050</v>
      </c>
      <c r="B279" s="14" t="s">
        <v>251</v>
      </c>
      <c r="C279" s="14" t="s">
        <v>95</v>
      </c>
      <c r="D279" s="169">
        <v>3001</v>
      </c>
      <c r="E279" s="170">
        <v>30001</v>
      </c>
      <c r="F279" s="14" t="s">
        <v>160</v>
      </c>
      <c r="G279" s="14" t="s">
        <v>149</v>
      </c>
      <c r="H279" s="23">
        <v>153199</v>
      </c>
      <c r="I279" s="23">
        <v>47</v>
      </c>
      <c r="J279" s="14">
        <v>3</v>
      </c>
      <c r="L279" s="14">
        <v>0</v>
      </c>
      <c r="N279" s="24">
        <v>3</v>
      </c>
      <c r="P279" s="14">
        <v>1</v>
      </c>
      <c r="R279" s="14">
        <v>0</v>
      </c>
      <c r="T279" s="14" t="str">
        <f t="shared" si="4"/>
        <v>No</v>
      </c>
    </row>
    <row r="280" spans="1:20" s="14" customFormat="1" ht="11.25">
      <c r="A280" s="14" t="s">
        <v>184</v>
      </c>
      <c r="B280" s="14" t="s">
        <v>185</v>
      </c>
      <c r="C280" s="14" t="s">
        <v>32</v>
      </c>
      <c r="D280" s="169">
        <v>4140</v>
      </c>
      <c r="E280" s="170">
        <v>40140</v>
      </c>
      <c r="F280" s="14" t="s">
        <v>152</v>
      </c>
      <c r="G280" s="14" t="s">
        <v>149</v>
      </c>
      <c r="H280" s="23">
        <v>310298</v>
      </c>
      <c r="I280" s="23">
        <v>46</v>
      </c>
      <c r="J280" s="14">
        <v>2</v>
      </c>
      <c r="L280" s="14">
        <v>0</v>
      </c>
      <c r="N280" s="24">
        <v>2</v>
      </c>
      <c r="P280" s="14">
        <v>1</v>
      </c>
      <c r="R280" s="14">
        <v>0</v>
      </c>
      <c r="T280" s="14" t="str">
        <f t="shared" si="4"/>
        <v>No</v>
      </c>
    </row>
    <row r="281" spans="1:20" s="14" customFormat="1" ht="11.25">
      <c r="A281" s="14" t="s">
        <v>1107</v>
      </c>
      <c r="B281" s="14" t="s">
        <v>1108</v>
      </c>
      <c r="C281" s="14" t="s">
        <v>13</v>
      </c>
      <c r="D281" s="169">
        <v>4043</v>
      </c>
      <c r="E281" s="170">
        <v>40043</v>
      </c>
      <c r="F281" s="14" t="s">
        <v>152</v>
      </c>
      <c r="G281" s="14" t="s">
        <v>149</v>
      </c>
      <c r="H281" s="23">
        <v>326183</v>
      </c>
      <c r="I281" s="23">
        <v>46</v>
      </c>
      <c r="J281" s="14">
        <v>1</v>
      </c>
      <c r="L281" s="14">
        <v>0</v>
      </c>
      <c r="N281" s="24">
        <v>1</v>
      </c>
      <c r="P281" s="14">
        <v>0</v>
      </c>
      <c r="R281" s="14">
        <v>0</v>
      </c>
      <c r="T281" s="14" t="str">
        <f t="shared" si="4"/>
        <v>No</v>
      </c>
    </row>
    <row r="282" spans="1:20" s="14" customFormat="1" ht="11.25">
      <c r="A282" s="14" t="s">
        <v>928</v>
      </c>
      <c r="B282" s="14" t="s">
        <v>929</v>
      </c>
      <c r="C282" s="14" t="s">
        <v>29</v>
      </c>
      <c r="D282" s="169">
        <v>1102</v>
      </c>
      <c r="E282" s="170">
        <v>10102</v>
      </c>
      <c r="F282" s="14" t="s">
        <v>269</v>
      </c>
      <c r="G282" s="14" t="s">
        <v>149</v>
      </c>
      <c r="H282" s="23">
        <v>924859</v>
      </c>
      <c r="I282" s="23">
        <v>46</v>
      </c>
      <c r="J282" s="14">
        <v>8</v>
      </c>
      <c r="L282" s="14">
        <v>1</v>
      </c>
      <c r="N282" s="24">
        <v>9</v>
      </c>
      <c r="P282" s="14">
        <v>4</v>
      </c>
      <c r="R282" s="14">
        <v>1</v>
      </c>
      <c r="T282" s="14" t="str">
        <f t="shared" si="4"/>
        <v>No</v>
      </c>
    </row>
    <row r="283" spans="1:20" s="14" customFormat="1" ht="11.25">
      <c r="A283" s="14" t="s">
        <v>1178</v>
      </c>
      <c r="B283" s="14" t="s">
        <v>1175</v>
      </c>
      <c r="C283" s="14" t="s">
        <v>62</v>
      </c>
      <c r="D283" s="169">
        <v>2166</v>
      </c>
      <c r="E283" s="170">
        <v>20166</v>
      </c>
      <c r="F283" s="14" t="s">
        <v>148</v>
      </c>
      <c r="G283" s="14" t="s">
        <v>149</v>
      </c>
      <c r="H283" s="23">
        <v>18351295</v>
      </c>
      <c r="I283" s="23">
        <v>46</v>
      </c>
      <c r="J283" s="14">
        <v>1</v>
      </c>
      <c r="L283" s="14">
        <v>0</v>
      </c>
      <c r="N283" s="24">
        <v>1</v>
      </c>
      <c r="P283" s="14">
        <v>3</v>
      </c>
      <c r="R283" s="14">
        <v>1</v>
      </c>
      <c r="T283" s="14" t="str">
        <f t="shared" si="4"/>
        <v>No</v>
      </c>
    </row>
    <row r="284" spans="1:20" s="14" customFormat="1" ht="11.25">
      <c r="A284" s="14" t="s">
        <v>1088</v>
      </c>
      <c r="B284" s="14" t="s">
        <v>1089</v>
      </c>
      <c r="C284" s="14" t="s">
        <v>32</v>
      </c>
      <c r="D284" s="169">
        <v>4026</v>
      </c>
      <c r="E284" s="170">
        <v>40026</v>
      </c>
      <c r="F284" s="14" t="s">
        <v>152</v>
      </c>
      <c r="G284" s="14" t="s">
        <v>149</v>
      </c>
      <c r="H284" s="23">
        <v>643260</v>
      </c>
      <c r="I284" s="23">
        <v>45</v>
      </c>
      <c r="J284" s="14">
        <v>3</v>
      </c>
      <c r="L284" s="14">
        <v>0</v>
      </c>
      <c r="N284" s="24">
        <v>3</v>
      </c>
      <c r="P284" s="14">
        <v>0</v>
      </c>
      <c r="R284" s="14">
        <v>0</v>
      </c>
      <c r="T284" s="14" t="str">
        <f t="shared" si="4"/>
        <v>No</v>
      </c>
    </row>
    <row r="285" spans="1:20" s="14" customFormat="1" ht="11.25">
      <c r="A285" s="14" t="s">
        <v>1397</v>
      </c>
      <c r="B285" s="14" t="s">
        <v>1398</v>
      </c>
      <c r="C285" s="14" t="s">
        <v>32</v>
      </c>
      <c r="D285" s="169">
        <v>4128</v>
      </c>
      <c r="E285" s="170">
        <v>40128</v>
      </c>
      <c r="F285" s="14" t="s">
        <v>152</v>
      </c>
      <c r="G285" s="14" t="s">
        <v>149</v>
      </c>
      <c r="H285" s="23">
        <v>191917</v>
      </c>
      <c r="I285" s="23">
        <v>45</v>
      </c>
      <c r="J285" s="14">
        <v>0</v>
      </c>
      <c r="L285" s="14">
        <v>0</v>
      </c>
      <c r="N285" s="24">
        <v>0</v>
      </c>
      <c r="P285" s="14">
        <v>0</v>
      </c>
      <c r="R285" s="14">
        <v>0</v>
      </c>
      <c r="T285" s="14" t="str">
        <f t="shared" si="4"/>
        <v>No</v>
      </c>
    </row>
    <row r="286" spans="1:20" s="14" customFormat="1" ht="11.25">
      <c r="A286" s="14" t="s">
        <v>1349</v>
      </c>
      <c r="B286" s="14" t="s">
        <v>1350</v>
      </c>
      <c r="C286" s="14" t="s">
        <v>19</v>
      </c>
      <c r="D286" s="169">
        <v>9164</v>
      </c>
      <c r="E286" s="170">
        <v>90164</v>
      </c>
      <c r="F286" s="14" t="s">
        <v>160</v>
      </c>
      <c r="G286" s="14" t="s">
        <v>149</v>
      </c>
      <c r="H286" s="23">
        <v>367260</v>
      </c>
      <c r="I286" s="23">
        <v>45</v>
      </c>
      <c r="J286" s="14">
        <v>0</v>
      </c>
      <c r="L286" s="14">
        <v>0</v>
      </c>
      <c r="N286" s="24">
        <v>0</v>
      </c>
      <c r="P286" s="14">
        <v>0</v>
      </c>
      <c r="R286" s="14">
        <v>0</v>
      </c>
      <c r="T286" s="14" t="str">
        <f t="shared" si="4"/>
        <v>No</v>
      </c>
    </row>
    <row r="287" spans="1:20" s="14" customFormat="1" ht="11.25">
      <c r="A287" s="14" t="s">
        <v>1838</v>
      </c>
      <c r="B287" s="14" t="s">
        <v>1675</v>
      </c>
      <c r="C287" s="14" t="s">
        <v>32</v>
      </c>
      <c r="D287" s="169"/>
      <c r="E287" s="170">
        <v>40245</v>
      </c>
      <c r="F287" s="14" t="s">
        <v>197</v>
      </c>
      <c r="G287" s="14" t="s">
        <v>149</v>
      </c>
      <c r="H287" s="23">
        <v>1065219</v>
      </c>
      <c r="I287" s="23">
        <v>45</v>
      </c>
      <c r="J287" s="14">
        <v>0</v>
      </c>
      <c r="L287" s="14">
        <v>0</v>
      </c>
      <c r="N287" s="24">
        <v>0</v>
      </c>
      <c r="P287" s="14">
        <v>0</v>
      </c>
      <c r="R287" s="14">
        <v>0</v>
      </c>
      <c r="T287" s="14" t="str">
        <f t="shared" si="4"/>
        <v>No</v>
      </c>
    </row>
    <row r="288" spans="1:20" s="14" customFormat="1" ht="11.25">
      <c r="A288" s="14" t="s">
        <v>379</v>
      </c>
      <c r="B288" s="14" t="s">
        <v>380</v>
      </c>
      <c r="C288" s="14" t="s">
        <v>84</v>
      </c>
      <c r="D288" s="169">
        <v>6103</v>
      </c>
      <c r="E288" s="170">
        <v>60103</v>
      </c>
      <c r="F288" s="14" t="s">
        <v>152</v>
      </c>
      <c r="G288" s="14" t="s">
        <v>149</v>
      </c>
      <c r="H288" s="23">
        <v>4944332</v>
      </c>
      <c r="I288" s="23">
        <v>44</v>
      </c>
      <c r="J288" s="14">
        <v>0</v>
      </c>
      <c r="L288" s="14">
        <v>0</v>
      </c>
      <c r="N288" s="24">
        <v>0</v>
      </c>
      <c r="P288" s="14">
        <v>0</v>
      </c>
      <c r="R288" s="14">
        <v>0</v>
      </c>
      <c r="T288" s="14" t="str">
        <f t="shared" si="4"/>
        <v>No</v>
      </c>
    </row>
    <row r="289" spans="1:20" s="14" customFormat="1" ht="11.25">
      <c r="A289" s="14" t="s">
        <v>1443</v>
      </c>
      <c r="B289" s="14" t="s">
        <v>321</v>
      </c>
      <c r="C289" s="14" t="s">
        <v>71</v>
      </c>
      <c r="D289" s="169">
        <v>5166</v>
      </c>
      <c r="E289" s="170">
        <v>50166</v>
      </c>
      <c r="F289" s="14" t="s">
        <v>152</v>
      </c>
      <c r="G289" s="14" t="s">
        <v>149</v>
      </c>
      <c r="H289" s="23">
        <v>1624827</v>
      </c>
      <c r="I289" s="23">
        <v>44</v>
      </c>
      <c r="J289" s="14">
        <v>0</v>
      </c>
      <c r="L289" s="14">
        <v>0</v>
      </c>
      <c r="N289" s="24">
        <v>0</v>
      </c>
      <c r="P289" s="14">
        <v>0</v>
      </c>
      <c r="R289" s="14">
        <v>0</v>
      </c>
      <c r="T289" s="14" t="str">
        <f t="shared" si="4"/>
        <v>No</v>
      </c>
    </row>
    <row r="290" spans="1:20" s="14" customFormat="1" ht="11.25">
      <c r="A290" s="14" t="s">
        <v>878</v>
      </c>
      <c r="B290" s="14" t="s">
        <v>258</v>
      </c>
      <c r="C290" s="14" t="s">
        <v>52</v>
      </c>
      <c r="D290" s="169">
        <v>5092</v>
      </c>
      <c r="E290" s="170">
        <v>50092</v>
      </c>
      <c r="F290" s="14" t="s">
        <v>152</v>
      </c>
      <c r="G290" s="14" t="s">
        <v>149</v>
      </c>
      <c r="H290" s="23">
        <v>107677</v>
      </c>
      <c r="I290" s="23">
        <v>44</v>
      </c>
      <c r="J290" s="14">
        <v>1</v>
      </c>
      <c r="L290" s="14">
        <v>0</v>
      </c>
      <c r="N290" s="24">
        <v>1</v>
      </c>
      <c r="P290" s="14">
        <v>0</v>
      </c>
      <c r="R290" s="14">
        <v>0</v>
      </c>
      <c r="T290" s="14" t="str">
        <f t="shared" si="4"/>
        <v>No</v>
      </c>
    </row>
    <row r="291" spans="1:20" s="14" customFormat="1" ht="11.25">
      <c r="A291" s="14" t="s">
        <v>1044</v>
      </c>
      <c r="B291" s="14" t="s">
        <v>1045</v>
      </c>
      <c r="C291" s="14" t="s">
        <v>44</v>
      </c>
      <c r="D291" s="169">
        <v>6088</v>
      </c>
      <c r="E291" s="170">
        <v>60088</v>
      </c>
      <c r="F291" s="14" t="s">
        <v>152</v>
      </c>
      <c r="G291" s="14" t="s">
        <v>149</v>
      </c>
      <c r="H291" s="23">
        <v>899703</v>
      </c>
      <c r="I291" s="23">
        <v>44</v>
      </c>
      <c r="J291" s="14">
        <v>2</v>
      </c>
      <c r="L291" s="14">
        <v>0</v>
      </c>
      <c r="N291" s="24">
        <v>2</v>
      </c>
      <c r="P291" s="14">
        <v>0</v>
      </c>
      <c r="R291" s="14">
        <v>0</v>
      </c>
      <c r="T291" s="14" t="str">
        <f t="shared" si="4"/>
        <v>No</v>
      </c>
    </row>
    <row r="292" spans="1:20" s="14" customFormat="1" ht="11.25">
      <c r="A292" s="14" t="s">
        <v>630</v>
      </c>
      <c r="B292" s="14" t="s">
        <v>631</v>
      </c>
      <c r="C292" s="14" t="s">
        <v>39</v>
      </c>
      <c r="D292" s="169">
        <v>5047</v>
      </c>
      <c r="E292" s="170">
        <v>50047</v>
      </c>
      <c r="F292" s="14" t="s">
        <v>160</v>
      </c>
      <c r="G292" s="14" t="s">
        <v>149</v>
      </c>
      <c r="H292" s="23">
        <v>132600</v>
      </c>
      <c r="I292" s="23">
        <v>44</v>
      </c>
      <c r="J292" s="14">
        <v>1</v>
      </c>
      <c r="L292" s="14">
        <v>0</v>
      </c>
      <c r="N292" s="24">
        <v>1</v>
      </c>
      <c r="P292" s="14">
        <v>3</v>
      </c>
      <c r="R292" s="14">
        <v>0</v>
      </c>
      <c r="T292" s="14" t="str">
        <f t="shared" si="4"/>
        <v>No</v>
      </c>
    </row>
    <row r="293" spans="1:20" s="14" customFormat="1" ht="11.25">
      <c r="A293" s="14" t="s">
        <v>1298</v>
      </c>
      <c r="B293" s="14" t="s">
        <v>1299</v>
      </c>
      <c r="C293" s="14" t="s">
        <v>69</v>
      </c>
      <c r="D293" s="169">
        <v>2099</v>
      </c>
      <c r="E293" s="170">
        <v>20099</v>
      </c>
      <c r="F293" s="14" t="s">
        <v>160</v>
      </c>
      <c r="G293" s="14" t="s">
        <v>149</v>
      </c>
      <c r="H293" s="23">
        <v>18351295</v>
      </c>
      <c r="I293" s="23">
        <v>44</v>
      </c>
      <c r="J293" s="14">
        <v>5</v>
      </c>
      <c r="L293" s="14">
        <v>16</v>
      </c>
      <c r="N293" s="24">
        <v>21</v>
      </c>
      <c r="P293" s="14">
        <v>1</v>
      </c>
      <c r="R293" s="14">
        <v>0</v>
      </c>
      <c r="T293" s="14" t="str">
        <f t="shared" si="4"/>
        <v>No</v>
      </c>
    </row>
    <row r="294" spans="1:20" s="14" customFormat="1" ht="11.25">
      <c r="A294" s="14" t="s">
        <v>709</v>
      </c>
      <c r="B294" s="14" t="s">
        <v>710</v>
      </c>
      <c r="C294" s="14" t="s">
        <v>74</v>
      </c>
      <c r="D294" s="169">
        <v>57</v>
      </c>
      <c r="E294" s="170">
        <v>57</v>
      </c>
      <c r="F294" s="14" t="s">
        <v>188</v>
      </c>
      <c r="G294" s="14" t="s">
        <v>149</v>
      </c>
      <c r="H294" s="23">
        <v>83794</v>
      </c>
      <c r="I294" s="23">
        <v>44</v>
      </c>
      <c r="J294" s="14">
        <v>2</v>
      </c>
      <c r="L294" s="14">
        <v>0</v>
      </c>
      <c r="N294" s="24">
        <v>2</v>
      </c>
      <c r="P294" s="14">
        <v>0</v>
      </c>
      <c r="R294" s="14">
        <v>0</v>
      </c>
      <c r="T294" s="14" t="str">
        <f t="shared" si="4"/>
        <v>No</v>
      </c>
    </row>
    <row r="295" spans="1:20" s="14" customFormat="1" ht="11.25">
      <c r="A295" s="14" t="s">
        <v>90</v>
      </c>
      <c r="B295" s="14" t="s">
        <v>1444</v>
      </c>
      <c r="C295" s="14" t="s">
        <v>88</v>
      </c>
      <c r="D295" s="169">
        <v>43</v>
      </c>
      <c r="E295" s="170">
        <v>43</v>
      </c>
      <c r="F295" s="14" t="s">
        <v>160</v>
      </c>
      <c r="G295" s="14" t="s">
        <v>149</v>
      </c>
      <c r="H295" s="23">
        <v>67227</v>
      </c>
      <c r="I295" s="23">
        <v>43</v>
      </c>
      <c r="J295" s="14">
        <v>1</v>
      </c>
      <c r="L295" s="14">
        <v>0</v>
      </c>
      <c r="N295" s="24">
        <v>1</v>
      </c>
      <c r="P295" s="14">
        <v>1</v>
      </c>
      <c r="R295" s="14">
        <v>0</v>
      </c>
      <c r="T295" s="14" t="str">
        <f t="shared" si="4"/>
        <v>No</v>
      </c>
    </row>
    <row r="296" spans="1:20" s="14" customFormat="1" ht="11.25">
      <c r="A296" s="14" t="s">
        <v>791</v>
      </c>
      <c r="B296" s="14" t="s">
        <v>792</v>
      </c>
      <c r="C296" s="14" t="s">
        <v>19</v>
      </c>
      <c r="D296" s="169">
        <v>9092</v>
      </c>
      <c r="E296" s="170">
        <v>90092</v>
      </c>
      <c r="F296" s="14" t="s">
        <v>152</v>
      </c>
      <c r="G296" s="14" t="s">
        <v>149</v>
      </c>
      <c r="H296" s="23">
        <v>133683</v>
      </c>
      <c r="I296" s="23">
        <v>43</v>
      </c>
      <c r="J296" s="14">
        <v>2</v>
      </c>
      <c r="L296" s="14">
        <v>0</v>
      </c>
      <c r="N296" s="24">
        <v>2</v>
      </c>
      <c r="P296" s="14">
        <v>4</v>
      </c>
      <c r="R296" s="14">
        <v>0</v>
      </c>
      <c r="T296" s="14" t="str">
        <f t="shared" si="4"/>
        <v>No</v>
      </c>
    </row>
    <row r="297" spans="1:20" s="14" customFormat="1" ht="11.25">
      <c r="A297" s="14" t="s">
        <v>1657</v>
      </c>
      <c r="B297" s="14" t="s">
        <v>865</v>
      </c>
      <c r="C297" s="14" t="s">
        <v>19</v>
      </c>
      <c r="D297" s="169">
        <v>9088</v>
      </c>
      <c r="E297" s="170">
        <v>90088</v>
      </c>
      <c r="F297" s="14" t="s">
        <v>160</v>
      </c>
      <c r="G297" s="14" t="s">
        <v>149</v>
      </c>
      <c r="H297" s="23">
        <v>83913</v>
      </c>
      <c r="I297" s="23">
        <v>43</v>
      </c>
      <c r="J297" s="14">
        <v>4</v>
      </c>
      <c r="L297" s="14">
        <v>0</v>
      </c>
      <c r="N297" s="24">
        <v>4</v>
      </c>
      <c r="P297" s="14">
        <v>0</v>
      </c>
      <c r="R297" s="14">
        <v>0</v>
      </c>
      <c r="T297" s="14" t="str">
        <f t="shared" si="4"/>
        <v>No</v>
      </c>
    </row>
    <row r="298" spans="1:20" s="14" customFormat="1" ht="11.25">
      <c r="A298" s="14" t="s">
        <v>1006</v>
      </c>
      <c r="B298" s="14" t="s">
        <v>1007</v>
      </c>
      <c r="C298" s="14" t="s">
        <v>86</v>
      </c>
      <c r="D298" s="169">
        <v>3008</v>
      </c>
      <c r="E298" s="170">
        <v>30008</v>
      </c>
      <c r="F298" s="14" t="s">
        <v>160</v>
      </c>
      <c r="G298" s="14" t="s">
        <v>149</v>
      </c>
      <c r="H298" s="23">
        <v>116636</v>
      </c>
      <c r="I298" s="23">
        <v>43</v>
      </c>
      <c r="J298" s="14">
        <v>1</v>
      </c>
      <c r="L298" s="14">
        <v>0</v>
      </c>
      <c r="N298" s="24">
        <v>1</v>
      </c>
      <c r="P298" s="14">
        <v>1</v>
      </c>
      <c r="R298" s="14">
        <v>0</v>
      </c>
      <c r="T298" s="14" t="str">
        <f t="shared" si="4"/>
        <v>No</v>
      </c>
    </row>
    <row r="299" spans="1:20" s="14" customFormat="1" ht="11.25">
      <c r="A299" s="14" t="s">
        <v>986</v>
      </c>
      <c r="B299" s="14" t="s">
        <v>987</v>
      </c>
      <c r="C299" s="14" t="s">
        <v>40</v>
      </c>
      <c r="D299" s="169">
        <v>5044</v>
      </c>
      <c r="E299" s="170">
        <v>50044</v>
      </c>
      <c r="F299" s="14" t="s">
        <v>160</v>
      </c>
      <c r="G299" s="14" t="s">
        <v>149</v>
      </c>
      <c r="H299" s="23">
        <v>313492</v>
      </c>
      <c r="I299" s="23">
        <v>43</v>
      </c>
      <c r="J299" s="14">
        <v>2</v>
      </c>
      <c r="L299" s="14">
        <v>0</v>
      </c>
      <c r="N299" s="24">
        <v>2</v>
      </c>
      <c r="P299" s="14">
        <v>0</v>
      </c>
      <c r="R299" s="14">
        <v>0</v>
      </c>
      <c r="T299" s="14" t="str">
        <f t="shared" si="4"/>
        <v>No</v>
      </c>
    </row>
    <row r="300" spans="1:20" s="14" customFormat="1" ht="11.25">
      <c r="A300" s="14" t="s">
        <v>1027</v>
      </c>
      <c r="B300" s="14" t="s">
        <v>1028</v>
      </c>
      <c r="C300" s="14" t="s">
        <v>47</v>
      </c>
      <c r="D300" s="169">
        <v>3048</v>
      </c>
      <c r="E300" s="170">
        <v>30048</v>
      </c>
      <c r="F300" s="14" t="s">
        <v>152</v>
      </c>
      <c r="G300" s="14" t="s">
        <v>149</v>
      </c>
      <c r="H300" s="23">
        <v>2203663</v>
      </c>
      <c r="I300" s="23">
        <v>42</v>
      </c>
      <c r="J300" s="14">
        <v>1</v>
      </c>
      <c r="L300" s="14">
        <v>0</v>
      </c>
      <c r="N300" s="24">
        <v>1</v>
      </c>
      <c r="P300" s="14">
        <v>0</v>
      </c>
      <c r="R300" s="14">
        <v>0</v>
      </c>
      <c r="T300" s="14" t="str">
        <f t="shared" si="4"/>
        <v>No</v>
      </c>
    </row>
    <row r="301" spans="1:20" s="14" customFormat="1" ht="11.25">
      <c r="A301" s="14" t="s">
        <v>935</v>
      </c>
      <c r="B301" s="14" t="s">
        <v>838</v>
      </c>
      <c r="C301" s="14" t="s">
        <v>29</v>
      </c>
      <c r="D301" s="169">
        <v>1056</v>
      </c>
      <c r="E301" s="170">
        <v>10056</v>
      </c>
      <c r="F301" s="14" t="s">
        <v>269</v>
      </c>
      <c r="G301" s="14" t="s">
        <v>149</v>
      </c>
      <c r="H301" s="23">
        <v>923311</v>
      </c>
      <c r="I301" s="23">
        <v>42</v>
      </c>
      <c r="J301" s="14">
        <v>0</v>
      </c>
      <c r="L301" s="14">
        <v>0</v>
      </c>
      <c r="N301" s="24">
        <v>0</v>
      </c>
      <c r="P301" s="14">
        <v>0</v>
      </c>
      <c r="R301" s="14">
        <v>0</v>
      </c>
      <c r="T301" s="14" t="str">
        <f t="shared" si="4"/>
        <v>No</v>
      </c>
    </row>
    <row r="302" spans="1:20" s="14" customFormat="1" ht="11.25">
      <c r="A302" s="14" t="s">
        <v>1425</v>
      </c>
      <c r="B302" s="14" t="s">
        <v>296</v>
      </c>
      <c r="C302" s="14" t="s">
        <v>71</v>
      </c>
      <c r="D302" s="169">
        <v>5157</v>
      </c>
      <c r="E302" s="170">
        <v>50157</v>
      </c>
      <c r="F302" s="14" t="s">
        <v>160</v>
      </c>
      <c r="G302" s="14" t="s">
        <v>149</v>
      </c>
      <c r="H302" s="23">
        <v>1624827</v>
      </c>
      <c r="I302" s="23">
        <v>42</v>
      </c>
      <c r="J302" s="14">
        <v>0</v>
      </c>
      <c r="L302" s="14">
        <v>0</v>
      </c>
      <c r="N302" s="24">
        <v>0</v>
      </c>
      <c r="P302" s="14">
        <v>0</v>
      </c>
      <c r="R302" s="14">
        <v>0</v>
      </c>
      <c r="T302" s="14" t="str">
        <f t="shared" si="4"/>
        <v>No</v>
      </c>
    </row>
    <row r="303" spans="1:20" s="14" customFormat="1" ht="11.25">
      <c r="A303" s="14" t="s">
        <v>1380</v>
      </c>
      <c r="B303" s="14" t="s">
        <v>329</v>
      </c>
      <c r="C303" s="14" t="s">
        <v>57</v>
      </c>
      <c r="D303" s="169">
        <v>4006</v>
      </c>
      <c r="E303" s="170">
        <v>40006</v>
      </c>
      <c r="F303" s="14" t="s">
        <v>160</v>
      </c>
      <c r="G303" s="14" t="s">
        <v>149</v>
      </c>
      <c r="H303" s="23">
        <v>219957</v>
      </c>
      <c r="I303" s="23">
        <v>42</v>
      </c>
      <c r="J303" s="14">
        <v>1</v>
      </c>
      <c r="L303" s="14">
        <v>0</v>
      </c>
      <c r="N303" s="24">
        <v>1</v>
      </c>
      <c r="P303" s="14">
        <v>0</v>
      </c>
      <c r="R303" s="14">
        <v>0</v>
      </c>
      <c r="T303" s="14" t="str">
        <f t="shared" si="4"/>
        <v>No</v>
      </c>
    </row>
    <row r="304" spans="1:20" s="14" customFormat="1" ht="11.25">
      <c r="A304" s="14" t="s">
        <v>1839</v>
      </c>
      <c r="B304" s="14" t="s">
        <v>1026</v>
      </c>
      <c r="C304" s="14" t="s">
        <v>29</v>
      </c>
      <c r="D304" s="169">
        <v>1051</v>
      </c>
      <c r="E304" s="170">
        <v>10051</v>
      </c>
      <c r="F304" s="14" t="s">
        <v>160</v>
      </c>
      <c r="G304" s="14" t="s">
        <v>149</v>
      </c>
      <c r="H304" s="23">
        <v>168136</v>
      </c>
      <c r="I304" s="23">
        <v>42</v>
      </c>
      <c r="J304" s="14">
        <v>0</v>
      </c>
      <c r="L304" s="14">
        <v>0</v>
      </c>
      <c r="N304" s="24">
        <v>0</v>
      </c>
      <c r="P304" s="14">
        <v>0</v>
      </c>
      <c r="R304" s="14">
        <v>0</v>
      </c>
      <c r="T304" s="14" t="str">
        <f t="shared" si="4"/>
        <v>No</v>
      </c>
    </row>
    <row r="305" spans="1:20" s="14" customFormat="1" ht="11.25">
      <c r="A305" s="14" t="s">
        <v>1270</v>
      </c>
      <c r="B305" s="14" t="s">
        <v>1271</v>
      </c>
      <c r="C305" s="14" t="s">
        <v>82</v>
      </c>
      <c r="D305" s="169">
        <v>8002</v>
      </c>
      <c r="E305" s="170">
        <v>80002</v>
      </c>
      <c r="F305" s="14" t="s">
        <v>323</v>
      </c>
      <c r="G305" s="14" t="s">
        <v>149</v>
      </c>
      <c r="H305" s="23">
        <v>156777</v>
      </c>
      <c r="I305" s="23">
        <v>42</v>
      </c>
      <c r="J305" s="14">
        <v>2</v>
      </c>
      <c r="L305" s="14">
        <v>0</v>
      </c>
      <c r="N305" s="24">
        <v>2</v>
      </c>
      <c r="P305" s="14">
        <v>0</v>
      </c>
      <c r="R305" s="14">
        <v>0</v>
      </c>
      <c r="T305" s="14" t="str">
        <f t="shared" si="4"/>
        <v>No</v>
      </c>
    </row>
    <row r="306" spans="1:20" s="14" customFormat="1" ht="11.25">
      <c r="A306" s="14" t="s">
        <v>410</v>
      </c>
      <c r="B306" s="14" t="s">
        <v>411</v>
      </c>
      <c r="C306" s="14" t="s">
        <v>92</v>
      </c>
      <c r="D306" s="169" t="s">
        <v>412</v>
      </c>
      <c r="E306" s="170">
        <v>55228</v>
      </c>
      <c r="F306" s="14" t="s">
        <v>397</v>
      </c>
      <c r="G306" s="14" t="s">
        <v>1490</v>
      </c>
      <c r="H306" s="23">
        <v>0</v>
      </c>
      <c r="I306" s="23">
        <v>42</v>
      </c>
      <c r="J306" s="14">
        <v>0</v>
      </c>
      <c r="L306" s="14">
        <v>0</v>
      </c>
      <c r="N306" s="24">
        <v>0</v>
      </c>
      <c r="P306" s="14">
        <v>0</v>
      </c>
      <c r="R306" s="14">
        <v>0</v>
      </c>
      <c r="T306" s="14" t="str">
        <f t="shared" si="4"/>
        <v>No</v>
      </c>
    </row>
    <row r="307" spans="1:20" s="14" customFormat="1" ht="11.25">
      <c r="A307" s="14" t="s">
        <v>138</v>
      </c>
      <c r="B307" s="14" t="s">
        <v>165</v>
      </c>
      <c r="C307" s="14" t="s">
        <v>95</v>
      </c>
      <c r="D307" s="169">
        <v>3107</v>
      </c>
      <c r="E307" s="170">
        <v>30107</v>
      </c>
      <c r="F307" s="14" t="s">
        <v>98</v>
      </c>
      <c r="G307" s="14" t="s">
        <v>149</v>
      </c>
      <c r="H307" s="23">
        <v>70350</v>
      </c>
      <c r="I307" s="23">
        <v>42</v>
      </c>
      <c r="J307" s="14">
        <v>7</v>
      </c>
      <c r="L307" s="14">
        <v>0</v>
      </c>
      <c r="N307" s="24">
        <v>7</v>
      </c>
      <c r="P307" s="14">
        <v>7</v>
      </c>
      <c r="R307" s="14">
        <v>0</v>
      </c>
      <c r="T307" s="14" t="str">
        <f t="shared" si="4"/>
        <v>No</v>
      </c>
    </row>
    <row r="308" spans="1:20" s="14" customFormat="1" ht="11.25">
      <c r="A308" s="14" t="s">
        <v>1360</v>
      </c>
      <c r="B308" s="14" t="s">
        <v>1361</v>
      </c>
      <c r="C308" s="14" t="s">
        <v>92</v>
      </c>
      <c r="D308" s="169">
        <v>5096</v>
      </c>
      <c r="E308" s="170">
        <v>50096</v>
      </c>
      <c r="F308" s="14" t="s">
        <v>152</v>
      </c>
      <c r="G308" s="14" t="s">
        <v>149</v>
      </c>
      <c r="H308" s="23">
        <v>1376476</v>
      </c>
      <c r="I308" s="23">
        <v>41</v>
      </c>
      <c r="J308" s="14">
        <v>1</v>
      </c>
      <c r="L308" s="14">
        <v>0</v>
      </c>
      <c r="N308" s="24">
        <v>1</v>
      </c>
      <c r="P308" s="14">
        <v>2</v>
      </c>
      <c r="R308" s="14">
        <v>0</v>
      </c>
      <c r="T308" s="14" t="str">
        <f t="shared" si="4"/>
        <v>No</v>
      </c>
    </row>
    <row r="309" spans="1:20" s="14" customFormat="1" ht="11.25">
      <c r="A309" s="14" t="s">
        <v>730</v>
      </c>
      <c r="B309" s="14" t="s">
        <v>731</v>
      </c>
      <c r="C309" s="14" t="s">
        <v>19</v>
      </c>
      <c r="D309" s="169">
        <v>9232</v>
      </c>
      <c r="E309" s="170">
        <v>90232</v>
      </c>
      <c r="F309" s="14" t="s">
        <v>160</v>
      </c>
      <c r="G309" s="14" t="s">
        <v>149</v>
      </c>
      <c r="H309" s="23">
        <v>165074</v>
      </c>
      <c r="I309" s="23">
        <v>41</v>
      </c>
      <c r="J309" s="14">
        <v>4</v>
      </c>
      <c r="L309" s="14">
        <v>0</v>
      </c>
      <c r="N309" s="24">
        <v>4</v>
      </c>
      <c r="P309" s="14">
        <v>0</v>
      </c>
      <c r="R309" s="14">
        <v>0</v>
      </c>
      <c r="T309" s="14" t="str">
        <f t="shared" si="4"/>
        <v>No</v>
      </c>
    </row>
    <row r="310" spans="1:20" s="14" customFormat="1" ht="11.25">
      <c r="A310" s="14" t="s">
        <v>981</v>
      </c>
      <c r="B310" s="14" t="s">
        <v>867</v>
      </c>
      <c r="C310" s="14" t="s">
        <v>57</v>
      </c>
      <c r="D310" s="169">
        <v>4009</v>
      </c>
      <c r="E310" s="170">
        <v>40009</v>
      </c>
      <c r="F310" s="14" t="s">
        <v>152</v>
      </c>
      <c r="G310" s="14" t="s">
        <v>149</v>
      </c>
      <c r="H310" s="23">
        <v>310282</v>
      </c>
      <c r="I310" s="23">
        <v>40</v>
      </c>
      <c r="J310" s="14">
        <v>1</v>
      </c>
      <c r="L310" s="14">
        <v>0</v>
      </c>
      <c r="N310" s="24">
        <v>1</v>
      </c>
      <c r="P310" s="14">
        <v>0</v>
      </c>
      <c r="R310" s="14">
        <v>0</v>
      </c>
      <c r="T310" s="14" t="str">
        <f t="shared" si="4"/>
        <v>No</v>
      </c>
    </row>
    <row r="311" spans="1:20" s="14" customFormat="1" ht="11.25">
      <c r="A311" s="14" t="s">
        <v>1445</v>
      </c>
      <c r="B311" s="14" t="s">
        <v>325</v>
      </c>
      <c r="C311" s="14" t="s">
        <v>9</v>
      </c>
      <c r="D311" s="169">
        <v>41</v>
      </c>
      <c r="E311" s="170">
        <v>41</v>
      </c>
      <c r="F311" s="14" t="s">
        <v>269</v>
      </c>
      <c r="G311" s="14" t="s">
        <v>149</v>
      </c>
      <c r="H311" s="23">
        <v>251243</v>
      </c>
      <c r="I311" s="23">
        <v>40</v>
      </c>
      <c r="J311" s="14">
        <v>11</v>
      </c>
      <c r="L311" s="14">
        <v>0</v>
      </c>
      <c r="N311" s="24">
        <v>11</v>
      </c>
      <c r="P311" s="14">
        <v>2</v>
      </c>
      <c r="R311" s="14">
        <v>2</v>
      </c>
      <c r="T311" s="14" t="str">
        <f t="shared" si="4"/>
        <v>No</v>
      </c>
    </row>
    <row r="312" spans="1:20" s="14" customFormat="1" ht="11.25">
      <c r="A312" s="14" t="s">
        <v>178</v>
      </c>
      <c r="B312" s="14" t="s">
        <v>179</v>
      </c>
      <c r="C312" s="14" t="s">
        <v>86</v>
      </c>
      <c r="D312" s="169">
        <v>3091</v>
      </c>
      <c r="E312" s="170">
        <v>30091</v>
      </c>
      <c r="F312" s="14" t="s">
        <v>152</v>
      </c>
      <c r="G312" s="14" t="s">
        <v>149</v>
      </c>
      <c r="H312" s="23">
        <v>88542</v>
      </c>
      <c r="I312" s="23">
        <v>40</v>
      </c>
      <c r="J312" s="14">
        <v>0</v>
      </c>
      <c r="L312" s="14">
        <v>0</v>
      </c>
      <c r="N312" s="24">
        <v>0</v>
      </c>
      <c r="P312" s="14">
        <v>0</v>
      </c>
      <c r="R312" s="14">
        <v>0</v>
      </c>
      <c r="T312" s="14" t="str">
        <f t="shared" si="4"/>
        <v>No</v>
      </c>
    </row>
    <row r="313" spans="1:20" s="14" customFormat="1" ht="11.25">
      <c r="A313" s="14" t="s">
        <v>1234</v>
      </c>
      <c r="B313" s="14" t="s">
        <v>1235</v>
      </c>
      <c r="C313" s="14" t="s">
        <v>74</v>
      </c>
      <c r="D313" s="169">
        <v>34</v>
      </c>
      <c r="E313" s="170">
        <v>34</v>
      </c>
      <c r="F313" s="14" t="s">
        <v>160</v>
      </c>
      <c r="G313" s="14" t="s">
        <v>149</v>
      </c>
      <c r="H313" s="23">
        <v>154081</v>
      </c>
      <c r="I313" s="23">
        <v>40</v>
      </c>
      <c r="J313" s="14">
        <v>1</v>
      </c>
      <c r="L313" s="14">
        <v>0</v>
      </c>
      <c r="N313" s="24">
        <v>1</v>
      </c>
      <c r="P313" s="14">
        <v>0</v>
      </c>
      <c r="R313" s="14">
        <v>0</v>
      </c>
      <c r="T313" s="14" t="str">
        <f t="shared" si="4"/>
        <v>No</v>
      </c>
    </row>
    <row r="314" spans="1:20" s="14" customFormat="1" ht="11.25">
      <c r="A314" s="14" t="s">
        <v>1334</v>
      </c>
      <c r="B314" s="14" t="s">
        <v>687</v>
      </c>
      <c r="C314" s="14" t="s">
        <v>67</v>
      </c>
      <c r="D314" s="169">
        <v>6077</v>
      </c>
      <c r="E314" s="170">
        <v>60077</v>
      </c>
      <c r="F314" s="14" t="s">
        <v>152</v>
      </c>
      <c r="G314" s="14" t="s">
        <v>149</v>
      </c>
      <c r="H314" s="23">
        <v>89284</v>
      </c>
      <c r="I314" s="23">
        <v>40</v>
      </c>
      <c r="J314" s="14">
        <v>2</v>
      </c>
      <c r="L314" s="14">
        <v>0</v>
      </c>
      <c r="N314" s="24">
        <v>2</v>
      </c>
      <c r="P314" s="14">
        <v>0</v>
      </c>
      <c r="R314" s="14">
        <v>0</v>
      </c>
      <c r="T314" s="14" t="str">
        <f t="shared" si="4"/>
        <v>No</v>
      </c>
    </row>
    <row r="315" spans="1:20" s="14" customFormat="1" ht="11.25">
      <c r="A315" s="14" t="s">
        <v>1840</v>
      </c>
      <c r="B315" s="14" t="s">
        <v>979</v>
      </c>
      <c r="C315" s="14" t="s">
        <v>75</v>
      </c>
      <c r="D315" s="169" t="s">
        <v>980</v>
      </c>
      <c r="E315" s="170">
        <v>30137</v>
      </c>
      <c r="F315" s="14" t="s">
        <v>160</v>
      </c>
      <c r="G315" s="14" t="s">
        <v>149</v>
      </c>
      <c r="H315" s="23">
        <v>54316</v>
      </c>
      <c r="I315" s="23">
        <v>40</v>
      </c>
      <c r="J315" s="14">
        <v>1</v>
      </c>
      <c r="L315" s="14">
        <v>0</v>
      </c>
      <c r="N315" s="24">
        <v>1</v>
      </c>
      <c r="P315" s="14">
        <v>1</v>
      </c>
      <c r="R315" s="14">
        <v>0</v>
      </c>
      <c r="T315" s="14" t="str">
        <f t="shared" si="4"/>
        <v>No</v>
      </c>
    </row>
    <row r="316" spans="1:20" s="14" customFormat="1" ht="11.25">
      <c r="A316" s="14" t="s">
        <v>1189</v>
      </c>
      <c r="B316" s="14" t="s">
        <v>844</v>
      </c>
      <c r="C316" s="14" t="s">
        <v>75</v>
      </c>
      <c r="D316" s="169">
        <v>3057</v>
      </c>
      <c r="E316" s="170">
        <v>30057</v>
      </c>
      <c r="F316" s="14" t="s">
        <v>269</v>
      </c>
      <c r="G316" s="14" t="s">
        <v>149</v>
      </c>
      <c r="H316" s="23">
        <v>5441567</v>
      </c>
      <c r="I316" s="23">
        <v>40</v>
      </c>
      <c r="J316" s="14">
        <v>5</v>
      </c>
      <c r="L316" s="14">
        <v>7</v>
      </c>
      <c r="N316" s="24">
        <v>12</v>
      </c>
      <c r="P316" s="14">
        <v>15</v>
      </c>
      <c r="R316" s="14">
        <v>9</v>
      </c>
      <c r="T316" s="14" t="str">
        <f t="shared" si="4"/>
        <v>No</v>
      </c>
    </row>
    <row r="317" spans="1:20" s="14" customFormat="1" ht="11.25">
      <c r="A317" s="14" t="s">
        <v>166</v>
      </c>
      <c r="B317" s="14" t="s">
        <v>167</v>
      </c>
      <c r="C317" s="14" t="s">
        <v>86</v>
      </c>
      <c r="D317" s="169">
        <v>3094</v>
      </c>
      <c r="E317" s="170">
        <v>30094</v>
      </c>
      <c r="F317" s="14" t="s">
        <v>152</v>
      </c>
      <c r="G317" s="14" t="s">
        <v>149</v>
      </c>
      <c r="H317" s="23">
        <v>66784</v>
      </c>
      <c r="I317" s="23">
        <v>39</v>
      </c>
      <c r="J317" s="14">
        <v>0</v>
      </c>
      <c r="L317" s="14">
        <v>0</v>
      </c>
      <c r="N317" s="24">
        <v>0</v>
      </c>
      <c r="P317" s="14">
        <v>0</v>
      </c>
      <c r="R317" s="14">
        <v>0</v>
      </c>
      <c r="T317" s="14" t="str">
        <f t="shared" si="4"/>
        <v>No</v>
      </c>
    </row>
    <row r="318" spans="1:20" s="14" customFormat="1" ht="11.25">
      <c r="A318" s="14" t="s">
        <v>375</v>
      </c>
      <c r="B318" s="14" t="s">
        <v>376</v>
      </c>
      <c r="C318" s="14" t="s">
        <v>32</v>
      </c>
      <c r="D318" s="169">
        <v>4158</v>
      </c>
      <c r="E318" s="170">
        <v>40158</v>
      </c>
      <c r="F318" s="14" t="s">
        <v>152</v>
      </c>
      <c r="G318" s="14" t="s">
        <v>149</v>
      </c>
      <c r="H318" s="23">
        <v>131337</v>
      </c>
      <c r="I318" s="23">
        <v>39</v>
      </c>
      <c r="J318" s="14">
        <v>0</v>
      </c>
      <c r="L318" s="14">
        <v>0</v>
      </c>
      <c r="N318" s="24">
        <v>0</v>
      </c>
      <c r="P318" s="14">
        <v>0</v>
      </c>
      <c r="R318" s="14">
        <v>0</v>
      </c>
      <c r="T318" s="14" t="str">
        <f t="shared" si="4"/>
        <v>No</v>
      </c>
    </row>
    <row r="319" spans="1:20" s="14" customFormat="1" ht="11.25">
      <c r="A319" s="14" t="s">
        <v>1658</v>
      </c>
      <c r="B319" s="14" t="s">
        <v>189</v>
      </c>
      <c r="C319" s="14" t="s">
        <v>19</v>
      </c>
      <c r="D319" s="169">
        <v>9196</v>
      </c>
      <c r="E319" s="170">
        <v>90196</v>
      </c>
      <c r="F319" s="14" t="s">
        <v>152</v>
      </c>
      <c r="G319" s="14" t="s">
        <v>149</v>
      </c>
      <c r="H319" s="23">
        <v>1723634</v>
      </c>
      <c r="I319" s="23">
        <v>39</v>
      </c>
      <c r="J319" s="14">
        <v>1</v>
      </c>
      <c r="L319" s="14">
        <v>0</v>
      </c>
      <c r="N319" s="24">
        <v>1</v>
      </c>
      <c r="P319" s="14">
        <v>0</v>
      </c>
      <c r="R319" s="14">
        <v>0</v>
      </c>
      <c r="T319" s="14" t="str">
        <f t="shared" si="4"/>
        <v>No</v>
      </c>
    </row>
    <row r="320" spans="1:20" s="14" customFormat="1" ht="11.25">
      <c r="A320" s="14" t="s">
        <v>901</v>
      </c>
      <c r="B320" s="14" t="s">
        <v>212</v>
      </c>
      <c r="C320" s="14" t="s">
        <v>19</v>
      </c>
      <c r="D320" s="169">
        <v>9091</v>
      </c>
      <c r="E320" s="170">
        <v>90091</v>
      </c>
      <c r="F320" s="14" t="s">
        <v>152</v>
      </c>
      <c r="G320" s="14" t="s">
        <v>149</v>
      </c>
      <c r="H320" s="23">
        <v>219454</v>
      </c>
      <c r="I320" s="23">
        <v>39</v>
      </c>
      <c r="J320" s="14">
        <v>1</v>
      </c>
      <c r="L320" s="14">
        <v>0</v>
      </c>
      <c r="N320" s="24">
        <v>1</v>
      </c>
      <c r="P320" s="14">
        <v>0</v>
      </c>
      <c r="R320" s="14">
        <v>0</v>
      </c>
      <c r="T320" s="14" t="str">
        <f t="shared" si="4"/>
        <v>No</v>
      </c>
    </row>
    <row r="321" spans="1:20" s="14" customFormat="1" ht="11.25">
      <c r="A321" s="14" t="s">
        <v>1841</v>
      </c>
      <c r="B321" s="14" t="s">
        <v>1842</v>
      </c>
      <c r="C321" s="14" t="s">
        <v>84</v>
      </c>
      <c r="D321" s="169"/>
      <c r="E321" s="170">
        <v>60269</v>
      </c>
      <c r="F321" s="14" t="s">
        <v>98</v>
      </c>
      <c r="G321" s="14" t="s">
        <v>149</v>
      </c>
      <c r="H321" s="23">
        <v>52826</v>
      </c>
      <c r="I321" s="23">
        <v>39</v>
      </c>
      <c r="J321" s="14">
        <v>0</v>
      </c>
      <c r="L321" s="14">
        <v>0</v>
      </c>
      <c r="N321" s="24">
        <v>0</v>
      </c>
      <c r="P321" s="14">
        <v>0</v>
      </c>
      <c r="R321" s="14">
        <v>0</v>
      </c>
      <c r="T321" s="14" t="str">
        <f t="shared" si="4"/>
        <v>No</v>
      </c>
    </row>
    <row r="322" spans="1:20" s="14" customFormat="1" ht="11.25">
      <c r="A322" s="14" t="s">
        <v>592</v>
      </c>
      <c r="B322" s="14" t="s">
        <v>593</v>
      </c>
      <c r="C322" s="14" t="s">
        <v>92</v>
      </c>
      <c r="D322" s="169">
        <v>5006</v>
      </c>
      <c r="E322" s="170">
        <v>50006</v>
      </c>
      <c r="F322" s="14" t="s">
        <v>152</v>
      </c>
      <c r="G322" s="14" t="s">
        <v>149</v>
      </c>
      <c r="H322" s="23">
        <v>133700</v>
      </c>
      <c r="I322" s="23">
        <v>39</v>
      </c>
      <c r="J322" s="14">
        <v>2</v>
      </c>
      <c r="L322" s="14">
        <v>0</v>
      </c>
      <c r="N322" s="24">
        <v>2</v>
      </c>
      <c r="P322" s="14">
        <v>0</v>
      </c>
      <c r="R322" s="14">
        <v>0</v>
      </c>
      <c r="T322" s="14" t="str">
        <f t="shared" si="4"/>
        <v>No</v>
      </c>
    </row>
    <row r="323" spans="1:20" s="14" customFormat="1" ht="11.25">
      <c r="A323" s="14" t="s">
        <v>1370</v>
      </c>
      <c r="B323" s="14" t="s">
        <v>189</v>
      </c>
      <c r="C323" s="14" t="s">
        <v>50</v>
      </c>
      <c r="D323" s="169">
        <v>1098</v>
      </c>
      <c r="E323" s="170">
        <v>10098</v>
      </c>
      <c r="F323" s="14" t="s">
        <v>197</v>
      </c>
      <c r="G323" s="14" t="s">
        <v>149</v>
      </c>
      <c r="H323" s="23">
        <v>59397</v>
      </c>
      <c r="I323" s="23">
        <v>39</v>
      </c>
      <c r="J323" s="14">
        <v>0</v>
      </c>
      <c r="L323" s="14">
        <v>0</v>
      </c>
      <c r="N323" s="24">
        <v>0</v>
      </c>
      <c r="P323" s="14">
        <v>0</v>
      </c>
      <c r="R323" s="14">
        <v>0</v>
      </c>
      <c r="T323" s="14" t="str">
        <f t="shared" ref="T323:T386" si="5">IF(S323&amp;Q323&amp;O323&amp;M323&amp;K323&lt;&gt;"","Yes","No")</f>
        <v>No</v>
      </c>
    </row>
    <row r="324" spans="1:20" s="14" customFormat="1" ht="11.25">
      <c r="A324" s="14" t="s">
        <v>1239</v>
      </c>
      <c r="B324" s="14" t="s">
        <v>1240</v>
      </c>
      <c r="C324" s="14" t="s">
        <v>51</v>
      </c>
      <c r="D324" s="169">
        <v>5039</v>
      </c>
      <c r="E324" s="170">
        <v>50039</v>
      </c>
      <c r="F324" s="14" t="s">
        <v>160</v>
      </c>
      <c r="G324" s="14" t="s">
        <v>149</v>
      </c>
      <c r="H324" s="23">
        <v>126265</v>
      </c>
      <c r="I324" s="23">
        <v>39</v>
      </c>
      <c r="J324" s="14">
        <v>1</v>
      </c>
      <c r="L324" s="14">
        <v>0</v>
      </c>
      <c r="N324" s="24">
        <v>1</v>
      </c>
      <c r="P324" s="14">
        <v>0</v>
      </c>
      <c r="R324" s="14">
        <v>0</v>
      </c>
      <c r="T324" s="14" t="str">
        <f t="shared" si="5"/>
        <v>No</v>
      </c>
    </row>
    <row r="325" spans="1:20" s="14" customFormat="1" ht="11.25">
      <c r="A325" s="14" t="s">
        <v>1325</v>
      </c>
      <c r="B325" s="14" t="s">
        <v>1326</v>
      </c>
      <c r="C325" s="14" t="s">
        <v>42</v>
      </c>
      <c r="D325" s="169">
        <v>7014</v>
      </c>
      <c r="E325" s="170">
        <v>70014</v>
      </c>
      <c r="F325" s="14" t="s">
        <v>160</v>
      </c>
      <c r="G325" s="14" t="s">
        <v>149</v>
      </c>
      <c r="H325" s="23">
        <v>150003</v>
      </c>
      <c r="I325" s="23">
        <v>38</v>
      </c>
      <c r="J325" s="14">
        <v>1</v>
      </c>
      <c r="L325" s="14">
        <v>0</v>
      </c>
      <c r="N325" s="24">
        <v>1</v>
      </c>
      <c r="P325" s="14">
        <v>0</v>
      </c>
      <c r="R325" s="14">
        <v>0</v>
      </c>
      <c r="T325" s="14" t="str">
        <f t="shared" si="5"/>
        <v>No</v>
      </c>
    </row>
    <row r="326" spans="1:20" s="14" customFormat="1" ht="11.25">
      <c r="A326" s="14" t="s">
        <v>868</v>
      </c>
      <c r="B326" s="14" t="s">
        <v>869</v>
      </c>
      <c r="C326" s="14" t="s">
        <v>57</v>
      </c>
      <c r="D326" s="169">
        <v>4224</v>
      </c>
      <c r="E326" s="170">
        <v>40224</v>
      </c>
      <c r="F326" s="14" t="s">
        <v>152</v>
      </c>
      <c r="G326" s="14" t="s">
        <v>149</v>
      </c>
      <c r="H326" s="23">
        <v>280648</v>
      </c>
      <c r="I326" s="23">
        <v>38</v>
      </c>
      <c r="J326" s="14">
        <v>0</v>
      </c>
      <c r="L326" s="14">
        <v>0</v>
      </c>
      <c r="N326" s="24">
        <v>0</v>
      </c>
      <c r="P326" s="14">
        <v>0</v>
      </c>
      <c r="R326" s="14">
        <v>0</v>
      </c>
      <c r="T326" s="14" t="str">
        <f t="shared" si="5"/>
        <v>No</v>
      </c>
    </row>
    <row r="327" spans="1:20" s="14" customFormat="1" ht="11.25">
      <c r="A327" s="14" t="s">
        <v>299</v>
      </c>
      <c r="B327" s="14" t="s">
        <v>300</v>
      </c>
      <c r="C327" s="14" t="s">
        <v>47</v>
      </c>
      <c r="D327" s="169">
        <v>3096</v>
      </c>
      <c r="E327" s="170">
        <v>30096</v>
      </c>
      <c r="F327" s="14" t="s">
        <v>160</v>
      </c>
      <c r="G327" s="14" t="s">
        <v>149</v>
      </c>
      <c r="H327" s="23">
        <v>98081</v>
      </c>
      <c r="I327" s="23">
        <v>38</v>
      </c>
      <c r="J327" s="14">
        <v>1</v>
      </c>
      <c r="L327" s="14">
        <v>0</v>
      </c>
      <c r="N327" s="24">
        <v>1</v>
      </c>
      <c r="P327" s="14">
        <v>0</v>
      </c>
      <c r="R327" s="14">
        <v>0</v>
      </c>
      <c r="T327" s="14" t="str">
        <f t="shared" si="5"/>
        <v>No</v>
      </c>
    </row>
    <row r="328" spans="1:20" s="14" customFormat="1" ht="11.25">
      <c r="A328" s="14" t="s">
        <v>370</v>
      </c>
      <c r="B328" s="14" t="s">
        <v>371</v>
      </c>
      <c r="C328" s="14" t="s">
        <v>16</v>
      </c>
      <c r="D328" s="169">
        <v>9209</v>
      </c>
      <c r="E328" s="170">
        <v>90209</v>
      </c>
      <c r="F328" s="14" t="s">
        <v>348</v>
      </c>
      <c r="G328" s="14" t="s">
        <v>149</v>
      </c>
      <c r="H328" s="23">
        <v>3629114</v>
      </c>
      <c r="I328" s="23">
        <v>38</v>
      </c>
      <c r="J328" s="14">
        <v>40</v>
      </c>
      <c r="L328" s="14">
        <v>0</v>
      </c>
      <c r="N328" s="24">
        <v>40</v>
      </c>
      <c r="P328" s="14">
        <v>1</v>
      </c>
      <c r="R328" s="14">
        <v>1</v>
      </c>
      <c r="T328" s="14" t="str">
        <f t="shared" si="5"/>
        <v>No</v>
      </c>
    </row>
    <row r="329" spans="1:20" s="14" customFormat="1" ht="11.25">
      <c r="A329" s="14" t="s">
        <v>1401</v>
      </c>
      <c r="B329" s="14" t="s">
        <v>570</v>
      </c>
      <c r="C329" s="14" t="s">
        <v>51</v>
      </c>
      <c r="D329" s="169">
        <v>5158</v>
      </c>
      <c r="E329" s="170">
        <v>50158</v>
      </c>
      <c r="F329" s="14" t="s">
        <v>98</v>
      </c>
      <c r="G329" s="14" t="s">
        <v>149</v>
      </c>
      <c r="H329" s="23">
        <v>306022</v>
      </c>
      <c r="I329" s="23">
        <v>38</v>
      </c>
      <c r="J329" s="14">
        <v>0</v>
      </c>
      <c r="L329" s="14">
        <v>0</v>
      </c>
      <c r="N329" s="24">
        <v>0</v>
      </c>
      <c r="P329" s="14">
        <v>0</v>
      </c>
      <c r="R329" s="14">
        <v>0</v>
      </c>
      <c r="T329" s="14" t="str">
        <f t="shared" si="5"/>
        <v>No</v>
      </c>
    </row>
    <row r="330" spans="1:20" s="14" customFormat="1" ht="11.25">
      <c r="A330" s="14" t="s">
        <v>1318</v>
      </c>
      <c r="B330" s="14" t="s">
        <v>256</v>
      </c>
      <c r="C330" s="14" t="s">
        <v>95</v>
      </c>
      <c r="D330" s="169">
        <v>3002</v>
      </c>
      <c r="E330" s="170">
        <v>30002</v>
      </c>
      <c r="F330" s="14" t="s">
        <v>160</v>
      </c>
      <c r="G330" s="14" t="s">
        <v>149</v>
      </c>
      <c r="H330" s="23">
        <v>202637</v>
      </c>
      <c r="I330" s="23">
        <v>38</v>
      </c>
      <c r="J330" s="14">
        <v>1</v>
      </c>
      <c r="L330" s="14">
        <v>0</v>
      </c>
      <c r="N330" s="24">
        <v>1</v>
      </c>
      <c r="P330" s="14">
        <v>0</v>
      </c>
      <c r="R330" s="14">
        <v>0</v>
      </c>
      <c r="T330" s="14" t="str">
        <f t="shared" si="5"/>
        <v>No</v>
      </c>
    </row>
    <row r="331" spans="1:20" s="14" customFormat="1" ht="11.25">
      <c r="A331" s="14" t="s">
        <v>540</v>
      </c>
      <c r="B331" s="14" t="s">
        <v>264</v>
      </c>
      <c r="C331" s="14" t="s">
        <v>42</v>
      </c>
      <c r="D331" s="169">
        <v>7048</v>
      </c>
      <c r="E331" s="170">
        <v>70048</v>
      </c>
      <c r="F331" s="14" t="s">
        <v>152</v>
      </c>
      <c r="G331" s="14" t="s">
        <v>149</v>
      </c>
      <c r="H331" s="23">
        <v>88053</v>
      </c>
      <c r="I331" s="23">
        <v>38</v>
      </c>
      <c r="J331" s="14">
        <v>0</v>
      </c>
      <c r="L331" s="14">
        <v>0</v>
      </c>
      <c r="N331" s="24">
        <v>0</v>
      </c>
      <c r="P331" s="14">
        <v>0</v>
      </c>
      <c r="R331" s="14">
        <v>0</v>
      </c>
      <c r="T331" s="14" t="str">
        <f t="shared" si="5"/>
        <v>No</v>
      </c>
    </row>
    <row r="332" spans="1:20" s="14" customFormat="1" ht="11.25">
      <c r="A332" s="14" t="s">
        <v>591</v>
      </c>
      <c r="B332" s="14" t="s">
        <v>258</v>
      </c>
      <c r="C332" s="14" t="s">
        <v>75</v>
      </c>
      <c r="D332" s="169">
        <v>3023</v>
      </c>
      <c r="E332" s="170">
        <v>30023</v>
      </c>
      <c r="F332" s="14" t="s">
        <v>160</v>
      </c>
      <c r="G332" s="14" t="s">
        <v>149</v>
      </c>
      <c r="H332" s="23">
        <v>1733853</v>
      </c>
      <c r="I332" s="23">
        <v>37</v>
      </c>
      <c r="J332" s="14">
        <v>2</v>
      </c>
      <c r="L332" s="14">
        <v>0</v>
      </c>
      <c r="N332" s="24">
        <v>2</v>
      </c>
      <c r="P332" s="14">
        <v>2</v>
      </c>
      <c r="R332" s="14">
        <v>0</v>
      </c>
      <c r="T332" s="14" t="str">
        <f t="shared" si="5"/>
        <v>No</v>
      </c>
    </row>
    <row r="333" spans="1:20" s="14" customFormat="1" ht="11.25">
      <c r="A333" s="14" t="s">
        <v>879</v>
      </c>
      <c r="B333" s="14" t="s">
        <v>322</v>
      </c>
      <c r="C333" s="14" t="s">
        <v>35</v>
      </c>
      <c r="D333" s="169">
        <v>4058</v>
      </c>
      <c r="E333" s="170">
        <v>40058</v>
      </c>
      <c r="F333" s="14" t="s">
        <v>152</v>
      </c>
      <c r="G333" s="14" t="s">
        <v>149</v>
      </c>
      <c r="H333" s="23">
        <v>60851</v>
      </c>
      <c r="I333" s="23">
        <v>37</v>
      </c>
      <c r="J333" s="14">
        <v>0</v>
      </c>
      <c r="L333" s="14">
        <v>0</v>
      </c>
      <c r="N333" s="24">
        <v>0</v>
      </c>
      <c r="P333" s="14">
        <v>0</v>
      </c>
      <c r="R333" s="14">
        <v>0</v>
      </c>
      <c r="T333" s="14" t="str">
        <f t="shared" si="5"/>
        <v>No</v>
      </c>
    </row>
    <row r="334" spans="1:20" s="14" customFormat="1" ht="11.25">
      <c r="A334" s="14" t="s">
        <v>1843</v>
      </c>
      <c r="B334" s="14" t="s">
        <v>921</v>
      </c>
      <c r="C334" s="14" t="s">
        <v>58</v>
      </c>
      <c r="D334" s="169">
        <v>8003</v>
      </c>
      <c r="E334" s="170">
        <v>80003</v>
      </c>
      <c r="F334" s="14" t="s">
        <v>152</v>
      </c>
      <c r="G334" s="14" t="s">
        <v>149</v>
      </c>
      <c r="H334" s="23">
        <v>176676</v>
      </c>
      <c r="I334" s="23">
        <v>37</v>
      </c>
      <c r="J334" s="14">
        <v>2</v>
      </c>
      <c r="L334" s="14">
        <v>0</v>
      </c>
      <c r="N334" s="24">
        <v>2</v>
      </c>
      <c r="P334" s="14">
        <v>1</v>
      </c>
      <c r="R334" s="14">
        <v>0</v>
      </c>
      <c r="T334" s="14" t="str">
        <f t="shared" si="5"/>
        <v>No</v>
      </c>
    </row>
    <row r="335" spans="1:20" s="14" customFormat="1" ht="11.25">
      <c r="A335" s="14" t="s">
        <v>627</v>
      </c>
      <c r="B335" s="14" t="s">
        <v>248</v>
      </c>
      <c r="C335" s="14" t="s">
        <v>40</v>
      </c>
      <c r="D335" s="169">
        <v>5110</v>
      </c>
      <c r="E335" s="170">
        <v>50110</v>
      </c>
      <c r="F335" s="14" t="s">
        <v>160</v>
      </c>
      <c r="G335" s="14" t="s">
        <v>149</v>
      </c>
      <c r="H335" s="23">
        <v>108657</v>
      </c>
      <c r="I335" s="23">
        <v>37</v>
      </c>
      <c r="J335" s="14">
        <v>1</v>
      </c>
      <c r="L335" s="14">
        <v>0</v>
      </c>
      <c r="N335" s="24">
        <v>1</v>
      </c>
      <c r="P335" s="14">
        <v>0</v>
      </c>
      <c r="R335" s="14">
        <v>0</v>
      </c>
      <c r="T335" s="14" t="str">
        <f t="shared" si="5"/>
        <v>No</v>
      </c>
    </row>
    <row r="336" spans="1:20" s="14" customFormat="1" ht="11.25">
      <c r="A336" s="14" t="s">
        <v>1650</v>
      </c>
      <c r="B336" s="14" t="s">
        <v>1650</v>
      </c>
      <c r="C336" s="14" t="s">
        <v>52</v>
      </c>
      <c r="D336" s="169">
        <v>5219</v>
      </c>
      <c r="E336" s="170">
        <v>50516</v>
      </c>
      <c r="F336" s="14" t="s">
        <v>152</v>
      </c>
      <c r="G336" s="14" t="s">
        <v>149</v>
      </c>
      <c r="H336" s="23">
        <v>2650890</v>
      </c>
      <c r="I336" s="23">
        <v>37</v>
      </c>
      <c r="J336" s="14">
        <v>2</v>
      </c>
      <c r="L336" s="14">
        <v>0</v>
      </c>
      <c r="N336" s="24">
        <v>2</v>
      </c>
      <c r="P336" s="14">
        <v>1</v>
      </c>
      <c r="R336" s="14">
        <v>0</v>
      </c>
      <c r="T336" s="14" t="str">
        <f t="shared" si="5"/>
        <v>No</v>
      </c>
    </row>
    <row r="337" spans="1:20" s="14" customFormat="1" ht="11.25">
      <c r="A337" s="14" t="s">
        <v>920</v>
      </c>
      <c r="B337" s="14" t="s">
        <v>275</v>
      </c>
      <c r="C337" s="14" t="s">
        <v>54</v>
      </c>
      <c r="D337" s="169">
        <v>7016</v>
      </c>
      <c r="E337" s="170">
        <v>70016</v>
      </c>
      <c r="F337" s="14" t="s">
        <v>152</v>
      </c>
      <c r="G337" s="14" t="s">
        <v>149</v>
      </c>
      <c r="H337" s="23">
        <v>124748</v>
      </c>
      <c r="I337" s="23">
        <v>36</v>
      </c>
      <c r="J337" s="14">
        <v>1</v>
      </c>
      <c r="L337" s="14">
        <v>0</v>
      </c>
      <c r="N337" s="24">
        <v>1</v>
      </c>
      <c r="P337" s="14">
        <v>0</v>
      </c>
      <c r="R337" s="14">
        <v>0</v>
      </c>
      <c r="T337" s="14" t="str">
        <f t="shared" si="5"/>
        <v>No</v>
      </c>
    </row>
    <row r="338" spans="1:20" s="14" customFormat="1" ht="11.25">
      <c r="A338" s="14" t="s">
        <v>1143</v>
      </c>
      <c r="B338" s="14" t="s">
        <v>1144</v>
      </c>
      <c r="C338" s="14" t="s">
        <v>40</v>
      </c>
      <c r="D338" s="169">
        <v>5054</v>
      </c>
      <c r="E338" s="170">
        <v>50054</v>
      </c>
      <c r="F338" s="14" t="s">
        <v>152</v>
      </c>
      <c r="G338" s="14" t="s">
        <v>149</v>
      </c>
      <c r="H338" s="23">
        <v>90580</v>
      </c>
      <c r="I338" s="23">
        <v>36</v>
      </c>
      <c r="J338" s="14">
        <v>1</v>
      </c>
      <c r="L338" s="14">
        <v>0</v>
      </c>
      <c r="N338" s="24">
        <v>1</v>
      </c>
      <c r="P338" s="14">
        <v>0</v>
      </c>
      <c r="R338" s="14">
        <v>0</v>
      </c>
      <c r="T338" s="14" t="str">
        <f t="shared" si="5"/>
        <v>No</v>
      </c>
    </row>
    <row r="339" spans="1:20" s="14" customFormat="1" ht="11.25">
      <c r="A339" s="14" t="s">
        <v>49</v>
      </c>
      <c r="B339" s="14" t="s">
        <v>334</v>
      </c>
      <c r="C339" s="14" t="s">
        <v>47</v>
      </c>
      <c r="D339" s="169">
        <v>3072</v>
      </c>
      <c r="E339" s="170">
        <v>30072</v>
      </c>
      <c r="F339" s="14" t="s">
        <v>152</v>
      </c>
      <c r="G339" s="14" t="s">
        <v>149</v>
      </c>
      <c r="H339" s="23">
        <v>141576</v>
      </c>
      <c r="I339" s="23">
        <v>36</v>
      </c>
      <c r="J339" s="14">
        <v>1</v>
      </c>
      <c r="L339" s="14">
        <v>0</v>
      </c>
      <c r="N339" s="24">
        <v>1</v>
      </c>
      <c r="P339" s="14">
        <v>0</v>
      </c>
      <c r="R339" s="14">
        <v>0</v>
      </c>
      <c r="T339" s="14" t="str">
        <f t="shared" si="5"/>
        <v>No</v>
      </c>
    </row>
    <row r="340" spans="1:20" s="14" customFormat="1" ht="11.25">
      <c r="A340" s="14" t="s">
        <v>1112</v>
      </c>
      <c r="B340" s="14" t="s">
        <v>1113</v>
      </c>
      <c r="C340" s="14" t="s">
        <v>40</v>
      </c>
      <c r="D340" s="169">
        <v>5043</v>
      </c>
      <c r="E340" s="170">
        <v>50043</v>
      </c>
      <c r="F340" s="14" t="s">
        <v>152</v>
      </c>
      <c r="G340" s="14" t="s">
        <v>149</v>
      </c>
      <c r="H340" s="23">
        <v>229351</v>
      </c>
      <c r="I340" s="23">
        <v>36</v>
      </c>
      <c r="J340" s="14">
        <v>1</v>
      </c>
      <c r="L340" s="14">
        <v>0</v>
      </c>
      <c r="N340" s="24">
        <v>1</v>
      </c>
      <c r="P340" s="14">
        <v>0</v>
      </c>
      <c r="R340" s="14">
        <v>0</v>
      </c>
      <c r="T340" s="14" t="str">
        <f t="shared" si="5"/>
        <v>No</v>
      </c>
    </row>
    <row r="341" spans="1:20" s="14" customFormat="1" ht="11.25">
      <c r="A341" s="14" t="s">
        <v>1012</v>
      </c>
      <c r="B341" s="14" t="s">
        <v>1013</v>
      </c>
      <c r="C341" s="14" t="s">
        <v>92</v>
      </c>
      <c r="D341" s="169">
        <v>5002</v>
      </c>
      <c r="E341" s="170">
        <v>50002</v>
      </c>
      <c r="F341" s="14" t="s">
        <v>152</v>
      </c>
      <c r="G341" s="14" t="s">
        <v>149</v>
      </c>
      <c r="H341" s="23">
        <v>206520</v>
      </c>
      <c r="I341" s="23">
        <v>36</v>
      </c>
      <c r="J341" s="14">
        <v>1</v>
      </c>
      <c r="L341" s="14">
        <v>0</v>
      </c>
      <c r="N341" s="24">
        <v>1</v>
      </c>
      <c r="P341" s="14">
        <v>0</v>
      </c>
      <c r="R341" s="14">
        <v>0</v>
      </c>
      <c r="T341" s="14" t="str">
        <f t="shared" si="5"/>
        <v>No</v>
      </c>
    </row>
    <row r="342" spans="1:20" s="14" customFormat="1" ht="11.25">
      <c r="A342" s="14" t="s">
        <v>1342</v>
      </c>
      <c r="B342" s="14" t="s">
        <v>953</v>
      </c>
      <c r="C342" s="14" t="s">
        <v>19</v>
      </c>
      <c r="D342" s="169">
        <v>9142</v>
      </c>
      <c r="E342" s="170">
        <v>90142</v>
      </c>
      <c r="F342" s="14" t="s">
        <v>98</v>
      </c>
      <c r="G342" s="14" t="s">
        <v>149</v>
      </c>
      <c r="H342" s="23">
        <v>72794</v>
      </c>
      <c r="I342" s="23">
        <v>35</v>
      </c>
      <c r="J342" s="14">
        <v>0</v>
      </c>
      <c r="L342" s="14">
        <v>0</v>
      </c>
      <c r="N342" s="24">
        <v>0</v>
      </c>
      <c r="P342" s="14">
        <v>0</v>
      </c>
      <c r="R342" s="14">
        <v>0</v>
      </c>
      <c r="T342" s="14" t="str">
        <f t="shared" si="5"/>
        <v>No</v>
      </c>
    </row>
    <row r="343" spans="1:20" s="14" customFormat="1" ht="11.25">
      <c r="A343" s="14" t="s">
        <v>884</v>
      </c>
      <c r="B343" s="14" t="s">
        <v>885</v>
      </c>
      <c r="C343" s="14" t="s">
        <v>19</v>
      </c>
      <c r="D343" s="169">
        <v>9017</v>
      </c>
      <c r="E343" s="170">
        <v>90017</v>
      </c>
      <c r="F343" s="14" t="s">
        <v>152</v>
      </c>
      <c r="G343" s="14" t="s">
        <v>149</v>
      </c>
      <c r="H343" s="23">
        <v>308231</v>
      </c>
      <c r="I343" s="23">
        <v>35</v>
      </c>
      <c r="J343" s="14">
        <v>2</v>
      </c>
      <c r="L343" s="14">
        <v>0</v>
      </c>
      <c r="N343" s="24">
        <v>2</v>
      </c>
      <c r="P343" s="14">
        <v>0</v>
      </c>
      <c r="R343" s="14">
        <v>0</v>
      </c>
      <c r="T343" s="14" t="str">
        <f t="shared" si="5"/>
        <v>No</v>
      </c>
    </row>
    <row r="344" spans="1:20" s="14" customFormat="1" ht="11.25">
      <c r="A344" s="14" t="s">
        <v>982</v>
      </c>
      <c r="B344" s="14" t="s">
        <v>983</v>
      </c>
      <c r="C344" s="14" t="s">
        <v>37</v>
      </c>
      <c r="D344" s="169">
        <v>7008</v>
      </c>
      <c r="E344" s="170">
        <v>70008</v>
      </c>
      <c r="F344" s="14" t="s">
        <v>152</v>
      </c>
      <c r="G344" s="14" t="s">
        <v>149</v>
      </c>
      <c r="H344" s="23">
        <v>177844</v>
      </c>
      <c r="I344" s="23">
        <v>35</v>
      </c>
      <c r="J344" s="14">
        <v>1</v>
      </c>
      <c r="L344" s="14">
        <v>0</v>
      </c>
      <c r="N344" s="24">
        <v>1</v>
      </c>
      <c r="P344" s="14">
        <v>1</v>
      </c>
      <c r="R344" s="14">
        <v>0</v>
      </c>
      <c r="T344" s="14" t="str">
        <f t="shared" si="5"/>
        <v>No</v>
      </c>
    </row>
    <row r="345" spans="1:20" s="14" customFormat="1" ht="11.25">
      <c r="A345" s="14" t="s">
        <v>239</v>
      </c>
      <c r="B345" s="14" t="s">
        <v>240</v>
      </c>
      <c r="C345" s="14" t="s">
        <v>57</v>
      </c>
      <c r="D345" s="169">
        <v>4147</v>
      </c>
      <c r="E345" s="170">
        <v>40147</v>
      </c>
      <c r="F345" s="14" t="s">
        <v>98</v>
      </c>
      <c r="G345" s="14" t="s">
        <v>149</v>
      </c>
      <c r="H345" s="23">
        <v>884891</v>
      </c>
      <c r="I345" s="23">
        <v>35</v>
      </c>
      <c r="J345" s="14">
        <v>0</v>
      </c>
      <c r="L345" s="14">
        <v>0</v>
      </c>
      <c r="N345" s="24">
        <v>0</v>
      </c>
      <c r="P345" s="14">
        <v>0</v>
      </c>
      <c r="R345" s="14">
        <v>0</v>
      </c>
      <c r="T345" s="14" t="str">
        <f t="shared" si="5"/>
        <v>No</v>
      </c>
    </row>
    <row r="346" spans="1:20" s="14" customFormat="1" ht="11.25">
      <c r="A346" s="14" t="s">
        <v>1040</v>
      </c>
      <c r="B346" s="14" t="s">
        <v>1041</v>
      </c>
      <c r="C346" s="14" t="s">
        <v>86</v>
      </c>
      <c r="D346" s="169">
        <v>3076</v>
      </c>
      <c r="E346" s="170">
        <v>30076</v>
      </c>
      <c r="F346" s="14" t="s">
        <v>160</v>
      </c>
      <c r="G346" s="14" t="s">
        <v>149</v>
      </c>
      <c r="H346" s="23">
        <v>75689</v>
      </c>
      <c r="I346" s="23">
        <v>35</v>
      </c>
      <c r="J346" s="14">
        <v>1</v>
      </c>
      <c r="L346" s="14">
        <v>0</v>
      </c>
      <c r="N346" s="24">
        <v>1</v>
      </c>
      <c r="P346" s="14">
        <v>0</v>
      </c>
      <c r="R346" s="14">
        <v>0</v>
      </c>
      <c r="T346" s="14" t="str">
        <f t="shared" si="5"/>
        <v>No</v>
      </c>
    </row>
    <row r="347" spans="1:20" s="14" customFormat="1" ht="11.25">
      <c r="A347" s="14" t="s">
        <v>1630</v>
      </c>
      <c r="B347" s="14" t="s">
        <v>1663</v>
      </c>
      <c r="C347" s="14" t="s">
        <v>45</v>
      </c>
      <c r="D347" s="169"/>
      <c r="E347" s="170">
        <v>10183</v>
      </c>
      <c r="F347" s="14" t="s">
        <v>160</v>
      </c>
      <c r="G347" s="14" t="s">
        <v>149</v>
      </c>
      <c r="H347" s="23">
        <v>246695</v>
      </c>
      <c r="I347" s="23">
        <v>35</v>
      </c>
      <c r="J347" s="14">
        <v>8</v>
      </c>
      <c r="L347" s="14">
        <v>0</v>
      </c>
      <c r="N347" s="24">
        <v>8</v>
      </c>
      <c r="P347" s="14">
        <v>4</v>
      </c>
      <c r="R347" s="14">
        <v>0</v>
      </c>
      <c r="T347" s="14" t="str">
        <f t="shared" si="5"/>
        <v>No</v>
      </c>
    </row>
    <row r="348" spans="1:20" s="14" customFormat="1" ht="11.25">
      <c r="A348" s="14" t="s">
        <v>469</v>
      </c>
      <c r="B348" s="14" t="s">
        <v>470</v>
      </c>
      <c r="C348" s="14" t="s">
        <v>16</v>
      </c>
      <c r="D348" s="169">
        <v>9219</v>
      </c>
      <c r="E348" s="170">
        <v>90219</v>
      </c>
      <c r="F348" s="14" t="s">
        <v>160</v>
      </c>
      <c r="G348" s="14" t="s">
        <v>149</v>
      </c>
      <c r="H348" s="23">
        <v>71957</v>
      </c>
      <c r="I348" s="23">
        <v>35</v>
      </c>
      <c r="J348" s="14">
        <v>0</v>
      </c>
      <c r="L348" s="14">
        <v>0</v>
      </c>
      <c r="N348" s="24">
        <v>0</v>
      </c>
      <c r="P348" s="14">
        <v>0</v>
      </c>
      <c r="R348" s="14">
        <v>0</v>
      </c>
      <c r="T348" s="14" t="str">
        <f t="shared" si="5"/>
        <v>No</v>
      </c>
    </row>
    <row r="349" spans="1:20" s="14" customFormat="1" ht="11.25">
      <c r="A349" s="14" t="s">
        <v>1694</v>
      </c>
      <c r="B349" s="14" t="s">
        <v>796</v>
      </c>
      <c r="C349" s="14" t="s">
        <v>19</v>
      </c>
      <c r="D349" s="169"/>
      <c r="E349" s="170">
        <v>99423</v>
      </c>
      <c r="F349" s="14" t="s">
        <v>152</v>
      </c>
      <c r="G349" s="14" t="s">
        <v>149</v>
      </c>
      <c r="H349" s="23">
        <v>12150996</v>
      </c>
      <c r="I349" s="23">
        <v>34</v>
      </c>
      <c r="J349" s="14">
        <v>0</v>
      </c>
      <c r="L349" s="14">
        <v>0</v>
      </c>
      <c r="N349" s="24">
        <v>0</v>
      </c>
      <c r="P349" s="14">
        <v>0</v>
      </c>
      <c r="R349" s="14">
        <v>0</v>
      </c>
      <c r="T349" s="14" t="str">
        <f t="shared" si="5"/>
        <v>No</v>
      </c>
    </row>
    <row r="350" spans="1:20" s="14" customFormat="1" ht="11.25">
      <c r="A350" s="14" t="s">
        <v>1033</v>
      </c>
      <c r="B350" s="14" t="s">
        <v>1034</v>
      </c>
      <c r="C350" s="14" t="s">
        <v>32</v>
      </c>
      <c r="D350" s="169">
        <v>4104</v>
      </c>
      <c r="E350" s="170">
        <v>40104</v>
      </c>
      <c r="F350" s="14" t="s">
        <v>152</v>
      </c>
      <c r="G350" s="14" t="s">
        <v>149</v>
      </c>
      <c r="H350" s="23">
        <v>149422</v>
      </c>
      <c r="I350" s="23">
        <v>34</v>
      </c>
      <c r="J350" s="14">
        <v>1</v>
      </c>
      <c r="L350" s="14">
        <v>0</v>
      </c>
      <c r="N350" s="24">
        <v>1</v>
      </c>
      <c r="P350" s="14">
        <v>0</v>
      </c>
      <c r="R350" s="14">
        <v>0</v>
      </c>
      <c r="T350" s="14" t="str">
        <f t="shared" si="5"/>
        <v>No</v>
      </c>
    </row>
    <row r="351" spans="1:20" s="14" customFormat="1" ht="11.25">
      <c r="A351" s="14" t="s">
        <v>135</v>
      </c>
      <c r="B351" s="14" t="s">
        <v>556</v>
      </c>
      <c r="C351" s="14" t="s">
        <v>75</v>
      </c>
      <c r="D351" s="169">
        <v>3011</v>
      </c>
      <c r="E351" s="170">
        <v>30011</v>
      </c>
      <c r="F351" s="14" t="s">
        <v>160</v>
      </c>
      <c r="G351" s="14" t="s">
        <v>149</v>
      </c>
      <c r="H351" s="23">
        <v>79930</v>
      </c>
      <c r="I351" s="23">
        <v>34</v>
      </c>
      <c r="J351" s="14">
        <v>1</v>
      </c>
      <c r="L351" s="14">
        <v>0</v>
      </c>
      <c r="N351" s="24">
        <v>1</v>
      </c>
      <c r="P351" s="14">
        <v>0</v>
      </c>
      <c r="R351" s="14">
        <v>0</v>
      </c>
      <c r="T351" s="14" t="str">
        <f t="shared" si="5"/>
        <v>No</v>
      </c>
    </row>
    <row r="352" spans="1:20" s="14" customFormat="1" ht="11.25">
      <c r="A352" s="14" t="s">
        <v>1689</v>
      </c>
      <c r="B352" s="14" t="s">
        <v>573</v>
      </c>
      <c r="C352" s="14" t="s">
        <v>47</v>
      </c>
      <c r="D352" s="169" t="s">
        <v>1690</v>
      </c>
      <c r="E352" s="170">
        <v>30129</v>
      </c>
      <c r="F352" s="14" t="s">
        <v>152</v>
      </c>
      <c r="G352" s="14" t="s">
        <v>149</v>
      </c>
      <c r="H352" s="23">
        <v>2203663</v>
      </c>
      <c r="I352" s="23">
        <v>34</v>
      </c>
      <c r="J352" s="14">
        <v>0</v>
      </c>
      <c r="L352" s="14">
        <v>0</v>
      </c>
      <c r="N352" s="24">
        <v>0</v>
      </c>
      <c r="P352" s="14">
        <v>0</v>
      </c>
      <c r="R352" s="14">
        <v>0</v>
      </c>
      <c r="T352" s="14" t="str">
        <f t="shared" si="5"/>
        <v>No</v>
      </c>
    </row>
    <row r="353" spans="1:20" s="14" customFormat="1" ht="11.25">
      <c r="A353" s="14" t="s">
        <v>1387</v>
      </c>
      <c r="B353" s="14" t="s">
        <v>265</v>
      </c>
      <c r="C353" s="14" t="s">
        <v>19</v>
      </c>
      <c r="D353" s="169">
        <v>9061</v>
      </c>
      <c r="E353" s="170">
        <v>90061</v>
      </c>
      <c r="F353" s="14" t="s">
        <v>160</v>
      </c>
      <c r="G353" s="14" t="s">
        <v>149</v>
      </c>
      <c r="H353" s="23">
        <v>116719</v>
      </c>
      <c r="I353" s="23">
        <v>34</v>
      </c>
      <c r="J353" s="14">
        <v>0</v>
      </c>
      <c r="L353" s="14">
        <v>0</v>
      </c>
      <c r="N353" s="24">
        <v>0</v>
      </c>
      <c r="P353" s="14">
        <v>0</v>
      </c>
      <c r="R353" s="14">
        <v>0</v>
      </c>
      <c r="T353" s="14" t="str">
        <f t="shared" si="5"/>
        <v>No</v>
      </c>
    </row>
    <row r="354" spans="1:20" s="14" customFormat="1" ht="11.25">
      <c r="A354" s="14" t="s">
        <v>1356</v>
      </c>
      <c r="B354" s="14" t="s">
        <v>1404</v>
      </c>
      <c r="C354" s="14" t="s">
        <v>92</v>
      </c>
      <c r="D354" s="169">
        <v>5160</v>
      </c>
      <c r="E354" s="170">
        <v>50160</v>
      </c>
      <c r="F354" s="14" t="s">
        <v>152</v>
      </c>
      <c r="G354" s="14" t="s">
        <v>149</v>
      </c>
      <c r="H354" s="23">
        <v>1376476</v>
      </c>
      <c r="I354" s="23">
        <v>33</v>
      </c>
      <c r="J354" s="14">
        <v>0</v>
      </c>
      <c r="L354" s="14">
        <v>0</v>
      </c>
      <c r="N354" s="24">
        <v>0</v>
      </c>
      <c r="P354" s="14">
        <v>0</v>
      </c>
      <c r="R354" s="14">
        <v>0</v>
      </c>
      <c r="T354" s="14" t="str">
        <f t="shared" si="5"/>
        <v>No</v>
      </c>
    </row>
    <row r="355" spans="1:20" s="14" customFormat="1" ht="11.25">
      <c r="A355" s="14" t="s">
        <v>1131</v>
      </c>
      <c r="B355" s="14" t="s">
        <v>298</v>
      </c>
      <c r="C355" s="14" t="s">
        <v>56</v>
      </c>
      <c r="D355" s="169">
        <v>8009</v>
      </c>
      <c r="E355" s="170">
        <v>80009</v>
      </c>
      <c r="F355" s="14" t="s">
        <v>160</v>
      </c>
      <c r="G355" s="14" t="s">
        <v>149</v>
      </c>
      <c r="H355" s="23">
        <v>82157</v>
      </c>
      <c r="I355" s="23">
        <v>33</v>
      </c>
      <c r="J355" s="14">
        <v>1</v>
      </c>
      <c r="L355" s="14">
        <v>0</v>
      </c>
      <c r="N355" s="24">
        <v>1</v>
      </c>
      <c r="P355" s="14">
        <v>1</v>
      </c>
      <c r="R355" s="14">
        <v>0</v>
      </c>
      <c r="T355" s="14" t="str">
        <f t="shared" si="5"/>
        <v>No</v>
      </c>
    </row>
    <row r="356" spans="1:20" s="14" customFormat="1" ht="11.25">
      <c r="A356" s="14" t="s">
        <v>1655</v>
      </c>
      <c r="B356" s="14" t="s">
        <v>1681</v>
      </c>
      <c r="C356" s="14" t="s">
        <v>84</v>
      </c>
      <c r="D356" s="169">
        <v>6134</v>
      </c>
      <c r="E356" s="170">
        <v>60134</v>
      </c>
      <c r="F356" s="14" t="s">
        <v>152</v>
      </c>
      <c r="G356" s="14" t="s">
        <v>149</v>
      </c>
      <c r="H356" s="23">
        <v>239938</v>
      </c>
      <c r="I356" s="23">
        <v>33</v>
      </c>
      <c r="J356" s="14">
        <v>3</v>
      </c>
      <c r="L356" s="14">
        <v>0</v>
      </c>
      <c r="N356" s="24">
        <v>3</v>
      </c>
      <c r="P356" s="14">
        <v>0</v>
      </c>
      <c r="R356" s="14">
        <v>0</v>
      </c>
      <c r="T356" s="14" t="str">
        <f t="shared" si="5"/>
        <v>No</v>
      </c>
    </row>
    <row r="357" spans="1:20" s="14" customFormat="1" ht="11.25">
      <c r="A357" s="14" t="s">
        <v>655</v>
      </c>
      <c r="B357" s="14" t="s">
        <v>656</v>
      </c>
      <c r="C357" s="14" t="s">
        <v>32</v>
      </c>
      <c r="D357" s="169">
        <v>4097</v>
      </c>
      <c r="E357" s="170">
        <v>40097</v>
      </c>
      <c r="F357" s="14" t="s">
        <v>323</v>
      </c>
      <c r="G357" s="14" t="s">
        <v>149</v>
      </c>
      <c r="H357" s="23">
        <v>376047</v>
      </c>
      <c r="I357" s="23">
        <v>33</v>
      </c>
      <c r="J357" s="14">
        <v>1</v>
      </c>
      <c r="L357" s="14">
        <v>0</v>
      </c>
      <c r="N357" s="24">
        <v>1</v>
      </c>
      <c r="P357" s="14">
        <v>0</v>
      </c>
      <c r="R357" s="14">
        <v>0</v>
      </c>
      <c r="T357" s="14" t="str">
        <f t="shared" si="5"/>
        <v>No</v>
      </c>
    </row>
    <row r="358" spans="1:20" s="14" customFormat="1" ht="11.25">
      <c r="A358" s="14" t="s">
        <v>662</v>
      </c>
      <c r="B358" s="14" t="s">
        <v>663</v>
      </c>
      <c r="C358" s="14" t="s">
        <v>19</v>
      </c>
      <c r="D358" s="169">
        <v>9229</v>
      </c>
      <c r="E358" s="170">
        <v>90229</v>
      </c>
      <c r="F358" s="14" t="s">
        <v>160</v>
      </c>
      <c r="G358" s="14" t="s">
        <v>149</v>
      </c>
      <c r="H358" s="23">
        <v>1723634</v>
      </c>
      <c r="I358" s="23">
        <v>33</v>
      </c>
      <c r="J358" s="14">
        <v>0</v>
      </c>
      <c r="L358" s="14">
        <v>0</v>
      </c>
      <c r="N358" s="24">
        <v>0</v>
      </c>
      <c r="P358" s="14">
        <v>0</v>
      </c>
      <c r="R358" s="14">
        <v>0</v>
      </c>
      <c r="T358" s="14" t="str">
        <f t="shared" si="5"/>
        <v>No</v>
      </c>
    </row>
    <row r="359" spans="1:20" s="14" customFormat="1" ht="11.25">
      <c r="A359" s="14" t="s">
        <v>1133</v>
      </c>
      <c r="B359" s="14" t="s">
        <v>1134</v>
      </c>
      <c r="C359" s="14" t="s">
        <v>69</v>
      </c>
      <c r="D359" s="169">
        <v>2135</v>
      </c>
      <c r="E359" s="170">
        <v>20135</v>
      </c>
      <c r="F359" s="14" t="s">
        <v>148</v>
      </c>
      <c r="G359" s="14" t="s">
        <v>149</v>
      </c>
      <c r="H359" s="23">
        <v>18351295</v>
      </c>
      <c r="I359" s="23">
        <v>32</v>
      </c>
      <c r="J359" s="14">
        <v>0</v>
      </c>
      <c r="L359" s="14">
        <v>0</v>
      </c>
      <c r="N359" s="24">
        <v>0</v>
      </c>
      <c r="P359" s="14">
        <v>0</v>
      </c>
      <c r="R359" s="14">
        <v>0</v>
      </c>
      <c r="T359" s="14" t="str">
        <f t="shared" si="5"/>
        <v>No</v>
      </c>
    </row>
    <row r="360" spans="1:20" s="14" customFormat="1" ht="11.25">
      <c r="A360" s="14" t="s">
        <v>14</v>
      </c>
      <c r="B360" s="14" t="s">
        <v>199</v>
      </c>
      <c r="C360" s="14" t="s">
        <v>13</v>
      </c>
      <c r="D360" s="169">
        <v>4071</v>
      </c>
      <c r="E360" s="170">
        <v>40071</v>
      </c>
      <c r="F360" s="14" t="s">
        <v>152</v>
      </c>
      <c r="G360" s="14" t="s">
        <v>149</v>
      </c>
      <c r="H360" s="23">
        <v>286692</v>
      </c>
      <c r="I360" s="23">
        <v>32</v>
      </c>
      <c r="J360" s="14">
        <v>2</v>
      </c>
      <c r="L360" s="14">
        <v>0</v>
      </c>
      <c r="N360" s="24">
        <v>2</v>
      </c>
      <c r="P360" s="14">
        <v>2</v>
      </c>
      <c r="R360" s="14">
        <v>1</v>
      </c>
      <c r="T360" s="14" t="str">
        <f t="shared" si="5"/>
        <v>No</v>
      </c>
    </row>
    <row r="361" spans="1:20" s="14" customFormat="1" ht="11.25">
      <c r="A361" s="14" t="s">
        <v>492</v>
      </c>
      <c r="B361" s="14" t="s">
        <v>493</v>
      </c>
      <c r="C361" s="14" t="s">
        <v>32</v>
      </c>
      <c r="D361" s="169">
        <v>4185</v>
      </c>
      <c r="E361" s="170">
        <v>40185</v>
      </c>
      <c r="F361" s="14" t="s">
        <v>188</v>
      </c>
      <c r="G361" s="14" t="s">
        <v>149</v>
      </c>
      <c r="H361" s="23">
        <v>143280</v>
      </c>
      <c r="I361" s="23">
        <v>32</v>
      </c>
      <c r="J361" s="14">
        <v>1</v>
      </c>
      <c r="L361" s="14">
        <v>0</v>
      </c>
      <c r="N361" s="24">
        <v>1</v>
      </c>
      <c r="P361" s="14">
        <v>0</v>
      </c>
      <c r="R361" s="14">
        <v>0</v>
      </c>
      <c r="T361" s="14" t="str">
        <f t="shared" si="5"/>
        <v>No</v>
      </c>
    </row>
    <row r="362" spans="1:20" s="14" customFormat="1" ht="11.25">
      <c r="A362" s="14" t="s">
        <v>1844</v>
      </c>
      <c r="B362" s="14" t="s">
        <v>209</v>
      </c>
      <c r="C362" s="14" t="s">
        <v>55</v>
      </c>
      <c r="D362" s="169">
        <v>4015</v>
      </c>
      <c r="E362" s="170">
        <v>40015</v>
      </c>
      <c r="F362" s="14" t="s">
        <v>152</v>
      </c>
      <c r="G362" s="14" t="s">
        <v>149</v>
      </c>
      <c r="H362" s="23">
        <v>351478</v>
      </c>
      <c r="I362" s="23">
        <v>31</v>
      </c>
      <c r="J362" s="14">
        <v>1</v>
      </c>
      <c r="L362" s="14">
        <v>0</v>
      </c>
      <c r="N362" s="24">
        <v>1</v>
      </c>
      <c r="P362" s="14">
        <v>1</v>
      </c>
      <c r="R362" s="14">
        <v>0</v>
      </c>
      <c r="T362" s="14" t="str">
        <f t="shared" si="5"/>
        <v>No</v>
      </c>
    </row>
    <row r="363" spans="1:20" s="14" customFormat="1" ht="11.25">
      <c r="A363" s="14" t="s">
        <v>1405</v>
      </c>
      <c r="B363" s="14" t="s">
        <v>1406</v>
      </c>
      <c r="C363" s="14" t="s">
        <v>92</v>
      </c>
      <c r="D363" s="169">
        <v>5161</v>
      </c>
      <c r="E363" s="170">
        <v>50161</v>
      </c>
      <c r="F363" s="14" t="s">
        <v>152</v>
      </c>
      <c r="G363" s="14" t="s">
        <v>149</v>
      </c>
      <c r="H363" s="23">
        <v>1376476</v>
      </c>
      <c r="I363" s="23">
        <v>31</v>
      </c>
      <c r="J363" s="14">
        <v>0</v>
      </c>
      <c r="L363" s="14">
        <v>0</v>
      </c>
      <c r="N363" s="24">
        <v>0</v>
      </c>
      <c r="P363" s="14">
        <v>0</v>
      </c>
      <c r="R363" s="14">
        <v>0</v>
      </c>
      <c r="T363" s="14" t="str">
        <f t="shared" si="5"/>
        <v>No</v>
      </c>
    </row>
    <row r="364" spans="1:20" s="14" customFormat="1" ht="11.25">
      <c r="A364" s="14" t="s">
        <v>1695</v>
      </c>
      <c r="B364" s="14" t="s">
        <v>1696</v>
      </c>
      <c r="C364" s="14" t="s">
        <v>19</v>
      </c>
      <c r="D364" s="169"/>
      <c r="E364" s="170">
        <v>99424</v>
      </c>
      <c r="F364" s="14" t="s">
        <v>152</v>
      </c>
      <c r="G364" s="14" t="s">
        <v>1490</v>
      </c>
      <c r="H364" s="23">
        <v>12150996</v>
      </c>
      <c r="I364" s="23">
        <v>31</v>
      </c>
      <c r="J364" s="14">
        <v>0</v>
      </c>
      <c r="L364" s="14">
        <v>0</v>
      </c>
      <c r="N364" s="24">
        <v>0</v>
      </c>
      <c r="P364" s="14">
        <v>0</v>
      </c>
      <c r="R364" s="14">
        <v>0</v>
      </c>
      <c r="T364" s="14" t="str">
        <f t="shared" si="5"/>
        <v>No</v>
      </c>
    </row>
    <row r="365" spans="1:20" s="14" customFormat="1" ht="11.25">
      <c r="A365" s="14" t="s">
        <v>1451</v>
      </c>
      <c r="B365" s="14" t="s">
        <v>1452</v>
      </c>
      <c r="C365" s="14" t="s">
        <v>75</v>
      </c>
      <c r="D365" s="169">
        <v>3087</v>
      </c>
      <c r="E365" s="170">
        <v>30087</v>
      </c>
      <c r="F365" s="14" t="s">
        <v>152</v>
      </c>
      <c r="G365" s="14" t="s">
        <v>149</v>
      </c>
      <c r="H365" s="23">
        <v>51370</v>
      </c>
      <c r="I365" s="23">
        <v>31</v>
      </c>
      <c r="J365" s="14">
        <v>2</v>
      </c>
      <c r="L365" s="14">
        <v>0</v>
      </c>
      <c r="N365" s="24">
        <v>2</v>
      </c>
      <c r="P365" s="14">
        <v>1</v>
      </c>
      <c r="R365" s="14">
        <v>0</v>
      </c>
      <c r="T365" s="14" t="str">
        <f t="shared" si="5"/>
        <v>No</v>
      </c>
    </row>
    <row r="366" spans="1:20" s="14" customFormat="1" ht="11.25">
      <c r="A366" s="14" t="s">
        <v>956</v>
      </c>
      <c r="B366" s="14" t="s">
        <v>957</v>
      </c>
      <c r="C366" s="14" t="s">
        <v>39</v>
      </c>
      <c r="D366" s="169">
        <v>5061</v>
      </c>
      <c r="E366" s="170">
        <v>50061</v>
      </c>
      <c r="F366" s="14" t="s">
        <v>152</v>
      </c>
      <c r="G366" s="14" t="s">
        <v>149</v>
      </c>
      <c r="H366" s="23">
        <v>93863</v>
      </c>
      <c r="I366" s="23">
        <v>31</v>
      </c>
      <c r="J366" s="14">
        <v>1</v>
      </c>
      <c r="L366" s="14">
        <v>0</v>
      </c>
      <c r="N366" s="24">
        <v>1</v>
      </c>
      <c r="P366" s="14">
        <v>0</v>
      </c>
      <c r="R366" s="14">
        <v>0</v>
      </c>
      <c r="T366" s="14" t="str">
        <f t="shared" si="5"/>
        <v>No</v>
      </c>
    </row>
    <row r="367" spans="1:20" s="14" customFormat="1" ht="11.25">
      <c r="A367" s="14" t="s">
        <v>621</v>
      </c>
      <c r="B367" s="14" t="s">
        <v>622</v>
      </c>
      <c r="C367" s="14" t="s">
        <v>56</v>
      </c>
      <c r="D367" s="169">
        <v>8004</v>
      </c>
      <c r="E367" s="170">
        <v>80004</v>
      </c>
      <c r="F367" s="14" t="s">
        <v>152</v>
      </c>
      <c r="G367" s="14" t="s">
        <v>149</v>
      </c>
      <c r="H367" s="23">
        <v>114773</v>
      </c>
      <c r="I367" s="23">
        <v>31</v>
      </c>
      <c r="J367" s="14">
        <v>2</v>
      </c>
      <c r="L367" s="14">
        <v>0</v>
      </c>
      <c r="N367" s="24">
        <v>2</v>
      </c>
      <c r="P367" s="14">
        <v>0</v>
      </c>
      <c r="R367" s="14">
        <v>0</v>
      </c>
      <c r="T367" s="14" t="str">
        <f t="shared" si="5"/>
        <v>No</v>
      </c>
    </row>
    <row r="368" spans="1:20" s="14" customFormat="1" ht="11.25">
      <c r="A368" s="14" t="s">
        <v>121</v>
      </c>
      <c r="B368" s="14" t="s">
        <v>866</v>
      </c>
      <c r="C368" s="14" t="s">
        <v>57</v>
      </c>
      <c r="D368" s="169">
        <v>4221</v>
      </c>
      <c r="E368" s="170">
        <v>40221</v>
      </c>
      <c r="F368" s="14" t="s">
        <v>152</v>
      </c>
      <c r="G368" s="14" t="s">
        <v>1490</v>
      </c>
      <c r="H368" s="23">
        <v>169495</v>
      </c>
      <c r="I368" s="23">
        <v>30</v>
      </c>
      <c r="J368" s="14">
        <v>1</v>
      </c>
      <c r="L368" s="14">
        <v>0</v>
      </c>
      <c r="N368" s="24">
        <v>1</v>
      </c>
      <c r="P368" s="14">
        <v>0</v>
      </c>
      <c r="R368" s="14">
        <v>0</v>
      </c>
      <c r="T368" s="14" t="str">
        <f t="shared" si="5"/>
        <v>No</v>
      </c>
    </row>
    <row r="369" spans="1:20" s="14" customFormat="1" ht="11.25">
      <c r="A369" s="14" t="s">
        <v>1411</v>
      </c>
      <c r="B369" s="14" t="s">
        <v>1412</v>
      </c>
      <c r="C369" s="14" t="s">
        <v>13</v>
      </c>
      <c r="D369" s="169">
        <v>4073</v>
      </c>
      <c r="E369" s="170">
        <v>40073</v>
      </c>
      <c r="F369" s="14" t="s">
        <v>188</v>
      </c>
      <c r="G369" s="14" t="s">
        <v>1490</v>
      </c>
      <c r="H369" s="23">
        <v>74741</v>
      </c>
      <c r="I369" s="23">
        <v>30</v>
      </c>
      <c r="J369" s="14">
        <v>0</v>
      </c>
      <c r="L369" s="14">
        <v>0</v>
      </c>
      <c r="N369" s="24">
        <v>0</v>
      </c>
      <c r="P369" s="14">
        <v>0</v>
      </c>
      <c r="R369" s="14">
        <v>0</v>
      </c>
      <c r="T369" s="14" t="str">
        <f t="shared" si="5"/>
        <v>No</v>
      </c>
    </row>
    <row r="370" spans="1:20" s="14" customFormat="1" ht="11.25">
      <c r="A370" s="14" t="s">
        <v>1638</v>
      </c>
      <c r="B370" s="14" t="s">
        <v>155</v>
      </c>
      <c r="C370" s="14" t="s">
        <v>47</v>
      </c>
      <c r="D370" s="169">
        <v>3092</v>
      </c>
      <c r="E370" s="170">
        <v>30092</v>
      </c>
      <c r="F370" s="14" t="s">
        <v>152</v>
      </c>
      <c r="G370" s="14" t="s">
        <v>1490</v>
      </c>
      <c r="H370" s="23">
        <v>72714</v>
      </c>
      <c r="I370" s="23">
        <v>30</v>
      </c>
      <c r="J370" s="14">
        <v>0</v>
      </c>
      <c r="L370" s="14">
        <v>0</v>
      </c>
      <c r="N370" s="24">
        <v>0</v>
      </c>
      <c r="P370" s="14">
        <v>0</v>
      </c>
      <c r="R370" s="14">
        <v>0</v>
      </c>
      <c r="T370" s="14" t="str">
        <f t="shared" si="5"/>
        <v>No</v>
      </c>
    </row>
    <row r="371" spans="1:20" s="14" customFormat="1" ht="11.25">
      <c r="A371" s="14" t="s">
        <v>186</v>
      </c>
      <c r="B371" s="14" t="s">
        <v>187</v>
      </c>
      <c r="C371" s="14" t="s">
        <v>84</v>
      </c>
      <c r="D371" s="169">
        <v>6095</v>
      </c>
      <c r="E371" s="170">
        <v>60095</v>
      </c>
      <c r="F371" s="14" t="s">
        <v>188</v>
      </c>
      <c r="G371" s="14" t="s">
        <v>1490</v>
      </c>
      <c r="H371" s="23">
        <v>63683</v>
      </c>
      <c r="I371" s="23">
        <v>30</v>
      </c>
      <c r="J371" s="14">
        <v>2</v>
      </c>
      <c r="L371" s="14">
        <v>0</v>
      </c>
      <c r="N371" s="24">
        <v>2</v>
      </c>
      <c r="P371" s="14">
        <v>0</v>
      </c>
      <c r="R371" s="14">
        <v>0</v>
      </c>
      <c r="T371" s="14" t="str">
        <f t="shared" si="5"/>
        <v>No</v>
      </c>
    </row>
    <row r="372" spans="1:20" s="14" customFormat="1" ht="11.25">
      <c r="A372" s="14" t="s">
        <v>756</v>
      </c>
      <c r="B372" s="14" t="s">
        <v>757</v>
      </c>
      <c r="C372" s="14" t="s">
        <v>84</v>
      </c>
      <c r="D372" s="169">
        <v>6014</v>
      </c>
      <c r="E372" s="170">
        <v>60014</v>
      </c>
      <c r="F372" s="14" t="s">
        <v>152</v>
      </c>
      <c r="G372" s="14" t="s">
        <v>149</v>
      </c>
      <c r="H372" s="23">
        <v>217585</v>
      </c>
      <c r="I372" s="23">
        <v>30</v>
      </c>
      <c r="J372" s="14">
        <v>2</v>
      </c>
      <c r="L372" s="14">
        <v>0</v>
      </c>
      <c r="N372" s="24">
        <v>2</v>
      </c>
      <c r="P372" s="14">
        <v>0</v>
      </c>
      <c r="R372" s="14">
        <v>0</v>
      </c>
      <c r="T372" s="14" t="str">
        <f t="shared" si="5"/>
        <v>No</v>
      </c>
    </row>
    <row r="373" spans="1:20" s="14" customFormat="1" ht="11.25">
      <c r="A373" s="14" t="s">
        <v>880</v>
      </c>
      <c r="B373" s="14" t="s">
        <v>881</v>
      </c>
      <c r="C373" s="14" t="s">
        <v>77</v>
      </c>
      <c r="D373" s="169">
        <v>4112</v>
      </c>
      <c r="E373" s="170">
        <v>40112</v>
      </c>
      <c r="F373" s="14" t="s">
        <v>152</v>
      </c>
      <c r="G373" s="14" t="s">
        <v>1490</v>
      </c>
      <c r="H373" s="23">
        <v>2148346</v>
      </c>
      <c r="I373" s="23">
        <v>30</v>
      </c>
      <c r="J373" s="14">
        <v>4</v>
      </c>
      <c r="L373" s="14">
        <v>0</v>
      </c>
      <c r="N373" s="24">
        <v>4</v>
      </c>
      <c r="P373" s="14">
        <v>1</v>
      </c>
      <c r="R373" s="14">
        <v>2</v>
      </c>
      <c r="T373" s="14" t="str">
        <f t="shared" si="5"/>
        <v>No</v>
      </c>
    </row>
    <row r="374" spans="1:20" s="14" customFormat="1" ht="11.25">
      <c r="A374" s="14" t="s">
        <v>1845</v>
      </c>
      <c r="B374" s="14" t="s">
        <v>331</v>
      </c>
      <c r="C374" s="14" t="s">
        <v>61</v>
      </c>
      <c r="D374" s="169">
        <v>1122</v>
      </c>
      <c r="E374" s="170">
        <v>10122</v>
      </c>
      <c r="F374" s="14" t="s">
        <v>148</v>
      </c>
      <c r="G374" s="14" t="s">
        <v>1490</v>
      </c>
      <c r="H374" s="23">
        <v>88200</v>
      </c>
      <c r="I374" s="23">
        <v>30</v>
      </c>
      <c r="J374" s="14">
        <v>3</v>
      </c>
      <c r="L374" s="14">
        <v>0</v>
      </c>
      <c r="N374" s="24">
        <v>3</v>
      </c>
      <c r="P374" s="14">
        <v>0</v>
      </c>
      <c r="R374" s="14">
        <v>0</v>
      </c>
      <c r="T374" s="14" t="str">
        <f t="shared" si="5"/>
        <v>No</v>
      </c>
    </row>
    <row r="375" spans="1:20" s="14" customFormat="1" ht="11.25">
      <c r="A375" s="14" t="s">
        <v>93</v>
      </c>
      <c r="B375" s="14" t="s">
        <v>1179</v>
      </c>
      <c r="C375" s="14" t="s">
        <v>92</v>
      </c>
      <c r="D375" s="169">
        <v>5009</v>
      </c>
      <c r="E375" s="170">
        <v>50009</v>
      </c>
      <c r="F375" s="14" t="s">
        <v>152</v>
      </c>
      <c r="G375" s="14" t="s">
        <v>149</v>
      </c>
      <c r="H375" s="23">
        <v>74495</v>
      </c>
      <c r="I375" s="23">
        <v>30</v>
      </c>
      <c r="J375" s="14">
        <v>2</v>
      </c>
      <c r="L375" s="14">
        <v>0</v>
      </c>
      <c r="N375" s="24">
        <v>2</v>
      </c>
      <c r="P375" s="14">
        <v>0</v>
      </c>
      <c r="R375" s="14">
        <v>0</v>
      </c>
      <c r="T375" s="14" t="str">
        <f t="shared" si="5"/>
        <v>No</v>
      </c>
    </row>
    <row r="376" spans="1:20" s="14" customFormat="1" ht="11.25">
      <c r="A376" s="14" t="s">
        <v>1056</v>
      </c>
      <c r="B376" s="14" t="s">
        <v>1057</v>
      </c>
      <c r="C376" s="14" t="s">
        <v>92</v>
      </c>
      <c r="D376" s="169">
        <v>5004</v>
      </c>
      <c r="E376" s="170">
        <v>50004</v>
      </c>
      <c r="F376" s="14" t="s">
        <v>152</v>
      </c>
      <c r="G376" s="14" t="s">
        <v>149</v>
      </c>
      <c r="H376" s="23">
        <v>100868</v>
      </c>
      <c r="I376" s="23">
        <v>30</v>
      </c>
      <c r="J376" s="14">
        <v>1</v>
      </c>
      <c r="L376" s="14">
        <v>0</v>
      </c>
      <c r="N376" s="24">
        <v>1</v>
      </c>
      <c r="P376" s="14">
        <v>0</v>
      </c>
      <c r="R376" s="14">
        <v>0</v>
      </c>
      <c r="T376" s="14" t="str">
        <f t="shared" si="5"/>
        <v>No</v>
      </c>
    </row>
    <row r="377" spans="1:20" s="14" customFormat="1" ht="11.25">
      <c r="A377" s="14" t="s">
        <v>1160</v>
      </c>
      <c r="B377" s="14" t="s">
        <v>351</v>
      </c>
      <c r="C377" s="14" t="s">
        <v>69</v>
      </c>
      <c r="D377" s="169">
        <v>2082</v>
      </c>
      <c r="E377" s="170">
        <v>20082</v>
      </c>
      <c r="F377" s="14" t="s">
        <v>152</v>
      </c>
      <c r="G377" s="14" t="s">
        <v>149</v>
      </c>
      <c r="H377" s="23">
        <v>18351295</v>
      </c>
      <c r="I377" s="23">
        <v>29</v>
      </c>
      <c r="J377" s="14">
        <v>3</v>
      </c>
      <c r="L377" s="14">
        <v>0</v>
      </c>
      <c r="N377" s="24">
        <v>3</v>
      </c>
      <c r="P377" s="14">
        <v>7</v>
      </c>
      <c r="R377" s="14">
        <v>6</v>
      </c>
      <c r="T377" s="14" t="str">
        <f t="shared" si="5"/>
        <v>No</v>
      </c>
    </row>
    <row r="378" spans="1:20" s="14" customFormat="1" ht="11.25">
      <c r="A378" s="14" t="s">
        <v>1429</v>
      </c>
      <c r="B378" s="14" t="s">
        <v>272</v>
      </c>
      <c r="C378" s="14" t="s">
        <v>57</v>
      </c>
      <c r="D378" s="169">
        <v>4131</v>
      </c>
      <c r="E378" s="170">
        <v>40131</v>
      </c>
      <c r="F378" s="14" t="s">
        <v>152</v>
      </c>
      <c r="G378" s="14" t="s">
        <v>1490</v>
      </c>
      <c r="H378" s="23">
        <v>166485</v>
      </c>
      <c r="I378" s="23">
        <v>29</v>
      </c>
      <c r="J378" s="14">
        <v>1</v>
      </c>
      <c r="L378" s="14">
        <v>0</v>
      </c>
      <c r="N378" s="24">
        <v>1</v>
      </c>
      <c r="P378" s="14">
        <v>0</v>
      </c>
      <c r="R378" s="14">
        <v>0</v>
      </c>
      <c r="T378" s="14" t="str">
        <f t="shared" si="5"/>
        <v>No</v>
      </c>
    </row>
    <row r="379" spans="1:20" s="14" customFormat="1" ht="11.25">
      <c r="A379" s="14" t="s">
        <v>828</v>
      </c>
      <c r="B379" s="14" t="s">
        <v>829</v>
      </c>
      <c r="C379" s="14" t="s">
        <v>81</v>
      </c>
      <c r="D379" s="169">
        <v>4206</v>
      </c>
      <c r="E379" s="170">
        <v>40206</v>
      </c>
      <c r="F379" s="14" t="s">
        <v>160</v>
      </c>
      <c r="G379" s="14" t="s">
        <v>1490</v>
      </c>
      <c r="H379" s="23">
        <v>548404</v>
      </c>
      <c r="I379" s="23">
        <v>29</v>
      </c>
      <c r="J379" s="14">
        <v>2</v>
      </c>
      <c r="L379" s="14">
        <v>0</v>
      </c>
      <c r="N379" s="24">
        <v>2</v>
      </c>
      <c r="P379" s="14">
        <v>0</v>
      </c>
      <c r="R379" s="14">
        <v>0</v>
      </c>
      <c r="T379" s="14" t="str">
        <f t="shared" si="5"/>
        <v>No</v>
      </c>
    </row>
    <row r="380" spans="1:20" s="14" customFormat="1" ht="11.25">
      <c r="A380" s="14" t="s">
        <v>356</v>
      </c>
      <c r="B380" s="14" t="s">
        <v>1426</v>
      </c>
      <c r="C380" s="14" t="s">
        <v>84</v>
      </c>
      <c r="D380" s="169">
        <v>6015</v>
      </c>
      <c r="E380" s="170">
        <v>60015</v>
      </c>
      <c r="F380" s="14" t="s">
        <v>152</v>
      </c>
      <c r="G380" s="14" t="s">
        <v>1490</v>
      </c>
      <c r="H380" s="23">
        <v>0</v>
      </c>
      <c r="I380" s="23">
        <v>29</v>
      </c>
      <c r="J380" s="14">
        <v>2</v>
      </c>
      <c r="L380" s="14">
        <v>0</v>
      </c>
      <c r="N380" s="24">
        <v>2</v>
      </c>
      <c r="P380" s="14">
        <v>2</v>
      </c>
      <c r="R380" s="14">
        <v>0</v>
      </c>
      <c r="T380" s="14" t="str">
        <f t="shared" si="5"/>
        <v>No</v>
      </c>
    </row>
    <row r="381" spans="1:20" s="14" customFormat="1" ht="11.25">
      <c r="A381" s="14" t="s">
        <v>965</v>
      </c>
      <c r="B381" s="14" t="s">
        <v>966</v>
      </c>
      <c r="C381" s="14" t="s">
        <v>13</v>
      </c>
      <c r="D381" s="169">
        <v>4064</v>
      </c>
      <c r="E381" s="170">
        <v>40064</v>
      </c>
      <c r="F381" s="14" t="s">
        <v>188</v>
      </c>
      <c r="G381" s="14" t="s">
        <v>1490</v>
      </c>
      <c r="H381" s="23">
        <v>79796</v>
      </c>
      <c r="I381" s="23">
        <v>29</v>
      </c>
      <c r="J381" s="14">
        <v>1</v>
      </c>
      <c r="L381" s="14">
        <v>0</v>
      </c>
      <c r="N381" s="24">
        <v>1</v>
      </c>
      <c r="P381" s="14">
        <v>0</v>
      </c>
      <c r="R381" s="14">
        <v>0</v>
      </c>
      <c r="T381" s="14" t="str">
        <f t="shared" si="5"/>
        <v>No</v>
      </c>
    </row>
    <row r="382" spans="1:20" s="14" customFormat="1" ht="11.25">
      <c r="A382" s="14" t="s">
        <v>1169</v>
      </c>
      <c r="B382" s="14" t="s">
        <v>330</v>
      </c>
      <c r="C382" s="14" t="s">
        <v>19</v>
      </c>
      <c r="D382" s="169">
        <v>9022</v>
      </c>
      <c r="E382" s="170">
        <v>90022</v>
      </c>
      <c r="F382" s="14" t="s">
        <v>152</v>
      </c>
      <c r="G382" s="14" t="s">
        <v>149</v>
      </c>
      <c r="H382" s="23">
        <v>12150996</v>
      </c>
      <c r="I382" s="23">
        <v>29</v>
      </c>
      <c r="J382" s="14">
        <v>0</v>
      </c>
      <c r="L382" s="14">
        <v>0</v>
      </c>
      <c r="N382" s="24">
        <v>0</v>
      </c>
      <c r="P382" s="14">
        <v>0</v>
      </c>
      <c r="R382" s="14">
        <v>0</v>
      </c>
      <c r="T382" s="14" t="str">
        <f t="shared" si="5"/>
        <v>No</v>
      </c>
    </row>
    <row r="383" spans="1:20" s="14" customFormat="1" ht="11.25">
      <c r="A383" s="14" t="s">
        <v>894</v>
      </c>
      <c r="B383" s="14" t="s">
        <v>895</v>
      </c>
      <c r="C383" s="14" t="s">
        <v>84</v>
      </c>
      <c r="D383" s="169">
        <v>6089</v>
      </c>
      <c r="E383" s="170">
        <v>60089</v>
      </c>
      <c r="F383" s="14" t="s">
        <v>152</v>
      </c>
      <c r="G383" s="14" t="s">
        <v>1490</v>
      </c>
      <c r="H383" s="23">
        <v>130247</v>
      </c>
      <c r="I383" s="23">
        <v>29</v>
      </c>
      <c r="J383" s="14">
        <v>1</v>
      </c>
      <c r="L383" s="14">
        <v>0</v>
      </c>
      <c r="N383" s="24">
        <v>1</v>
      </c>
      <c r="P383" s="14">
        <v>0</v>
      </c>
      <c r="R383" s="14">
        <v>0</v>
      </c>
      <c r="T383" s="14" t="str">
        <f t="shared" si="5"/>
        <v>No</v>
      </c>
    </row>
    <row r="384" spans="1:20" s="14" customFormat="1" ht="11.25">
      <c r="A384" s="14" t="s">
        <v>841</v>
      </c>
      <c r="B384" s="14" t="s">
        <v>842</v>
      </c>
      <c r="C384" s="14" t="s">
        <v>40</v>
      </c>
      <c r="D384" s="169">
        <v>5145</v>
      </c>
      <c r="E384" s="170">
        <v>50145</v>
      </c>
      <c r="F384" s="14" t="s">
        <v>152</v>
      </c>
      <c r="G384" s="14" t="s">
        <v>149</v>
      </c>
      <c r="H384" s="23">
        <v>62182</v>
      </c>
      <c r="I384" s="23">
        <v>29</v>
      </c>
      <c r="J384" s="14">
        <v>1</v>
      </c>
      <c r="L384" s="14">
        <v>0</v>
      </c>
      <c r="N384" s="24">
        <v>1</v>
      </c>
      <c r="P384" s="14">
        <v>0</v>
      </c>
      <c r="R384" s="14">
        <v>0</v>
      </c>
      <c r="T384" s="14" t="str">
        <f t="shared" si="5"/>
        <v>No</v>
      </c>
    </row>
    <row r="385" spans="1:20" s="14" customFormat="1" ht="11.25">
      <c r="A385" s="14" t="s">
        <v>1216</v>
      </c>
      <c r="B385" s="14" t="s">
        <v>1217</v>
      </c>
      <c r="C385" s="14" t="s">
        <v>19</v>
      </c>
      <c r="D385" s="169">
        <v>9093</v>
      </c>
      <c r="E385" s="170">
        <v>90093</v>
      </c>
      <c r="F385" s="14" t="s">
        <v>160</v>
      </c>
      <c r="G385" s="14" t="s">
        <v>149</v>
      </c>
      <c r="H385" s="23">
        <v>117731</v>
      </c>
      <c r="I385" s="23">
        <v>29</v>
      </c>
      <c r="J385" s="14">
        <v>1</v>
      </c>
      <c r="L385" s="14">
        <v>0</v>
      </c>
      <c r="N385" s="24">
        <v>1</v>
      </c>
      <c r="P385" s="14">
        <v>0</v>
      </c>
      <c r="R385" s="14">
        <v>0</v>
      </c>
      <c r="T385" s="14" t="str">
        <f t="shared" si="5"/>
        <v>No</v>
      </c>
    </row>
    <row r="386" spans="1:20" s="14" customFormat="1" ht="11.25">
      <c r="A386" s="14" t="s">
        <v>527</v>
      </c>
      <c r="B386" s="14" t="s">
        <v>528</v>
      </c>
      <c r="C386" s="14" t="s">
        <v>529</v>
      </c>
      <c r="D386" s="169">
        <v>4188</v>
      </c>
      <c r="E386" s="170">
        <v>40188</v>
      </c>
      <c r="F386" s="14" t="s">
        <v>269</v>
      </c>
      <c r="G386" s="14" t="s">
        <v>1490</v>
      </c>
      <c r="H386" s="23">
        <v>106405</v>
      </c>
      <c r="I386" s="23">
        <v>29</v>
      </c>
      <c r="J386" s="14">
        <v>0</v>
      </c>
      <c r="L386" s="14">
        <v>0</v>
      </c>
      <c r="N386" s="24">
        <v>0</v>
      </c>
      <c r="P386" s="14">
        <v>1</v>
      </c>
      <c r="R386" s="14">
        <v>0</v>
      </c>
      <c r="T386" s="14" t="str">
        <f t="shared" si="5"/>
        <v>No</v>
      </c>
    </row>
    <row r="387" spans="1:20" s="14" customFormat="1" ht="11.25">
      <c r="A387" s="14" t="s">
        <v>806</v>
      </c>
      <c r="B387" s="14" t="s">
        <v>803</v>
      </c>
      <c r="C387" s="14" t="s">
        <v>54</v>
      </c>
      <c r="D387" s="169">
        <v>7051</v>
      </c>
      <c r="E387" s="170">
        <v>70051</v>
      </c>
      <c r="F387" s="14" t="s">
        <v>160</v>
      </c>
      <c r="G387" s="14" t="s">
        <v>1490</v>
      </c>
      <c r="H387" s="23">
        <v>52900</v>
      </c>
      <c r="I387" s="23">
        <v>29</v>
      </c>
      <c r="J387" s="14">
        <v>0</v>
      </c>
      <c r="L387" s="14">
        <v>0</v>
      </c>
      <c r="N387" s="24">
        <v>0</v>
      </c>
      <c r="P387" s="14">
        <v>0</v>
      </c>
      <c r="R387" s="14">
        <v>0</v>
      </c>
      <c r="T387" s="14" t="str">
        <f t="shared" ref="T387:T450" si="6">IF(S387&amp;Q387&amp;O387&amp;M387&amp;K387&lt;&gt;"","Yes","No")</f>
        <v>No</v>
      </c>
    </row>
    <row r="388" spans="1:20" s="14" customFormat="1" ht="11.25">
      <c r="A388" s="14" t="s">
        <v>1017</v>
      </c>
      <c r="B388" s="14" t="s">
        <v>486</v>
      </c>
      <c r="C388" s="14" t="s">
        <v>84</v>
      </c>
      <c r="D388" s="169">
        <v>6041</v>
      </c>
      <c r="E388" s="170">
        <v>60041</v>
      </c>
      <c r="F388" s="14" t="s">
        <v>152</v>
      </c>
      <c r="G388" s="14" t="s">
        <v>149</v>
      </c>
      <c r="H388" s="23">
        <v>5121892</v>
      </c>
      <c r="I388" s="23">
        <v>29</v>
      </c>
      <c r="J388" s="14">
        <v>0</v>
      </c>
      <c r="L388" s="14">
        <v>0</v>
      </c>
      <c r="N388" s="24">
        <v>0</v>
      </c>
      <c r="P388" s="14">
        <v>0</v>
      </c>
      <c r="R388" s="14">
        <v>0</v>
      </c>
      <c r="T388" s="14" t="str">
        <f t="shared" si="6"/>
        <v>No</v>
      </c>
    </row>
    <row r="389" spans="1:20" s="14" customFormat="1" ht="11.25">
      <c r="A389" s="14" t="s">
        <v>193</v>
      </c>
      <c r="B389" s="14" t="s">
        <v>194</v>
      </c>
      <c r="C389" s="14" t="s">
        <v>92</v>
      </c>
      <c r="D389" s="169">
        <v>5171</v>
      </c>
      <c r="E389" s="170">
        <v>50171</v>
      </c>
      <c r="F389" s="14" t="s">
        <v>152</v>
      </c>
      <c r="G389" s="14" t="s">
        <v>1490</v>
      </c>
      <c r="H389" s="23">
        <v>54901</v>
      </c>
      <c r="I389" s="23">
        <v>28</v>
      </c>
      <c r="J389" s="14">
        <v>2</v>
      </c>
      <c r="L389" s="14">
        <v>0</v>
      </c>
      <c r="N389" s="24">
        <v>2</v>
      </c>
      <c r="P389" s="14">
        <v>0</v>
      </c>
      <c r="R389" s="14">
        <v>0</v>
      </c>
      <c r="T389" s="14" t="str">
        <f t="shared" si="6"/>
        <v>No</v>
      </c>
    </row>
    <row r="390" spans="1:20" s="14" customFormat="1" ht="11.25">
      <c r="A390" s="14" t="s">
        <v>1269</v>
      </c>
      <c r="B390" s="14" t="s">
        <v>235</v>
      </c>
      <c r="C390" s="14" t="s">
        <v>37</v>
      </c>
      <c r="D390" s="169">
        <v>7012</v>
      </c>
      <c r="E390" s="170">
        <v>70012</v>
      </c>
      <c r="F390" s="14" t="s">
        <v>152</v>
      </c>
      <c r="G390" s="14" t="s">
        <v>149</v>
      </c>
      <c r="H390" s="23">
        <v>106494</v>
      </c>
      <c r="I390" s="23">
        <v>28</v>
      </c>
      <c r="J390" s="14">
        <v>1</v>
      </c>
      <c r="L390" s="14">
        <v>0</v>
      </c>
      <c r="N390" s="24">
        <v>1</v>
      </c>
      <c r="P390" s="14">
        <v>2</v>
      </c>
      <c r="R390" s="14">
        <v>0</v>
      </c>
      <c r="T390" s="14" t="str">
        <f t="shared" si="6"/>
        <v>No</v>
      </c>
    </row>
    <row r="391" spans="1:20" s="14" customFormat="1" ht="11.25">
      <c r="A391" s="14" t="s">
        <v>959</v>
      </c>
      <c r="B391" s="14" t="s">
        <v>268</v>
      </c>
      <c r="C391" s="14" t="s">
        <v>35</v>
      </c>
      <c r="D391" s="169">
        <v>4024</v>
      </c>
      <c r="E391" s="170">
        <v>40024</v>
      </c>
      <c r="F391" s="14" t="s">
        <v>152</v>
      </c>
      <c r="G391" s="14" t="s">
        <v>1490</v>
      </c>
      <c r="H391" s="23">
        <v>253602</v>
      </c>
      <c r="I391" s="23">
        <v>28</v>
      </c>
      <c r="J391" s="14">
        <v>1</v>
      </c>
      <c r="L391" s="14">
        <v>0</v>
      </c>
      <c r="N391" s="24">
        <v>1</v>
      </c>
      <c r="P391" s="14">
        <v>0</v>
      </c>
      <c r="R391" s="14">
        <v>0</v>
      </c>
      <c r="T391" s="14" t="str">
        <f t="shared" si="6"/>
        <v>No</v>
      </c>
    </row>
    <row r="392" spans="1:20" s="14" customFormat="1" ht="11.25">
      <c r="A392" s="14" t="s">
        <v>1344</v>
      </c>
      <c r="B392" s="14" t="s">
        <v>467</v>
      </c>
      <c r="C392" s="14" t="s">
        <v>37</v>
      </c>
      <c r="D392" s="169">
        <v>7019</v>
      </c>
      <c r="E392" s="170">
        <v>70019</v>
      </c>
      <c r="F392" s="14" t="s">
        <v>98</v>
      </c>
      <c r="G392" s="14" t="s">
        <v>149</v>
      </c>
      <c r="H392" s="23">
        <v>106621</v>
      </c>
      <c r="I392" s="23">
        <v>28</v>
      </c>
      <c r="J392" s="14">
        <v>0</v>
      </c>
      <c r="L392" s="14">
        <v>0</v>
      </c>
      <c r="N392" s="24">
        <v>0</v>
      </c>
      <c r="P392" s="14">
        <v>0</v>
      </c>
      <c r="R392" s="14">
        <v>0</v>
      </c>
      <c r="T392" s="14" t="str">
        <f t="shared" si="6"/>
        <v>No</v>
      </c>
    </row>
    <row r="393" spans="1:20" s="14" customFormat="1" ht="11.25">
      <c r="A393" s="14" t="s">
        <v>826</v>
      </c>
      <c r="B393" s="14" t="s">
        <v>827</v>
      </c>
      <c r="C393" s="14" t="s">
        <v>57</v>
      </c>
      <c r="D393" s="169">
        <v>4205</v>
      </c>
      <c r="E393" s="170">
        <v>40205</v>
      </c>
      <c r="F393" s="14" t="s">
        <v>152</v>
      </c>
      <c r="G393" s="14" t="s">
        <v>1490</v>
      </c>
      <c r="H393" s="23">
        <v>1249442</v>
      </c>
      <c r="I393" s="23">
        <v>28</v>
      </c>
      <c r="J393" s="14">
        <v>0</v>
      </c>
      <c r="L393" s="14">
        <v>0</v>
      </c>
      <c r="N393" s="24">
        <v>0</v>
      </c>
      <c r="P393" s="14">
        <v>0</v>
      </c>
      <c r="R393" s="14">
        <v>0</v>
      </c>
      <c r="T393" s="14" t="str">
        <f t="shared" si="6"/>
        <v>No</v>
      </c>
    </row>
    <row r="394" spans="1:20" s="14" customFormat="1" ht="11.25">
      <c r="A394" s="14" t="s">
        <v>575</v>
      </c>
      <c r="B394" s="14" t="s">
        <v>576</v>
      </c>
      <c r="C394" s="14" t="s">
        <v>62</v>
      </c>
      <c r="D394" s="169">
        <v>2203</v>
      </c>
      <c r="E394" s="170">
        <v>20203</v>
      </c>
      <c r="F394" s="14" t="s">
        <v>152</v>
      </c>
      <c r="G394" s="14" t="s">
        <v>1490</v>
      </c>
      <c r="H394" s="23">
        <v>51291</v>
      </c>
      <c r="I394" s="23">
        <v>28</v>
      </c>
      <c r="J394" s="14">
        <v>0</v>
      </c>
      <c r="L394" s="14">
        <v>0</v>
      </c>
      <c r="N394" s="24">
        <v>0</v>
      </c>
      <c r="P394" s="14">
        <v>0</v>
      </c>
      <c r="R394" s="14">
        <v>0</v>
      </c>
      <c r="T394" s="14" t="str">
        <f t="shared" si="6"/>
        <v>No</v>
      </c>
    </row>
    <row r="395" spans="1:20" s="14" customFormat="1" ht="11.25">
      <c r="A395" s="14" t="s">
        <v>1316</v>
      </c>
      <c r="B395" s="14" t="s">
        <v>1317</v>
      </c>
      <c r="C395" s="14" t="s">
        <v>84</v>
      </c>
      <c r="D395" s="169">
        <v>6082</v>
      </c>
      <c r="E395" s="170">
        <v>60082</v>
      </c>
      <c r="F395" s="14" t="s">
        <v>160</v>
      </c>
      <c r="G395" s="14" t="s">
        <v>149</v>
      </c>
      <c r="H395" s="23">
        <v>106383</v>
      </c>
      <c r="I395" s="23">
        <v>28</v>
      </c>
      <c r="J395" s="14">
        <v>0</v>
      </c>
      <c r="L395" s="14">
        <v>0</v>
      </c>
      <c r="N395" s="24">
        <v>0</v>
      </c>
      <c r="P395" s="14">
        <v>0</v>
      </c>
      <c r="R395" s="14">
        <v>0</v>
      </c>
      <c r="T395" s="14" t="str">
        <f t="shared" si="6"/>
        <v>No</v>
      </c>
    </row>
    <row r="396" spans="1:20" s="14" customFormat="1" ht="11.25">
      <c r="A396" s="14" t="s">
        <v>1319</v>
      </c>
      <c r="B396" s="14" t="s">
        <v>1320</v>
      </c>
      <c r="C396" s="14" t="s">
        <v>19</v>
      </c>
      <c r="D396" s="169">
        <v>9165</v>
      </c>
      <c r="E396" s="170">
        <v>90165</v>
      </c>
      <c r="F396" s="14" t="s">
        <v>152</v>
      </c>
      <c r="G396" s="14" t="s">
        <v>1490</v>
      </c>
      <c r="H396" s="23">
        <v>214811</v>
      </c>
      <c r="I396" s="23">
        <v>28</v>
      </c>
      <c r="J396" s="14">
        <v>1</v>
      </c>
      <c r="L396" s="14">
        <v>0</v>
      </c>
      <c r="N396" s="24">
        <v>1</v>
      </c>
      <c r="P396" s="14">
        <v>0</v>
      </c>
      <c r="R396" s="14">
        <v>0</v>
      </c>
      <c r="T396" s="14" t="str">
        <f t="shared" si="6"/>
        <v>No</v>
      </c>
    </row>
    <row r="397" spans="1:20" s="14" customFormat="1" ht="11.25">
      <c r="A397" s="14" t="s">
        <v>1624</v>
      </c>
      <c r="B397" s="14" t="s">
        <v>873</v>
      </c>
      <c r="C397" s="14" t="s">
        <v>2</v>
      </c>
      <c r="D397" s="169">
        <v>22</v>
      </c>
      <c r="E397" s="170">
        <v>22</v>
      </c>
      <c r="F397" s="14" t="s">
        <v>152</v>
      </c>
      <c r="G397" s="14" t="s">
        <v>1490</v>
      </c>
      <c r="H397" s="23">
        <v>69809</v>
      </c>
      <c r="I397" s="23">
        <v>28</v>
      </c>
      <c r="J397" s="14">
        <v>1</v>
      </c>
      <c r="L397" s="14">
        <v>0</v>
      </c>
      <c r="N397" s="24">
        <v>1</v>
      </c>
      <c r="P397" s="14">
        <v>0</v>
      </c>
      <c r="R397" s="14">
        <v>0</v>
      </c>
      <c r="T397" s="14" t="str">
        <f t="shared" si="6"/>
        <v>No</v>
      </c>
    </row>
    <row r="398" spans="1:20" s="14" customFormat="1" ht="11.25">
      <c r="A398" s="14" t="s">
        <v>922</v>
      </c>
      <c r="B398" s="14" t="s">
        <v>923</v>
      </c>
      <c r="C398" s="14" t="s">
        <v>10</v>
      </c>
      <c r="D398" s="169">
        <v>6072</v>
      </c>
      <c r="E398" s="170">
        <v>60072</v>
      </c>
      <c r="F398" s="14" t="s">
        <v>160</v>
      </c>
      <c r="G398" s="14" t="s">
        <v>149</v>
      </c>
      <c r="H398" s="23">
        <v>295083</v>
      </c>
      <c r="I398" s="23">
        <v>28</v>
      </c>
      <c r="J398" s="14">
        <v>0</v>
      </c>
      <c r="L398" s="14">
        <v>0</v>
      </c>
      <c r="N398" s="24">
        <v>0</v>
      </c>
      <c r="P398" s="14">
        <v>0</v>
      </c>
      <c r="R398" s="14">
        <v>0</v>
      </c>
      <c r="T398" s="14" t="str">
        <f t="shared" si="6"/>
        <v>No</v>
      </c>
    </row>
    <row r="399" spans="1:20" s="14" customFormat="1" ht="11.25">
      <c r="A399" s="14" t="s">
        <v>814</v>
      </c>
      <c r="B399" s="14" t="s">
        <v>815</v>
      </c>
      <c r="C399" s="14" t="s">
        <v>19</v>
      </c>
      <c r="D399" s="169">
        <v>9236</v>
      </c>
      <c r="E399" s="170">
        <v>90236</v>
      </c>
      <c r="F399" s="14" t="s">
        <v>152</v>
      </c>
      <c r="G399" s="14" t="s">
        <v>1490</v>
      </c>
      <c r="H399" s="23">
        <v>358172</v>
      </c>
      <c r="I399" s="23">
        <v>28</v>
      </c>
      <c r="J399" s="14">
        <v>2</v>
      </c>
      <c r="L399" s="14">
        <v>0</v>
      </c>
      <c r="N399" s="24">
        <v>2</v>
      </c>
      <c r="P399" s="14">
        <v>0</v>
      </c>
      <c r="R399" s="14">
        <v>0</v>
      </c>
      <c r="T399" s="14" t="str">
        <f t="shared" si="6"/>
        <v>No</v>
      </c>
    </row>
    <row r="400" spans="1:20" s="14" customFormat="1" ht="11.25">
      <c r="A400" s="14" t="s">
        <v>1634</v>
      </c>
      <c r="B400" s="14" t="s">
        <v>1201</v>
      </c>
      <c r="C400" s="14" t="s">
        <v>62</v>
      </c>
      <c r="D400" s="169">
        <v>2219</v>
      </c>
      <c r="E400" s="170">
        <v>20219</v>
      </c>
      <c r="F400" s="14" t="s">
        <v>148</v>
      </c>
      <c r="G400" s="14" t="s">
        <v>1490</v>
      </c>
      <c r="H400" s="23">
        <v>18351295</v>
      </c>
      <c r="I400" s="23">
        <v>28</v>
      </c>
      <c r="J400" s="14">
        <v>0</v>
      </c>
      <c r="L400" s="14">
        <v>0</v>
      </c>
      <c r="N400" s="24">
        <v>0</v>
      </c>
      <c r="P400" s="14">
        <v>0</v>
      </c>
      <c r="R400" s="14">
        <v>0</v>
      </c>
      <c r="T400" s="14" t="str">
        <f t="shared" si="6"/>
        <v>No</v>
      </c>
    </row>
    <row r="401" spans="1:20" s="14" customFormat="1" ht="11.25">
      <c r="A401" s="14" t="s">
        <v>1115</v>
      </c>
      <c r="B401" s="14" t="s">
        <v>233</v>
      </c>
      <c r="C401" s="14" t="s">
        <v>37</v>
      </c>
      <c r="D401" s="169">
        <v>7013</v>
      </c>
      <c r="E401" s="170">
        <v>70013</v>
      </c>
      <c r="F401" s="14" t="s">
        <v>160</v>
      </c>
      <c r="G401" s="14" t="s">
        <v>1490</v>
      </c>
      <c r="H401" s="23">
        <v>113418</v>
      </c>
      <c r="I401" s="23">
        <v>27</v>
      </c>
      <c r="J401" s="14">
        <v>1</v>
      </c>
      <c r="L401" s="14">
        <v>0</v>
      </c>
      <c r="N401" s="24">
        <v>1</v>
      </c>
      <c r="P401" s="14">
        <v>0</v>
      </c>
      <c r="R401" s="14">
        <v>0</v>
      </c>
      <c r="T401" s="14" t="str">
        <f t="shared" si="6"/>
        <v>No</v>
      </c>
    </row>
    <row r="402" spans="1:20" s="14" customFormat="1" ht="11.25">
      <c r="A402" s="14" t="s">
        <v>902</v>
      </c>
      <c r="B402" s="14" t="s">
        <v>903</v>
      </c>
      <c r="C402" s="14" t="s">
        <v>39</v>
      </c>
      <c r="D402" s="169">
        <v>5215</v>
      </c>
      <c r="E402" s="170">
        <v>50215</v>
      </c>
      <c r="F402" s="14" t="s">
        <v>197</v>
      </c>
      <c r="G402" s="14" t="s">
        <v>1490</v>
      </c>
      <c r="H402" s="23">
        <v>68545</v>
      </c>
      <c r="I402" s="23">
        <v>27</v>
      </c>
      <c r="J402" s="14">
        <v>0</v>
      </c>
      <c r="L402" s="14">
        <v>0</v>
      </c>
      <c r="N402" s="24">
        <v>0</v>
      </c>
      <c r="P402" s="14">
        <v>0</v>
      </c>
      <c r="R402" s="14">
        <v>0</v>
      </c>
      <c r="T402" s="14" t="str">
        <f t="shared" si="6"/>
        <v>No</v>
      </c>
    </row>
    <row r="403" spans="1:20" s="14" customFormat="1" ht="11.25">
      <c r="A403" s="14" t="s">
        <v>182</v>
      </c>
      <c r="B403" s="14" t="s">
        <v>183</v>
      </c>
      <c r="C403" s="14" t="s">
        <v>73</v>
      </c>
      <c r="D403" s="169">
        <v>6096</v>
      </c>
      <c r="E403" s="170">
        <v>60096</v>
      </c>
      <c r="F403" s="14" t="s">
        <v>152</v>
      </c>
      <c r="G403" s="14" t="s">
        <v>1490</v>
      </c>
      <c r="H403" s="23">
        <v>103898</v>
      </c>
      <c r="I403" s="23">
        <v>27</v>
      </c>
      <c r="J403" s="14">
        <v>2</v>
      </c>
      <c r="L403" s="14">
        <v>0</v>
      </c>
      <c r="N403" s="24">
        <v>2</v>
      </c>
      <c r="P403" s="14">
        <v>0</v>
      </c>
      <c r="R403" s="14">
        <v>0</v>
      </c>
      <c r="T403" s="14" t="str">
        <f t="shared" si="6"/>
        <v>No</v>
      </c>
    </row>
    <row r="404" spans="1:20" s="14" customFormat="1" ht="11.25">
      <c r="A404" s="14" t="s">
        <v>163</v>
      </c>
      <c r="B404" s="14" t="s">
        <v>1846</v>
      </c>
      <c r="C404" s="14" t="s">
        <v>47</v>
      </c>
      <c r="D404" s="169">
        <v>3088</v>
      </c>
      <c r="E404" s="170">
        <v>30088</v>
      </c>
      <c r="F404" s="14" t="s">
        <v>152</v>
      </c>
      <c r="G404" s="14" t="s">
        <v>149</v>
      </c>
      <c r="H404" s="23">
        <v>109919</v>
      </c>
      <c r="I404" s="23">
        <v>27</v>
      </c>
      <c r="J404" s="14">
        <v>2</v>
      </c>
      <c r="L404" s="14">
        <v>0</v>
      </c>
      <c r="N404" s="24">
        <v>2</v>
      </c>
      <c r="P404" s="14">
        <v>0</v>
      </c>
      <c r="R404" s="14">
        <v>0</v>
      </c>
      <c r="T404" s="14" t="str">
        <f t="shared" si="6"/>
        <v>No</v>
      </c>
    </row>
    <row r="405" spans="1:20" s="14" customFormat="1" ht="11.25">
      <c r="A405" s="14" t="s">
        <v>1415</v>
      </c>
      <c r="B405" s="14" t="s">
        <v>1416</v>
      </c>
      <c r="C405" s="14" t="s">
        <v>19</v>
      </c>
      <c r="D405" s="169">
        <v>9119</v>
      </c>
      <c r="E405" s="170">
        <v>90119</v>
      </c>
      <c r="F405" s="14" t="s">
        <v>152</v>
      </c>
      <c r="G405" s="14" t="s">
        <v>149</v>
      </c>
      <c r="H405" s="23">
        <v>583681</v>
      </c>
      <c r="I405" s="23">
        <v>27</v>
      </c>
      <c r="J405" s="14">
        <v>0</v>
      </c>
      <c r="L405" s="14">
        <v>0</v>
      </c>
      <c r="N405" s="24">
        <v>0</v>
      </c>
      <c r="P405" s="14">
        <v>0</v>
      </c>
      <c r="R405" s="14">
        <v>0</v>
      </c>
      <c r="T405" s="14" t="str">
        <f t="shared" si="6"/>
        <v>No</v>
      </c>
    </row>
    <row r="406" spans="1:20" s="14" customFormat="1" ht="11.25">
      <c r="A406" s="14" t="s">
        <v>1847</v>
      </c>
      <c r="B406" s="14" t="s">
        <v>566</v>
      </c>
      <c r="C406" s="14" t="s">
        <v>62</v>
      </c>
      <c r="D406" s="169">
        <v>2197</v>
      </c>
      <c r="E406" s="170">
        <v>20197</v>
      </c>
      <c r="F406" s="14" t="s">
        <v>197</v>
      </c>
      <c r="G406" s="14" t="s">
        <v>1490</v>
      </c>
      <c r="H406" s="23">
        <v>18351295</v>
      </c>
      <c r="I406" s="23">
        <v>27</v>
      </c>
      <c r="J406" s="14">
        <v>0</v>
      </c>
      <c r="L406" s="14">
        <v>0</v>
      </c>
      <c r="N406" s="24">
        <v>0</v>
      </c>
      <c r="P406" s="14">
        <v>0</v>
      </c>
      <c r="R406" s="14">
        <v>0</v>
      </c>
      <c r="T406" s="14" t="str">
        <f t="shared" si="6"/>
        <v>No</v>
      </c>
    </row>
    <row r="407" spans="1:20" s="14" customFormat="1" ht="11.25">
      <c r="A407" s="14" t="s">
        <v>1046</v>
      </c>
      <c r="B407" s="14" t="s">
        <v>347</v>
      </c>
      <c r="C407" s="14" t="s">
        <v>83</v>
      </c>
      <c r="D407" s="169">
        <v>4054</v>
      </c>
      <c r="E407" s="170">
        <v>40054</v>
      </c>
      <c r="F407" s="14" t="s">
        <v>152</v>
      </c>
      <c r="G407" s="14" t="s">
        <v>1490</v>
      </c>
      <c r="H407" s="23">
        <v>120415</v>
      </c>
      <c r="I407" s="23">
        <v>27</v>
      </c>
      <c r="J407" s="14">
        <v>1</v>
      </c>
      <c r="L407" s="14">
        <v>0</v>
      </c>
      <c r="N407" s="24">
        <v>1</v>
      </c>
      <c r="P407" s="14">
        <v>1</v>
      </c>
      <c r="R407" s="14">
        <v>0</v>
      </c>
      <c r="T407" s="14" t="str">
        <f t="shared" si="6"/>
        <v>No</v>
      </c>
    </row>
    <row r="408" spans="1:20" s="14" customFormat="1" ht="11.25">
      <c r="A408" s="14" t="s">
        <v>1691</v>
      </c>
      <c r="B408" s="14" t="s">
        <v>1692</v>
      </c>
      <c r="C408" s="14" t="s">
        <v>68</v>
      </c>
      <c r="D408" s="169" t="s">
        <v>1693</v>
      </c>
      <c r="E408" s="170">
        <v>91092</v>
      </c>
      <c r="F408" s="14" t="s">
        <v>160</v>
      </c>
      <c r="G408" s="14" t="s">
        <v>149</v>
      </c>
      <c r="H408" s="23">
        <v>210000</v>
      </c>
      <c r="I408" s="23">
        <v>27</v>
      </c>
      <c r="J408" s="14">
        <v>5</v>
      </c>
      <c r="L408" s="14">
        <v>3</v>
      </c>
      <c r="N408" s="24">
        <v>8</v>
      </c>
      <c r="P408" s="14">
        <v>4</v>
      </c>
      <c r="R408" s="14">
        <v>0</v>
      </c>
      <c r="T408" s="14" t="str">
        <f t="shared" si="6"/>
        <v>No</v>
      </c>
    </row>
    <row r="409" spans="1:20" s="14" customFormat="1" ht="11.25">
      <c r="A409" s="14" t="s">
        <v>1141</v>
      </c>
      <c r="B409" s="14" t="s">
        <v>1142</v>
      </c>
      <c r="C409" s="14" t="s">
        <v>13</v>
      </c>
      <c r="D409" s="169">
        <v>4044</v>
      </c>
      <c r="E409" s="170">
        <v>40044</v>
      </c>
      <c r="F409" s="14" t="s">
        <v>152</v>
      </c>
      <c r="G409" s="14" t="s">
        <v>149</v>
      </c>
      <c r="H409" s="23">
        <v>263907</v>
      </c>
      <c r="I409" s="23">
        <v>27</v>
      </c>
      <c r="J409" s="14">
        <v>3</v>
      </c>
      <c r="L409" s="14">
        <v>0</v>
      </c>
      <c r="N409" s="24">
        <v>3</v>
      </c>
      <c r="P409" s="14">
        <v>3</v>
      </c>
      <c r="R409" s="14">
        <v>0</v>
      </c>
      <c r="T409" s="14" t="str">
        <f t="shared" si="6"/>
        <v>No</v>
      </c>
    </row>
    <row r="410" spans="1:20" s="14" customFormat="1" ht="11.25">
      <c r="A410" s="14" t="s">
        <v>1697</v>
      </c>
      <c r="B410" s="14" t="s">
        <v>1698</v>
      </c>
      <c r="C410" s="14" t="s">
        <v>19</v>
      </c>
      <c r="D410" s="169"/>
      <c r="E410" s="170">
        <v>90287</v>
      </c>
      <c r="F410" s="14" t="s">
        <v>160</v>
      </c>
      <c r="G410" s="14" t="s">
        <v>1490</v>
      </c>
      <c r="H410" s="23">
        <v>12150996</v>
      </c>
      <c r="I410" s="23">
        <v>27</v>
      </c>
      <c r="J410" s="14">
        <v>0</v>
      </c>
      <c r="L410" s="14">
        <v>0</v>
      </c>
      <c r="N410" s="24">
        <v>0</v>
      </c>
      <c r="P410" s="14">
        <v>0</v>
      </c>
      <c r="R410" s="14">
        <v>0</v>
      </c>
      <c r="T410" s="14" t="str">
        <f t="shared" si="6"/>
        <v>No</v>
      </c>
    </row>
    <row r="411" spans="1:20" s="14" customFormat="1" ht="11.25">
      <c r="A411" s="14" t="s">
        <v>1848</v>
      </c>
      <c r="B411" s="14" t="s">
        <v>833</v>
      </c>
      <c r="C411" s="14" t="s">
        <v>40</v>
      </c>
      <c r="D411" s="169">
        <v>5209</v>
      </c>
      <c r="E411" s="170">
        <v>50209</v>
      </c>
      <c r="F411" s="14" t="s">
        <v>160</v>
      </c>
      <c r="G411" s="14" t="s">
        <v>1490</v>
      </c>
      <c r="H411" s="23">
        <v>1487483</v>
      </c>
      <c r="I411" s="23">
        <v>27</v>
      </c>
      <c r="J411" s="14">
        <v>0</v>
      </c>
      <c r="L411" s="14">
        <v>0</v>
      </c>
      <c r="N411" s="24">
        <v>0</v>
      </c>
      <c r="P411" s="14">
        <v>0</v>
      </c>
      <c r="R411" s="14">
        <v>0</v>
      </c>
      <c r="T411" s="14" t="str">
        <f t="shared" si="6"/>
        <v>No</v>
      </c>
    </row>
    <row r="412" spans="1:20" s="14" customFormat="1" ht="11.25">
      <c r="A412" s="14" t="s">
        <v>1064</v>
      </c>
      <c r="B412" s="14" t="s">
        <v>1065</v>
      </c>
      <c r="C412" s="14" t="s">
        <v>67</v>
      </c>
      <c r="D412" s="169">
        <v>6049</v>
      </c>
      <c r="E412" s="170">
        <v>60049</v>
      </c>
      <c r="F412" s="14" t="s">
        <v>152</v>
      </c>
      <c r="G412" s="14" t="s">
        <v>1490</v>
      </c>
      <c r="H412" s="23">
        <v>128600</v>
      </c>
      <c r="I412" s="23">
        <v>27</v>
      </c>
      <c r="J412" s="14">
        <v>1</v>
      </c>
      <c r="L412" s="14">
        <v>0</v>
      </c>
      <c r="N412" s="24">
        <v>1</v>
      </c>
      <c r="P412" s="14">
        <v>1</v>
      </c>
      <c r="R412" s="14">
        <v>0</v>
      </c>
      <c r="T412" s="14" t="str">
        <f t="shared" si="6"/>
        <v>No</v>
      </c>
    </row>
    <row r="413" spans="1:20" s="14" customFormat="1" ht="11.25">
      <c r="A413" s="14" t="s">
        <v>1263</v>
      </c>
      <c r="B413" s="14" t="s">
        <v>1264</v>
      </c>
      <c r="C413" s="14" t="s">
        <v>75</v>
      </c>
      <c r="D413" s="169">
        <v>3055</v>
      </c>
      <c r="E413" s="170">
        <v>30055</v>
      </c>
      <c r="F413" s="14" t="s">
        <v>152</v>
      </c>
      <c r="G413" s="14" t="s">
        <v>1490</v>
      </c>
      <c r="H413" s="23">
        <v>387550</v>
      </c>
      <c r="I413" s="23">
        <v>27</v>
      </c>
      <c r="J413" s="14">
        <v>1</v>
      </c>
      <c r="L413" s="14">
        <v>0</v>
      </c>
      <c r="N413" s="24">
        <v>1</v>
      </c>
      <c r="P413" s="14">
        <v>0</v>
      </c>
      <c r="R413" s="14">
        <v>0</v>
      </c>
      <c r="T413" s="14" t="str">
        <f t="shared" si="6"/>
        <v>No</v>
      </c>
    </row>
    <row r="414" spans="1:20" s="14" customFormat="1" ht="11.25">
      <c r="A414" s="14" t="s">
        <v>1395</v>
      </c>
      <c r="B414" s="14" t="s">
        <v>1396</v>
      </c>
      <c r="C414" s="14" t="s">
        <v>77</v>
      </c>
      <c r="D414" s="169">
        <v>4125</v>
      </c>
      <c r="E414" s="170">
        <v>40125</v>
      </c>
      <c r="F414" s="14" t="s">
        <v>152</v>
      </c>
      <c r="G414" s="14" t="s">
        <v>1490</v>
      </c>
      <c r="H414" s="23">
        <v>2148346</v>
      </c>
      <c r="I414" s="23">
        <v>26</v>
      </c>
      <c r="J414" s="14">
        <v>2</v>
      </c>
      <c r="L414" s="14">
        <v>0</v>
      </c>
      <c r="N414" s="24">
        <v>2</v>
      </c>
      <c r="P414" s="14">
        <v>0</v>
      </c>
      <c r="R414" s="14">
        <v>0</v>
      </c>
      <c r="T414" s="14" t="str">
        <f t="shared" si="6"/>
        <v>No</v>
      </c>
    </row>
    <row r="415" spans="1:20" s="14" customFormat="1" ht="11.25">
      <c r="A415" s="14" t="s">
        <v>1378</v>
      </c>
      <c r="B415" s="14" t="s">
        <v>1379</v>
      </c>
      <c r="C415" s="14" t="s">
        <v>75</v>
      </c>
      <c r="D415" s="169">
        <v>3026</v>
      </c>
      <c r="E415" s="170">
        <v>30026</v>
      </c>
      <c r="F415" s="14" t="s">
        <v>152</v>
      </c>
      <c r="G415" s="14" t="s">
        <v>149</v>
      </c>
      <c r="H415" s="23">
        <v>56142</v>
      </c>
      <c r="I415" s="23">
        <v>26</v>
      </c>
      <c r="J415" s="14">
        <v>1</v>
      </c>
      <c r="L415" s="14">
        <v>0</v>
      </c>
      <c r="N415" s="24">
        <v>1</v>
      </c>
      <c r="P415" s="14">
        <v>0</v>
      </c>
      <c r="R415" s="14">
        <v>0</v>
      </c>
      <c r="T415" s="14" t="str">
        <f t="shared" si="6"/>
        <v>No</v>
      </c>
    </row>
    <row r="416" spans="1:20" s="14" customFormat="1" ht="11.25">
      <c r="A416" s="14" t="s">
        <v>1354</v>
      </c>
      <c r="B416" s="14" t="s">
        <v>1355</v>
      </c>
      <c r="C416" s="14" t="s">
        <v>84</v>
      </c>
      <c r="D416" s="169">
        <v>6012</v>
      </c>
      <c r="E416" s="170">
        <v>60012</v>
      </c>
      <c r="F416" s="14" t="s">
        <v>152</v>
      </c>
      <c r="G416" s="14" t="s">
        <v>149</v>
      </c>
      <c r="H416" s="23">
        <v>172378</v>
      </c>
      <c r="I416" s="23">
        <v>26</v>
      </c>
      <c r="J416" s="14">
        <v>1</v>
      </c>
      <c r="L416" s="14">
        <v>0</v>
      </c>
      <c r="N416" s="24">
        <v>1</v>
      </c>
      <c r="P416" s="14">
        <v>0</v>
      </c>
      <c r="R416" s="14">
        <v>0</v>
      </c>
      <c r="T416" s="14" t="str">
        <f t="shared" si="6"/>
        <v>No</v>
      </c>
    </row>
    <row r="417" spans="1:20" s="14" customFormat="1" ht="11.25">
      <c r="A417" s="14" t="s">
        <v>568</v>
      </c>
      <c r="B417" s="14" t="s">
        <v>200</v>
      </c>
      <c r="C417" s="14" t="s">
        <v>62</v>
      </c>
      <c r="D417" s="169">
        <v>2200</v>
      </c>
      <c r="E417" s="170">
        <v>20200</v>
      </c>
      <c r="F417" s="14" t="s">
        <v>160</v>
      </c>
      <c r="G417" s="14" t="s">
        <v>1490</v>
      </c>
      <c r="H417" s="23">
        <v>248402</v>
      </c>
      <c r="I417" s="23">
        <v>26</v>
      </c>
      <c r="J417" s="14">
        <v>0</v>
      </c>
      <c r="L417" s="14">
        <v>0</v>
      </c>
      <c r="N417" s="24">
        <v>0</v>
      </c>
      <c r="P417" s="14">
        <v>0</v>
      </c>
      <c r="R417" s="14">
        <v>0</v>
      </c>
      <c r="T417" s="14" t="str">
        <f t="shared" si="6"/>
        <v>No</v>
      </c>
    </row>
    <row r="418" spans="1:20" s="14" customFormat="1" ht="11.25">
      <c r="A418" s="14" t="s">
        <v>1232</v>
      </c>
      <c r="B418" s="14" t="s">
        <v>1233</v>
      </c>
      <c r="C418" s="14" t="s">
        <v>57</v>
      </c>
      <c r="D418" s="169">
        <v>4096</v>
      </c>
      <c r="E418" s="170">
        <v>40096</v>
      </c>
      <c r="F418" s="14" t="s">
        <v>152</v>
      </c>
      <c r="G418" s="14" t="s">
        <v>1490</v>
      </c>
      <c r="H418" s="23">
        <v>68243</v>
      </c>
      <c r="I418" s="23">
        <v>26</v>
      </c>
      <c r="J418" s="14">
        <v>1</v>
      </c>
      <c r="L418" s="14">
        <v>0</v>
      </c>
      <c r="N418" s="24">
        <v>1</v>
      </c>
      <c r="P418" s="14">
        <v>1</v>
      </c>
      <c r="R418" s="14">
        <v>0</v>
      </c>
      <c r="T418" s="14" t="str">
        <f t="shared" si="6"/>
        <v>No</v>
      </c>
    </row>
    <row r="419" spans="1:20" s="14" customFormat="1" ht="11.25">
      <c r="A419" s="14" t="s">
        <v>1448</v>
      </c>
      <c r="B419" s="14" t="s">
        <v>1449</v>
      </c>
      <c r="C419" s="14" t="s">
        <v>69</v>
      </c>
      <c r="D419" s="169">
        <v>2177</v>
      </c>
      <c r="E419" s="170">
        <v>20177</v>
      </c>
      <c r="F419" s="14" t="s">
        <v>148</v>
      </c>
      <c r="G419" s="14" t="s">
        <v>149</v>
      </c>
      <c r="H419" s="23">
        <v>18351295</v>
      </c>
      <c r="I419" s="23">
        <v>26</v>
      </c>
      <c r="J419" s="14">
        <v>10</v>
      </c>
      <c r="L419" s="14">
        <v>0</v>
      </c>
      <c r="N419" s="24">
        <v>10</v>
      </c>
      <c r="P419" s="14">
        <v>0</v>
      </c>
      <c r="R419" s="14">
        <v>0</v>
      </c>
      <c r="T419" s="14" t="str">
        <f t="shared" si="6"/>
        <v>No</v>
      </c>
    </row>
    <row r="420" spans="1:20" s="14" customFormat="1" ht="11.25">
      <c r="A420" s="14" t="s">
        <v>910</v>
      </c>
      <c r="B420" s="14" t="s">
        <v>911</v>
      </c>
      <c r="C420" s="14" t="s">
        <v>83</v>
      </c>
      <c r="D420" s="169">
        <v>4092</v>
      </c>
      <c r="E420" s="170">
        <v>40092</v>
      </c>
      <c r="F420" s="14" t="s">
        <v>152</v>
      </c>
      <c r="G420" s="14" t="s">
        <v>1490</v>
      </c>
      <c r="H420" s="23">
        <v>158655</v>
      </c>
      <c r="I420" s="23">
        <v>26</v>
      </c>
      <c r="J420" s="14">
        <v>1</v>
      </c>
      <c r="L420" s="14">
        <v>0</v>
      </c>
      <c r="N420" s="24">
        <v>1</v>
      </c>
      <c r="P420" s="14">
        <v>0</v>
      </c>
      <c r="R420" s="14">
        <v>0</v>
      </c>
      <c r="T420" s="14" t="str">
        <f t="shared" si="6"/>
        <v>No</v>
      </c>
    </row>
    <row r="421" spans="1:20" s="14" customFormat="1" ht="11.25">
      <c r="A421" s="14" t="s">
        <v>637</v>
      </c>
      <c r="B421" s="14" t="s">
        <v>638</v>
      </c>
      <c r="C421" s="14" t="s">
        <v>19</v>
      </c>
      <c r="D421" s="169">
        <v>9226</v>
      </c>
      <c r="E421" s="170">
        <v>90226</v>
      </c>
      <c r="F421" s="14" t="s">
        <v>160</v>
      </c>
      <c r="G421" s="14" t="s">
        <v>149</v>
      </c>
      <c r="H421" s="23">
        <v>107672</v>
      </c>
      <c r="I421" s="23">
        <v>26</v>
      </c>
      <c r="J421" s="14">
        <v>3</v>
      </c>
      <c r="L421" s="14">
        <v>0</v>
      </c>
      <c r="N421" s="24">
        <v>3</v>
      </c>
      <c r="P421" s="14">
        <v>0</v>
      </c>
      <c r="R421" s="14">
        <v>0</v>
      </c>
      <c r="T421" s="14" t="str">
        <f t="shared" si="6"/>
        <v>No</v>
      </c>
    </row>
    <row r="422" spans="1:20" s="14" customFormat="1" ht="11.25">
      <c r="A422" s="14" t="s">
        <v>463</v>
      </c>
      <c r="B422" s="14" t="s">
        <v>288</v>
      </c>
      <c r="C422" s="14" t="s">
        <v>84</v>
      </c>
      <c r="D422" s="169">
        <v>6108</v>
      </c>
      <c r="E422" s="170">
        <v>60108</v>
      </c>
      <c r="F422" s="14" t="s">
        <v>152</v>
      </c>
      <c r="G422" s="14" t="s">
        <v>1490</v>
      </c>
      <c r="H422" s="23">
        <v>4944332</v>
      </c>
      <c r="I422" s="23">
        <v>26</v>
      </c>
      <c r="J422" s="14">
        <v>0</v>
      </c>
      <c r="L422" s="14">
        <v>0</v>
      </c>
      <c r="N422" s="24">
        <v>0</v>
      </c>
      <c r="P422" s="14">
        <v>0</v>
      </c>
      <c r="R422" s="14">
        <v>0</v>
      </c>
      <c r="T422" s="14" t="str">
        <f t="shared" si="6"/>
        <v>No</v>
      </c>
    </row>
    <row r="423" spans="1:20" s="14" customFormat="1" ht="11.25">
      <c r="A423" s="14" t="s">
        <v>1849</v>
      </c>
      <c r="B423" s="14" t="s">
        <v>467</v>
      </c>
      <c r="C423" s="14" t="s">
        <v>37</v>
      </c>
      <c r="D423" s="169">
        <v>7045</v>
      </c>
      <c r="E423" s="170">
        <v>70045</v>
      </c>
      <c r="F423" s="14" t="s">
        <v>152</v>
      </c>
      <c r="G423" s="14" t="s">
        <v>149</v>
      </c>
      <c r="H423" s="23">
        <v>106621</v>
      </c>
      <c r="I423" s="23">
        <v>26</v>
      </c>
      <c r="J423" s="14">
        <v>0</v>
      </c>
      <c r="L423" s="14">
        <v>0</v>
      </c>
      <c r="N423" s="24">
        <v>0</v>
      </c>
      <c r="P423" s="14">
        <v>0</v>
      </c>
      <c r="R423" s="14">
        <v>0</v>
      </c>
      <c r="T423" s="14" t="str">
        <f t="shared" si="6"/>
        <v>No</v>
      </c>
    </row>
    <row r="424" spans="1:20" s="14" customFormat="1" ht="11.25">
      <c r="A424" s="14" t="s">
        <v>1430</v>
      </c>
      <c r="B424" s="14" t="s">
        <v>289</v>
      </c>
      <c r="C424" s="14" t="s">
        <v>35</v>
      </c>
      <c r="D424" s="169">
        <v>4130</v>
      </c>
      <c r="E424" s="170">
        <v>40130</v>
      </c>
      <c r="F424" s="14" t="s">
        <v>160</v>
      </c>
      <c r="G424" s="14" t="s">
        <v>1490</v>
      </c>
      <c r="H424" s="23">
        <v>137570</v>
      </c>
      <c r="I424" s="23">
        <v>25</v>
      </c>
      <c r="J424" s="14">
        <v>1</v>
      </c>
      <c r="L424" s="14">
        <v>0</v>
      </c>
      <c r="N424" s="24">
        <v>1</v>
      </c>
      <c r="P424" s="14">
        <v>2</v>
      </c>
      <c r="R424" s="14">
        <v>0</v>
      </c>
      <c r="T424" s="14" t="str">
        <f t="shared" si="6"/>
        <v>No</v>
      </c>
    </row>
    <row r="425" spans="1:20" s="14" customFormat="1" ht="11.25">
      <c r="A425" s="14" t="s">
        <v>552</v>
      </c>
      <c r="B425" s="14" t="s">
        <v>553</v>
      </c>
      <c r="C425" s="14" t="s">
        <v>19</v>
      </c>
      <c r="D425" s="169">
        <v>9182</v>
      </c>
      <c r="E425" s="170">
        <v>90182</v>
      </c>
      <c r="F425" s="14" t="s">
        <v>160</v>
      </c>
      <c r="G425" s="14" t="s">
        <v>149</v>
      </c>
      <c r="H425" s="23">
        <v>370583</v>
      </c>
      <c r="I425" s="23">
        <v>25</v>
      </c>
      <c r="J425" s="14">
        <v>10</v>
      </c>
      <c r="L425" s="14">
        <v>0</v>
      </c>
      <c r="N425" s="24">
        <v>10</v>
      </c>
      <c r="P425" s="14">
        <v>0</v>
      </c>
      <c r="R425" s="14">
        <v>0</v>
      </c>
      <c r="T425" s="14" t="str">
        <f t="shared" si="6"/>
        <v>No</v>
      </c>
    </row>
    <row r="426" spans="1:20" s="14" customFormat="1" ht="11.25">
      <c r="A426" s="14" t="s">
        <v>1340</v>
      </c>
      <c r="B426" s="14" t="s">
        <v>1341</v>
      </c>
      <c r="C426" s="14" t="s">
        <v>51</v>
      </c>
      <c r="D426" s="169">
        <v>5132</v>
      </c>
      <c r="E426" s="170">
        <v>50132</v>
      </c>
      <c r="F426" s="14" t="s">
        <v>160</v>
      </c>
      <c r="G426" s="14" t="s">
        <v>1490</v>
      </c>
      <c r="H426" s="23">
        <v>61022</v>
      </c>
      <c r="I426" s="23">
        <v>25</v>
      </c>
      <c r="J426" s="14">
        <v>1</v>
      </c>
      <c r="L426" s="14">
        <v>0</v>
      </c>
      <c r="N426" s="24">
        <v>1</v>
      </c>
      <c r="P426" s="14">
        <v>0</v>
      </c>
      <c r="R426" s="14">
        <v>0</v>
      </c>
      <c r="T426" s="14" t="str">
        <f t="shared" si="6"/>
        <v>No</v>
      </c>
    </row>
    <row r="427" spans="1:20" s="14" customFormat="1" ht="11.25">
      <c r="A427" s="14" t="s">
        <v>610</v>
      </c>
      <c r="B427" s="14" t="s">
        <v>611</v>
      </c>
      <c r="C427" s="14" t="s">
        <v>45</v>
      </c>
      <c r="D427" s="169">
        <v>1007</v>
      </c>
      <c r="E427" s="170">
        <v>10007</v>
      </c>
      <c r="F427" s="14" t="s">
        <v>326</v>
      </c>
      <c r="G427" s="14" t="s">
        <v>149</v>
      </c>
      <c r="H427" s="23">
        <v>59124</v>
      </c>
      <c r="I427" s="23">
        <v>25</v>
      </c>
      <c r="J427" s="14">
        <v>1</v>
      </c>
      <c r="L427" s="14">
        <v>0</v>
      </c>
      <c r="N427" s="24">
        <v>1</v>
      </c>
      <c r="P427" s="14">
        <v>2</v>
      </c>
      <c r="R427" s="14">
        <v>0</v>
      </c>
      <c r="T427" s="14" t="str">
        <f t="shared" si="6"/>
        <v>No</v>
      </c>
    </row>
    <row r="428" spans="1:20" s="14" customFormat="1" ht="11.25">
      <c r="A428" s="14" t="s">
        <v>581</v>
      </c>
      <c r="B428" s="14" t="s">
        <v>327</v>
      </c>
      <c r="C428" s="14" t="s">
        <v>35</v>
      </c>
      <c r="D428" s="169">
        <v>4047</v>
      </c>
      <c r="E428" s="170">
        <v>40047</v>
      </c>
      <c r="F428" s="14" t="s">
        <v>152</v>
      </c>
      <c r="G428" s="14" t="s">
        <v>149</v>
      </c>
      <c r="H428" s="23">
        <v>128754</v>
      </c>
      <c r="I428" s="23">
        <v>25</v>
      </c>
      <c r="J428" s="14">
        <v>2</v>
      </c>
      <c r="L428" s="14">
        <v>0</v>
      </c>
      <c r="N428" s="24">
        <v>2</v>
      </c>
      <c r="P428" s="14">
        <v>2</v>
      </c>
      <c r="R428" s="14">
        <v>0</v>
      </c>
      <c r="T428" s="14" t="str">
        <f t="shared" si="6"/>
        <v>No</v>
      </c>
    </row>
    <row r="429" spans="1:20" s="14" customFormat="1" ht="11.25">
      <c r="A429" s="14" t="s">
        <v>494</v>
      </c>
      <c r="B429" s="14" t="s">
        <v>495</v>
      </c>
      <c r="C429" s="14" t="s">
        <v>61</v>
      </c>
      <c r="D429" s="169">
        <v>1119</v>
      </c>
      <c r="E429" s="170">
        <v>10119</v>
      </c>
      <c r="F429" s="14" t="s">
        <v>98</v>
      </c>
      <c r="G429" s="14" t="s">
        <v>1490</v>
      </c>
      <c r="H429" s="23">
        <v>88087</v>
      </c>
      <c r="I429" s="23">
        <v>25</v>
      </c>
      <c r="J429" s="14">
        <v>2</v>
      </c>
      <c r="L429" s="14">
        <v>0</v>
      </c>
      <c r="N429" s="24">
        <v>2</v>
      </c>
      <c r="P429" s="14">
        <v>0</v>
      </c>
      <c r="R429" s="14">
        <v>0</v>
      </c>
      <c r="T429" s="14" t="str">
        <f t="shared" si="6"/>
        <v>No</v>
      </c>
    </row>
    <row r="430" spans="1:20" s="14" customFormat="1" ht="11.25">
      <c r="A430" s="14" t="s">
        <v>1018</v>
      </c>
      <c r="B430" s="14" t="s">
        <v>1019</v>
      </c>
      <c r="C430" s="14" t="s">
        <v>47</v>
      </c>
      <c r="D430" s="169">
        <v>3074</v>
      </c>
      <c r="E430" s="170">
        <v>30074</v>
      </c>
      <c r="F430" s="14" t="s">
        <v>152</v>
      </c>
      <c r="G430" s="14" t="s">
        <v>1490</v>
      </c>
      <c r="H430" s="23">
        <v>213751</v>
      </c>
      <c r="I430" s="23">
        <v>25</v>
      </c>
      <c r="J430" s="14">
        <v>1</v>
      </c>
      <c r="L430" s="14">
        <v>0</v>
      </c>
      <c r="N430" s="24">
        <v>1</v>
      </c>
      <c r="P430" s="14">
        <v>0</v>
      </c>
      <c r="R430" s="14">
        <v>0</v>
      </c>
      <c r="T430" s="14" t="str">
        <f t="shared" si="6"/>
        <v>No</v>
      </c>
    </row>
    <row r="431" spans="1:20" s="14" customFormat="1" ht="11.25">
      <c r="A431" s="14" t="s">
        <v>1256</v>
      </c>
      <c r="B431" s="14" t="s">
        <v>1257</v>
      </c>
      <c r="C431" s="14" t="s">
        <v>19</v>
      </c>
      <c r="D431" s="169">
        <v>9087</v>
      </c>
      <c r="E431" s="170">
        <v>90087</v>
      </c>
      <c r="F431" s="14" t="s">
        <v>152</v>
      </c>
      <c r="G431" s="14" t="s">
        <v>149</v>
      </c>
      <c r="H431" s="23">
        <v>130447</v>
      </c>
      <c r="I431" s="23">
        <v>25</v>
      </c>
      <c r="J431" s="14">
        <v>1</v>
      </c>
      <c r="L431" s="14">
        <v>0</v>
      </c>
      <c r="N431" s="24">
        <v>1</v>
      </c>
      <c r="P431" s="14">
        <v>0</v>
      </c>
      <c r="R431" s="14">
        <v>0</v>
      </c>
      <c r="T431" s="14" t="str">
        <f t="shared" si="6"/>
        <v>No</v>
      </c>
    </row>
    <row r="432" spans="1:20" s="14" customFormat="1" ht="11.25">
      <c r="A432" s="14" t="s">
        <v>927</v>
      </c>
      <c r="B432" s="14" t="s">
        <v>359</v>
      </c>
      <c r="C432" s="14" t="s">
        <v>88</v>
      </c>
      <c r="D432" s="169">
        <v>16</v>
      </c>
      <c r="E432" s="170">
        <v>16</v>
      </c>
      <c r="F432" s="14" t="s">
        <v>152</v>
      </c>
      <c r="G432" s="14" t="s">
        <v>149</v>
      </c>
      <c r="H432" s="23">
        <v>63952</v>
      </c>
      <c r="I432" s="23">
        <v>25</v>
      </c>
      <c r="J432" s="14">
        <v>1</v>
      </c>
      <c r="L432" s="14">
        <v>0</v>
      </c>
      <c r="N432" s="24">
        <v>1</v>
      </c>
      <c r="P432" s="14">
        <v>0</v>
      </c>
      <c r="R432" s="14">
        <v>0</v>
      </c>
      <c r="T432" s="14" t="str">
        <f t="shared" si="6"/>
        <v>No</v>
      </c>
    </row>
    <row r="433" spans="1:20" s="14" customFormat="1" ht="11.25">
      <c r="A433" s="14" t="s">
        <v>855</v>
      </c>
      <c r="B433" s="14" t="s">
        <v>313</v>
      </c>
      <c r="C433" s="14" t="s">
        <v>61</v>
      </c>
      <c r="D433" s="169">
        <v>1133</v>
      </c>
      <c r="E433" s="170">
        <v>10133</v>
      </c>
      <c r="F433" s="14" t="s">
        <v>148</v>
      </c>
      <c r="G433" s="14" t="s">
        <v>1490</v>
      </c>
      <c r="H433" s="23">
        <v>4181019</v>
      </c>
      <c r="I433" s="23">
        <v>25</v>
      </c>
      <c r="J433" s="14">
        <v>6</v>
      </c>
      <c r="L433" s="14">
        <v>0</v>
      </c>
      <c r="N433" s="24">
        <v>6</v>
      </c>
      <c r="P433" s="14">
        <v>0</v>
      </c>
      <c r="R433" s="14">
        <v>0</v>
      </c>
      <c r="T433" s="14" t="str">
        <f t="shared" si="6"/>
        <v>No</v>
      </c>
    </row>
    <row r="434" spans="1:20" s="14" customFormat="1" ht="11.25">
      <c r="A434" s="14" t="s">
        <v>1850</v>
      </c>
      <c r="B434" s="14" t="s">
        <v>807</v>
      </c>
      <c r="C434" s="14" t="s">
        <v>42</v>
      </c>
      <c r="D434" s="169">
        <v>7053</v>
      </c>
      <c r="E434" s="170">
        <v>70053</v>
      </c>
      <c r="F434" s="14" t="s">
        <v>197</v>
      </c>
      <c r="G434" s="14" t="s">
        <v>1490</v>
      </c>
      <c r="H434" s="23">
        <v>54622</v>
      </c>
      <c r="I434" s="23">
        <v>25</v>
      </c>
      <c r="J434" s="14">
        <v>0</v>
      </c>
      <c r="L434" s="14">
        <v>0</v>
      </c>
      <c r="N434" s="24">
        <v>0</v>
      </c>
      <c r="P434" s="14">
        <v>0</v>
      </c>
      <c r="R434" s="14">
        <v>0</v>
      </c>
      <c r="T434" s="14" t="str">
        <f t="shared" si="6"/>
        <v>No</v>
      </c>
    </row>
    <row r="435" spans="1:20" s="14" customFormat="1" ht="11.25">
      <c r="A435" s="14" t="s">
        <v>1851</v>
      </c>
      <c r="B435" s="14" t="s">
        <v>192</v>
      </c>
      <c r="C435" s="14" t="s">
        <v>51</v>
      </c>
      <c r="D435" s="169"/>
      <c r="E435" s="170">
        <v>50522</v>
      </c>
      <c r="F435" s="14" t="s">
        <v>152</v>
      </c>
      <c r="G435" s="14" t="s">
        <v>149</v>
      </c>
      <c r="H435" s="23">
        <v>3734090</v>
      </c>
      <c r="I435" s="23">
        <v>25</v>
      </c>
      <c r="J435" s="14">
        <v>1</v>
      </c>
      <c r="L435" s="14">
        <v>0</v>
      </c>
      <c r="N435" s="24">
        <v>1</v>
      </c>
      <c r="P435" s="14">
        <v>0</v>
      </c>
      <c r="R435" s="14">
        <v>0</v>
      </c>
      <c r="T435" s="14" t="str">
        <f t="shared" si="6"/>
        <v>No</v>
      </c>
    </row>
    <row r="436" spans="1:20" s="14" customFormat="1" ht="11.25">
      <c r="A436" s="14" t="s">
        <v>530</v>
      </c>
      <c r="B436" s="14" t="s">
        <v>261</v>
      </c>
      <c r="C436" s="14" t="s">
        <v>84</v>
      </c>
      <c r="D436" s="169">
        <v>6040</v>
      </c>
      <c r="E436" s="170">
        <v>60040</v>
      </c>
      <c r="F436" s="14" t="s">
        <v>152</v>
      </c>
      <c r="G436" s="14" t="s">
        <v>1490</v>
      </c>
      <c r="H436" s="23">
        <v>110421</v>
      </c>
      <c r="I436" s="23">
        <v>25</v>
      </c>
      <c r="J436" s="14">
        <v>1</v>
      </c>
      <c r="L436" s="14">
        <v>0</v>
      </c>
      <c r="N436" s="24">
        <v>1</v>
      </c>
      <c r="P436" s="14">
        <v>0</v>
      </c>
      <c r="R436" s="14">
        <v>0</v>
      </c>
      <c r="T436" s="14" t="str">
        <f t="shared" si="6"/>
        <v>No</v>
      </c>
    </row>
    <row r="437" spans="1:20" s="14" customFormat="1" ht="11.25">
      <c r="A437" s="14" t="s">
        <v>1702</v>
      </c>
      <c r="B437" s="14" t="s">
        <v>264</v>
      </c>
      <c r="C437" s="14" t="s">
        <v>42</v>
      </c>
      <c r="D437" s="169"/>
      <c r="E437" s="170">
        <v>70044</v>
      </c>
      <c r="F437" s="14" t="s">
        <v>98</v>
      </c>
      <c r="G437" s="14" t="s">
        <v>149</v>
      </c>
      <c r="H437" s="23">
        <v>88053</v>
      </c>
      <c r="I437" s="23">
        <v>24</v>
      </c>
      <c r="J437" s="14">
        <v>0</v>
      </c>
      <c r="L437" s="14">
        <v>0</v>
      </c>
      <c r="N437" s="24">
        <v>0</v>
      </c>
      <c r="P437" s="14">
        <v>0</v>
      </c>
      <c r="R437" s="14">
        <v>0</v>
      </c>
      <c r="T437" s="14" t="str">
        <f t="shared" si="6"/>
        <v>No</v>
      </c>
    </row>
    <row r="438" spans="1:20" s="14" customFormat="1" ht="11.25">
      <c r="A438" s="14" t="s">
        <v>624</v>
      </c>
      <c r="B438" s="14" t="s">
        <v>308</v>
      </c>
      <c r="C438" s="14" t="s">
        <v>58</v>
      </c>
      <c r="D438" s="169">
        <v>8019</v>
      </c>
      <c r="E438" s="170">
        <v>80019</v>
      </c>
      <c r="F438" s="14" t="s">
        <v>160</v>
      </c>
      <c r="G438" s="14" t="s">
        <v>1490</v>
      </c>
      <c r="H438" s="23">
        <v>81955</v>
      </c>
      <c r="I438" s="23">
        <v>24</v>
      </c>
      <c r="J438" s="14">
        <v>1</v>
      </c>
      <c r="L438" s="14">
        <v>0</v>
      </c>
      <c r="N438" s="24">
        <v>1</v>
      </c>
      <c r="P438" s="14">
        <v>0</v>
      </c>
      <c r="R438" s="14">
        <v>0</v>
      </c>
      <c r="T438" s="14" t="str">
        <f t="shared" si="6"/>
        <v>No</v>
      </c>
    </row>
    <row r="439" spans="1:20" s="14" customFormat="1" ht="11.25">
      <c r="A439" s="14" t="s">
        <v>1649</v>
      </c>
      <c r="B439" s="14" t="s">
        <v>262</v>
      </c>
      <c r="C439" s="14" t="s">
        <v>52</v>
      </c>
      <c r="D439" s="169">
        <v>5218</v>
      </c>
      <c r="E439" s="170">
        <v>50515</v>
      </c>
      <c r="F439" s="14" t="s">
        <v>98</v>
      </c>
      <c r="G439" s="14" t="s">
        <v>149</v>
      </c>
      <c r="H439" s="23">
        <v>2650890</v>
      </c>
      <c r="I439" s="23">
        <v>24</v>
      </c>
      <c r="J439" s="14">
        <v>0</v>
      </c>
      <c r="L439" s="14">
        <v>0</v>
      </c>
      <c r="N439" s="24">
        <v>0</v>
      </c>
      <c r="P439" s="14">
        <v>0</v>
      </c>
      <c r="R439" s="14">
        <v>0</v>
      </c>
      <c r="T439" s="14" t="str">
        <f t="shared" si="6"/>
        <v>No</v>
      </c>
    </row>
    <row r="440" spans="1:20" s="14" customFormat="1" ht="11.25">
      <c r="A440" s="14" t="s">
        <v>170</v>
      </c>
      <c r="B440" s="14" t="s">
        <v>171</v>
      </c>
      <c r="C440" s="14" t="s">
        <v>75</v>
      </c>
      <c r="D440" s="169">
        <v>3095</v>
      </c>
      <c r="E440" s="170">
        <v>30095</v>
      </c>
      <c r="F440" s="14" t="s">
        <v>160</v>
      </c>
      <c r="G440" s="14" t="s">
        <v>149</v>
      </c>
      <c r="H440" s="23">
        <v>77086</v>
      </c>
      <c r="I440" s="23">
        <v>24</v>
      </c>
      <c r="J440" s="14">
        <v>2</v>
      </c>
      <c r="L440" s="14">
        <v>0</v>
      </c>
      <c r="N440" s="24">
        <v>2</v>
      </c>
      <c r="P440" s="14">
        <v>0</v>
      </c>
      <c r="R440" s="14">
        <v>0</v>
      </c>
      <c r="T440" s="14" t="str">
        <f t="shared" si="6"/>
        <v>No</v>
      </c>
    </row>
    <row r="441" spans="1:20" s="14" customFormat="1" ht="11.25">
      <c r="A441" s="14" t="s">
        <v>550</v>
      </c>
      <c r="B441" s="14" t="s">
        <v>551</v>
      </c>
      <c r="C441" s="14" t="s">
        <v>71</v>
      </c>
      <c r="D441" s="169">
        <v>5093</v>
      </c>
      <c r="E441" s="170">
        <v>50093</v>
      </c>
      <c r="F441" s="14" t="s">
        <v>160</v>
      </c>
      <c r="G441" s="14" t="s">
        <v>1490</v>
      </c>
      <c r="H441" s="23">
        <v>72852</v>
      </c>
      <c r="I441" s="23">
        <v>24</v>
      </c>
      <c r="J441" s="14">
        <v>1</v>
      </c>
      <c r="L441" s="14">
        <v>0</v>
      </c>
      <c r="N441" s="24">
        <v>1</v>
      </c>
      <c r="P441" s="14">
        <v>0</v>
      </c>
      <c r="R441" s="14">
        <v>0</v>
      </c>
      <c r="T441" s="14" t="str">
        <f t="shared" si="6"/>
        <v>No</v>
      </c>
    </row>
    <row r="442" spans="1:20" s="14" customFormat="1" ht="11.25">
      <c r="A442" s="14" t="s">
        <v>1707</v>
      </c>
      <c r="B442" s="14" t="s">
        <v>1708</v>
      </c>
      <c r="C442" s="14" t="s">
        <v>57</v>
      </c>
      <c r="D442" s="169">
        <v>4210</v>
      </c>
      <c r="E442" s="170">
        <v>40210</v>
      </c>
      <c r="F442" s="14" t="s">
        <v>152</v>
      </c>
      <c r="G442" s="14" t="s">
        <v>1490</v>
      </c>
      <c r="H442" s="23">
        <v>50503</v>
      </c>
      <c r="I442" s="23">
        <v>24</v>
      </c>
      <c r="J442" s="14">
        <v>0</v>
      </c>
      <c r="L442" s="14">
        <v>0</v>
      </c>
      <c r="N442" s="24">
        <v>0</v>
      </c>
      <c r="P442" s="14">
        <v>0</v>
      </c>
      <c r="R442" s="14">
        <v>0</v>
      </c>
      <c r="T442" s="14" t="str">
        <f t="shared" si="6"/>
        <v>No</v>
      </c>
    </row>
    <row r="443" spans="1:20" s="14" customFormat="1" ht="11.25">
      <c r="A443" s="14" t="s">
        <v>176</v>
      </c>
      <c r="B443" s="14" t="s">
        <v>177</v>
      </c>
      <c r="C443" s="14" t="s">
        <v>95</v>
      </c>
      <c r="D443" s="169">
        <v>3090</v>
      </c>
      <c r="E443" s="170">
        <v>30090</v>
      </c>
      <c r="F443" s="14" t="s">
        <v>160</v>
      </c>
      <c r="G443" s="14" t="s">
        <v>1490</v>
      </c>
      <c r="H443" s="23">
        <v>182696</v>
      </c>
      <c r="I443" s="23">
        <v>24</v>
      </c>
      <c r="J443" s="14">
        <v>0</v>
      </c>
      <c r="L443" s="14">
        <v>0</v>
      </c>
      <c r="N443" s="24">
        <v>0</v>
      </c>
      <c r="P443" s="14">
        <v>0</v>
      </c>
      <c r="R443" s="14">
        <v>0</v>
      </c>
      <c r="T443" s="14" t="str">
        <f t="shared" si="6"/>
        <v>No</v>
      </c>
    </row>
    <row r="444" spans="1:20" s="14" customFormat="1" ht="11.25">
      <c r="A444" s="14" t="s">
        <v>164</v>
      </c>
      <c r="B444" s="14" t="s">
        <v>165</v>
      </c>
      <c r="C444" s="14" t="s">
        <v>95</v>
      </c>
      <c r="D444" s="169">
        <v>3089</v>
      </c>
      <c r="E444" s="170">
        <v>30089</v>
      </c>
      <c r="F444" s="14" t="s">
        <v>160</v>
      </c>
      <c r="G444" s="14" t="s">
        <v>1490</v>
      </c>
      <c r="H444" s="23">
        <v>70350</v>
      </c>
      <c r="I444" s="23">
        <v>24</v>
      </c>
      <c r="J444" s="14">
        <v>2</v>
      </c>
      <c r="L444" s="14">
        <v>0</v>
      </c>
      <c r="N444" s="24">
        <v>2</v>
      </c>
      <c r="P444" s="14">
        <v>0</v>
      </c>
      <c r="R444" s="14">
        <v>0</v>
      </c>
      <c r="T444" s="14" t="str">
        <f t="shared" si="6"/>
        <v>No</v>
      </c>
    </row>
    <row r="445" spans="1:20" s="14" customFormat="1" ht="11.25">
      <c r="A445" s="14" t="s">
        <v>717</v>
      </c>
      <c r="B445" s="14" t="s">
        <v>718</v>
      </c>
      <c r="C445" s="14" t="s">
        <v>69</v>
      </c>
      <c r="D445" s="169">
        <v>2005</v>
      </c>
      <c r="E445" s="170">
        <v>20005</v>
      </c>
      <c r="F445" s="14" t="s">
        <v>152</v>
      </c>
      <c r="G445" s="14" t="s">
        <v>1490</v>
      </c>
      <c r="H445" s="23">
        <v>67983</v>
      </c>
      <c r="I445" s="23">
        <v>24</v>
      </c>
      <c r="J445" s="14">
        <v>1</v>
      </c>
      <c r="L445" s="14">
        <v>0</v>
      </c>
      <c r="N445" s="24">
        <v>1</v>
      </c>
      <c r="P445" s="14">
        <v>0</v>
      </c>
      <c r="R445" s="14">
        <v>0</v>
      </c>
      <c r="T445" s="14" t="str">
        <f t="shared" si="6"/>
        <v>No</v>
      </c>
    </row>
    <row r="446" spans="1:20" s="14" customFormat="1" ht="11.25">
      <c r="A446" s="14" t="s">
        <v>1210</v>
      </c>
      <c r="B446" s="14" t="s">
        <v>214</v>
      </c>
      <c r="C446" s="14" t="s">
        <v>28</v>
      </c>
      <c r="D446" s="169">
        <v>8007</v>
      </c>
      <c r="E446" s="170">
        <v>80007</v>
      </c>
      <c r="F446" s="14" t="s">
        <v>152</v>
      </c>
      <c r="G446" s="14" t="s">
        <v>149</v>
      </c>
      <c r="H446" s="23">
        <v>136550</v>
      </c>
      <c r="I446" s="23">
        <v>24</v>
      </c>
      <c r="J446" s="14">
        <v>1</v>
      </c>
      <c r="L446" s="14">
        <v>0</v>
      </c>
      <c r="N446" s="24">
        <v>1</v>
      </c>
      <c r="P446" s="14">
        <v>0</v>
      </c>
      <c r="R446" s="14">
        <v>0</v>
      </c>
      <c r="T446" s="14" t="str">
        <f t="shared" si="6"/>
        <v>No</v>
      </c>
    </row>
    <row r="447" spans="1:20" s="14" customFormat="1" ht="11.25">
      <c r="A447" s="14" t="s">
        <v>168</v>
      </c>
      <c r="B447" s="14" t="s">
        <v>169</v>
      </c>
      <c r="C447" s="14" t="s">
        <v>57</v>
      </c>
      <c r="D447" s="169">
        <v>4143</v>
      </c>
      <c r="E447" s="170">
        <v>40143</v>
      </c>
      <c r="F447" s="14" t="s">
        <v>152</v>
      </c>
      <c r="G447" s="14" t="s">
        <v>1490</v>
      </c>
      <c r="H447" s="23">
        <v>884891</v>
      </c>
      <c r="I447" s="23">
        <v>24</v>
      </c>
      <c r="J447" s="14">
        <v>1</v>
      </c>
      <c r="L447" s="14">
        <v>0</v>
      </c>
      <c r="N447" s="24">
        <v>1</v>
      </c>
      <c r="P447" s="14">
        <v>0</v>
      </c>
      <c r="R447" s="14">
        <v>0</v>
      </c>
      <c r="T447" s="14" t="str">
        <f t="shared" si="6"/>
        <v>No</v>
      </c>
    </row>
    <row r="448" spans="1:20" s="14" customFormat="1" ht="11.25">
      <c r="A448" s="14" t="s">
        <v>27</v>
      </c>
      <c r="B448" s="14" t="s">
        <v>1236</v>
      </c>
      <c r="C448" s="14" t="s">
        <v>19</v>
      </c>
      <c r="D448" s="169">
        <v>9168</v>
      </c>
      <c r="E448" s="170">
        <v>90168</v>
      </c>
      <c r="F448" s="14" t="s">
        <v>152</v>
      </c>
      <c r="G448" s="14" t="s">
        <v>1490</v>
      </c>
      <c r="H448" s="23">
        <v>1723634</v>
      </c>
      <c r="I448" s="23">
        <v>24</v>
      </c>
      <c r="J448" s="14">
        <v>1</v>
      </c>
      <c r="L448" s="14">
        <v>0</v>
      </c>
      <c r="N448" s="24">
        <v>1</v>
      </c>
      <c r="P448" s="14">
        <v>0</v>
      </c>
      <c r="R448" s="14">
        <v>0</v>
      </c>
      <c r="T448" s="14" t="str">
        <f t="shared" si="6"/>
        <v>No</v>
      </c>
    </row>
    <row r="449" spans="1:20" s="14" customFormat="1" ht="11.25">
      <c r="A449" s="14" t="s">
        <v>337</v>
      </c>
      <c r="B449" s="14" t="s">
        <v>319</v>
      </c>
      <c r="C449" s="14" t="s">
        <v>68</v>
      </c>
      <c r="D449" s="169">
        <v>9242</v>
      </c>
      <c r="E449" s="170">
        <v>90242</v>
      </c>
      <c r="F449" s="14" t="s">
        <v>197</v>
      </c>
      <c r="G449" s="14" t="s">
        <v>149</v>
      </c>
      <c r="H449" s="23">
        <v>1886011</v>
      </c>
      <c r="I449" s="23">
        <v>24</v>
      </c>
      <c r="J449" s="14">
        <v>7</v>
      </c>
      <c r="L449" s="14">
        <v>0</v>
      </c>
      <c r="N449" s="24">
        <v>7</v>
      </c>
      <c r="P449" s="14">
        <v>11</v>
      </c>
      <c r="R449" s="14">
        <v>22</v>
      </c>
      <c r="T449" s="14" t="str">
        <f t="shared" si="6"/>
        <v>No</v>
      </c>
    </row>
    <row r="450" spans="1:20" s="14" customFormat="1" ht="11.25">
      <c r="A450" s="14" t="s">
        <v>1852</v>
      </c>
      <c r="B450" s="14" t="s">
        <v>924</v>
      </c>
      <c r="C450" s="14" t="s">
        <v>62</v>
      </c>
      <c r="D450" s="169">
        <v>2160</v>
      </c>
      <c r="E450" s="170">
        <v>20160</v>
      </c>
      <c r="F450" s="14" t="s">
        <v>148</v>
      </c>
      <c r="G450" s="14" t="s">
        <v>1490</v>
      </c>
      <c r="H450" s="23">
        <v>18351295</v>
      </c>
      <c r="I450" s="23">
        <v>23</v>
      </c>
      <c r="J450" s="14">
        <v>2</v>
      </c>
      <c r="L450" s="14">
        <v>0</v>
      </c>
      <c r="N450" s="24">
        <v>2</v>
      </c>
      <c r="P450" s="14">
        <v>0</v>
      </c>
      <c r="R450" s="14">
        <v>0</v>
      </c>
      <c r="T450" s="14" t="str">
        <f t="shared" si="6"/>
        <v>No</v>
      </c>
    </row>
    <row r="451" spans="1:20" s="14" customFormat="1" ht="11.25">
      <c r="A451" s="14" t="s">
        <v>712</v>
      </c>
      <c r="B451" s="14" t="s">
        <v>466</v>
      </c>
      <c r="C451" s="14" t="s">
        <v>86</v>
      </c>
      <c r="D451" s="169">
        <v>3036</v>
      </c>
      <c r="E451" s="170">
        <v>30036</v>
      </c>
      <c r="F451" s="14" t="s">
        <v>152</v>
      </c>
      <c r="G451" s="14" t="s">
        <v>1490</v>
      </c>
      <c r="H451" s="23">
        <v>92359</v>
      </c>
      <c r="I451" s="23">
        <v>23</v>
      </c>
      <c r="J451" s="14">
        <v>1</v>
      </c>
      <c r="L451" s="14">
        <v>0</v>
      </c>
      <c r="N451" s="24">
        <v>1</v>
      </c>
      <c r="P451" s="14">
        <v>1</v>
      </c>
      <c r="R451" s="14">
        <v>0</v>
      </c>
      <c r="T451" s="14" t="str">
        <f t="shared" ref="T451:T514" si="7">IF(S451&amp;Q451&amp;O451&amp;M451&amp;K451&lt;&gt;"","Yes","No")</f>
        <v>No</v>
      </c>
    </row>
    <row r="452" spans="1:20" s="14" customFormat="1" ht="11.25">
      <c r="A452" s="14" t="s">
        <v>950</v>
      </c>
      <c r="B452" s="14" t="s">
        <v>951</v>
      </c>
      <c r="C452" s="14" t="s">
        <v>29</v>
      </c>
      <c r="D452" s="169">
        <v>1045</v>
      </c>
      <c r="E452" s="170">
        <v>10045</v>
      </c>
      <c r="F452" s="14" t="s">
        <v>323</v>
      </c>
      <c r="G452" s="14" t="s">
        <v>149</v>
      </c>
      <c r="H452" s="23">
        <v>924859</v>
      </c>
      <c r="I452" s="23">
        <v>23</v>
      </c>
      <c r="J452" s="14">
        <v>0</v>
      </c>
      <c r="L452" s="14">
        <v>0</v>
      </c>
      <c r="N452" s="24">
        <v>0</v>
      </c>
      <c r="P452" s="14">
        <v>0</v>
      </c>
      <c r="R452" s="14">
        <v>0</v>
      </c>
      <c r="T452" s="14" t="str">
        <f t="shared" si="7"/>
        <v>No</v>
      </c>
    </row>
    <row r="453" spans="1:20" s="14" customFormat="1" ht="11.25">
      <c r="A453" s="14" t="s">
        <v>1186</v>
      </c>
      <c r="B453" s="14" t="s">
        <v>338</v>
      </c>
      <c r="C453" s="14" t="s">
        <v>81</v>
      </c>
      <c r="D453" s="169">
        <v>4056</v>
      </c>
      <c r="E453" s="170">
        <v>40056</v>
      </c>
      <c r="F453" s="14" t="s">
        <v>160</v>
      </c>
      <c r="G453" s="14" t="s">
        <v>1490</v>
      </c>
      <c r="H453" s="23">
        <v>89557</v>
      </c>
      <c r="I453" s="23">
        <v>23</v>
      </c>
      <c r="J453" s="14">
        <v>0</v>
      </c>
      <c r="L453" s="14">
        <v>0</v>
      </c>
      <c r="N453" s="24">
        <v>0</v>
      </c>
      <c r="P453" s="14">
        <v>0</v>
      </c>
      <c r="R453" s="14">
        <v>0</v>
      </c>
      <c r="T453" s="14" t="str">
        <f t="shared" si="7"/>
        <v>No</v>
      </c>
    </row>
    <row r="454" spans="1:20" s="14" customFormat="1" ht="11.25">
      <c r="A454" s="14" t="s">
        <v>1343</v>
      </c>
      <c r="B454" s="14" t="s">
        <v>867</v>
      </c>
      <c r="C454" s="14" t="s">
        <v>10</v>
      </c>
      <c r="D454" s="169">
        <v>6062</v>
      </c>
      <c r="E454" s="170">
        <v>60062</v>
      </c>
      <c r="F454" s="14" t="s">
        <v>98</v>
      </c>
      <c r="G454" s="14" t="s">
        <v>1490</v>
      </c>
      <c r="H454" s="23">
        <v>295083</v>
      </c>
      <c r="I454" s="23">
        <v>23</v>
      </c>
      <c r="J454" s="14">
        <v>1</v>
      </c>
      <c r="L454" s="14">
        <v>0</v>
      </c>
      <c r="N454" s="24">
        <v>1</v>
      </c>
      <c r="P454" s="14">
        <v>2</v>
      </c>
      <c r="R454" s="14">
        <v>0</v>
      </c>
      <c r="T454" s="14" t="str">
        <f t="shared" si="7"/>
        <v>No</v>
      </c>
    </row>
    <row r="455" spans="1:20" s="14" customFormat="1" ht="11.25">
      <c r="A455" s="14" t="s">
        <v>1120</v>
      </c>
      <c r="B455" s="14" t="s">
        <v>1121</v>
      </c>
      <c r="C455" s="14" t="s">
        <v>75</v>
      </c>
      <c r="D455" s="169">
        <v>3061</v>
      </c>
      <c r="E455" s="170">
        <v>30061</v>
      </c>
      <c r="F455" s="14" t="s">
        <v>160</v>
      </c>
      <c r="G455" s="14" t="s">
        <v>149</v>
      </c>
      <c r="H455" s="23">
        <v>66086</v>
      </c>
      <c r="I455" s="23">
        <v>23</v>
      </c>
      <c r="J455" s="14">
        <v>3</v>
      </c>
      <c r="L455" s="14">
        <v>0</v>
      </c>
      <c r="N455" s="24">
        <v>3</v>
      </c>
      <c r="P455" s="14">
        <v>0</v>
      </c>
      <c r="R455" s="14">
        <v>0</v>
      </c>
      <c r="T455" s="14" t="str">
        <f t="shared" si="7"/>
        <v>No</v>
      </c>
    </row>
    <row r="456" spans="1:20" s="14" customFormat="1" ht="11.25">
      <c r="A456" s="14" t="s">
        <v>849</v>
      </c>
      <c r="B456" s="14" t="s">
        <v>850</v>
      </c>
      <c r="C456" s="14" t="s">
        <v>19</v>
      </c>
      <c r="D456" s="169">
        <v>9149</v>
      </c>
      <c r="E456" s="170">
        <v>90149</v>
      </c>
      <c r="F456" s="14" t="s">
        <v>152</v>
      </c>
      <c r="G456" s="14" t="s">
        <v>1490</v>
      </c>
      <c r="H456" s="23">
        <v>51509</v>
      </c>
      <c r="I456" s="23">
        <v>23</v>
      </c>
      <c r="J456" s="14">
        <v>0</v>
      </c>
      <c r="L456" s="14">
        <v>0</v>
      </c>
      <c r="N456" s="24">
        <v>0</v>
      </c>
      <c r="P456" s="14">
        <v>0</v>
      </c>
      <c r="R456" s="14">
        <v>0</v>
      </c>
      <c r="T456" s="14" t="str">
        <f t="shared" si="7"/>
        <v>No</v>
      </c>
    </row>
    <row r="457" spans="1:20" s="14" customFormat="1" ht="11.25">
      <c r="A457" s="14" t="s">
        <v>1154</v>
      </c>
      <c r="B457" s="14" t="s">
        <v>1155</v>
      </c>
      <c r="C457" s="14" t="s">
        <v>51</v>
      </c>
      <c r="D457" s="169">
        <v>5037</v>
      </c>
      <c r="E457" s="170">
        <v>50037</v>
      </c>
      <c r="F457" s="14" t="s">
        <v>152</v>
      </c>
      <c r="G457" s="14" t="s">
        <v>1490</v>
      </c>
      <c r="H457" s="23">
        <v>161280</v>
      </c>
      <c r="I457" s="23">
        <v>23</v>
      </c>
      <c r="J457" s="14">
        <v>1</v>
      </c>
      <c r="L457" s="14">
        <v>0</v>
      </c>
      <c r="N457" s="24">
        <v>1</v>
      </c>
      <c r="P457" s="14">
        <v>0</v>
      </c>
      <c r="R457" s="14">
        <v>0</v>
      </c>
      <c r="T457" s="14" t="str">
        <f t="shared" si="7"/>
        <v>No</v>
      </c>
    </row>
    <row r="458" spans="1:20" s="14" customFormat="1" ht="11.25">
      <c r="A458" s="14" t="s">
        <v>216</v>
      </c>
      <c r="B458" s="14" t="s">
        <v>217</v>
      </c>
      <c r="C458" s="14" t="s">
        <v>84</v>
      </c>
      <c r="D458" s="169">
        <v>6097</v>
      </c>
      <c r="E458" s="170">
        <v>60097</v>
      </c>
      <c r="F458" s="14" t="s">
        <v>152</v>
      </c>
      <c r="G458" s="14" t="s">
        <v>1490</v>
      </c>
      <c r="H458" s="23">
        <v>126405</v>
      </c>
      <c r="I458" s="23">
        <v>22</v>
      </c>
      <c r="J458" s="14">
        <v>2</v>
      </c>
      <c r="L458" s="14">
        <v>0</v>
      </c>
      <c r="N458" s="24">
        <v>2</v>
      </c>
      <c r="P458" s="14">
        <v>0</v>
      </c>
      <c r="R458" s="14">
        <v>0</v>
      </c>
      <c r="T458" s="14" t="str">
        <f t="shared" si="7"/>
        <v>No</v>
      </c>
    </row>
    <row r="459" spans="1:20" s="14" customFormat="1" ht="11.25">
      <c r="A459" s="14" t="s">
        <v>1031</v>
      </c>
      <c r="B459" s="14" t="s">
        <v>1032</v>
      </c>
      <c r="C459" s="14" t="s">
        <v>69</v>
      </c>
      <c r="D459" s="169">
        <v>2071</v>
      </c>
      <c r="E459" s="170">
        <v>20071</v>
      </c>
      <c r="F459" s="14" t="s">
        <v>152</v>
      </c>
      <c r="G459" s="14" t="s">
        <v>149</v>
      </c>
      <c r="H459" s="23">
        <v>18351295</v>
      </c>
      <c r="I459" s="23">
        <v>22</v>
      </c>
      <c r="J459" s="14">
        <v>0</v>
      </c>
      <c r="L459" s="14">
        <v>0</v>
      </c>
      <c r="N459" s="24">
        <v>0</v>
      </c>
      <c r="P459" s="14">
        <v>0</v>
      </c>
      <c r="R459" s="14">
        <v>0</v>
      </c>
      <c r="T459" s="14" t="str">
        <f t="shared" si="7"/>
        <v>No</v>
      </c>
    </row>
    <row r="460" spans="1:20" s="14" customFormat="1" ht="11.25">
      <c r="A460" s="14" t="s">
        <v>1853</v>
      </c>
      <c r="B460" s="14" t="s">
        <v>732</v>
      </c>
      <c r="C460" s="14" t="s">
        <v>54</v>
      </c>
      <c r="D460" s="169">
        <v>7003</v>
      </c>
      <c r="E460" s="170">
        <v>70003</v>
      </c>
      <c r="F460" s="14" t="s">
        <v>152</v>
      </c>
      <c r="G460" s="14" t="s">
        <v>149</v>
      </c>
      <c r="H460" s="23">
        <v>273724</v>
      </c>
      <c r="I460" s="23">
        <v>22</v>
      </c>
      <c r="J460" s="14">
        <v>2</v>
      </c>
      <c r="L460" s="14">
        <v>0</v>
      </c>
      <c r="N460" s="24">
        <v>2</v>
      </c>
      <c r="P460" s="14">
        <v>0</v>
      </c>
      <c r="R460" s="14">
        <v>0</v>
      </c>
      <c r="T460" s="14" t="str">
        <f t="shared" si="7"/>
        <v>No</v>
      </c>
    </row>
    <row r="461" spans="1:20" s="14" customFormat="1" ht="11.25">
      <c r="A461" s="14" t="s">
        <v>1417</v>
      </c>
      <c r="B461" s="14" t="s">
        <v>244</v>
      </c>
      <c r="C461" s="14" t="s">
        <v>29</v>
      </c>
      <c r="D461" s="169">
        <v>1040</v>
      </c>
      <c r="E461" s="170">
        <v>10040</v>
      </c>
      <c r="F461" s="14" t="s">
        <v>160</v>
      </c>
      <c r="G461" s="14" t="s">
        <v>149</v>
      </c>
      <c r="H461" s="23">
        <v>209190</v>
      </c>
      <c r="I461" s="23">
        <v>22</v>
      </c>
      <c r="J461" s="14">
        <v>1</v>
      </c>
      <c r="L461" s="14">
        <v>0</v>
      </c>
      <c r="N461" s="24">
        <v>1</v>
      </c>
      <c r="P461" s="14">
        <v>0</v>
      </c>
      <c r="R461" s="14">
        <v>0</v>
      </c>
      <c r="T461" s="14" t="str">
        <f t="shared" si="7"/>
        <v>No</v>
      </c>
    </row>
    <row r="462" spans="1:20" s="14" customFormat="1" ht="11.25">
      <c r="A462" s="14" t="s">
        <v>1699</v>
      </c>
      <c r="B462" s="14" t="s">
        <v>1700</v>
      </c>
      <c r="C462" s="14" t="s">
        <v>73</v>
      </c>
      <c r="D462" s="169" t="s">
        <v>1701</v>
      </c>
      <c r="E462" s="170">
        <v>66170</v>
      </c>
      <c r="F462" s="14" t="s">
        <v>397</v>
      </c>
      <c r="G462" s="14" t="s">
        <v>1490</v>
      </c>
      <c r="H462" s="23">
        <v>0</v>
      </c>
      <c r="I462" s="23">
        <v>22</v>
      </c>
      <c r="J462" s="14">
        <v>0</v>
      </c>
      <c r="L462" s="14">
        <v>0</v>
      </c>
      <c r="N462" s="24">
        <v>0</v>
      </c>
      <c r="P462" s="14">
        <v>0</v>
      </c>
      <c r="R462" s="14">
        <v>0</v>
      </c>
      <c r="T462" s="14" t="str">
        <f t="shared" si="7"/>
        <v>No</v>
      </c>
    </row>
    <row r="463" spans="1:20" s="14" customFormat="1" ht="11.25">
      <c r="A463" s="14" t="s">
        <v>1450</v>
      </c>
      <c r="B463" s="14" t="s">
        <v>539</v>
      </c>
      <c r="C463" s="14" t="s">
        <v>69</v>
      </c>
      <c r="D463" s="169">
        <v>2178</v>
      </c>
      <c r="E463" s="170">
        <v>20178</v>
      </c>
      <c r="F463" s="14" t="s">
        <v>152</v>
      </c>
      <c r="G463" s="14" t="s">
        <v>149</v>
      </c>
      <c r="H463" s="23">
        <v>423566</v>
      </c>
      <c r="I463" s="23">
        <v>22</v>
      </c>
      <c r="J463" s="14">
        <v>3</v>
      </c>
      <c r="L463" s="14">
        <v>0</v>
      </c>
      <c r="N463" s="24">
        <v>3</v>
      </c>
      <c r="P463" s="14">
        <v>2</v>
      </c>
      <c r="R463" s="14">
        <v>0</v>
      </c>
      <c r="T463" s="14" t="str">
        <f t="shared" si="7"/>
        <v>No</v>
      </c>
    </row>
    <row r="464" spans="1:20" s="14" customFormat="1" ht="11.25">
      <c r="A464" s="14" t="s">
        <v>889</v>
      </c>
      <c r="B464" s="14" t="s">
        <v>154</v>
      </c>
      <c r="C464" s="14" t="s">
        <v>74</v>
      </c>
      <c r="D464" s="169">
        <v>65</v>
      </c>
      <c r="E464" s="170">
        <v>65</v>
      </c>
      <c r="F464" s="14" t="s">
        <v>152</v>
      </c>
      <c r="G464" s="14" t="s">
        <v>1490</v>
      </c>
      <c r="H464" s="23">
        <v>62433</v>
      </c>
      <c r="I464" s="23">
        <v>22</v>
      </c>
      <c r="J464" s="14">
        <v>0</v>
      </c>
      <c r="L464" s="14">
        <v>0</v>
      </c>
      <c r="N464" s="24">
        <v>0</v>
      </c>
      <c r="P464" s="14">
        <v>0</v>
      </c>
      <c r="R464" s="14">
        <v>0</v>
      </c>
      <c r="T464" s="14" t="str">
        <f t="shared" si="7"/>
        <v>No</v>
      </c>
    </row>
    <row r="465" spans="1:20" s="14" customFormat="1" ht="11.25">
      <c r="A465" s="14" t="s">
        <v>442</v>
      </c>
      <c r="B465" s="14" t="s">
        <v>333</v>
      </c>
      <c r="C465" s="14" t="s">
        <v>85</v>
      </c>
      <c r="D465" s="169">
        <v>8028</v>
      </c>
      <c r="E465" s="170">
        <v>80028</v>
      </c>
      <c r="F465" s="14" t="s">
        <v>160</v>
      </c>
      <c r="G465" s="14" t="s">
        <v>149</v>
      </c>
      <c r="H465" s="23">
        <v>94983</v>
      </c>
      <c r="I465" s="23">
        <v>22</v>
      </c>
      <c r="J465" s="14">
        <v>1</v>
      </c>
      <c r="L465" s="14">
        <v>0</v>
      </c>
      <c r="N465" s="24">
        <v>1</v>
      </c>
      <c r="P465" s="14">
        <v>0</v>
      </c>
      <c r="R465" s="14">
        <v>0</v>
      </c>
      <c r="T465" s="14" t="str">
        <f t="shared" si="7"/>
        <v>No</v>
      </c>
    </row>
    <row r="466" spans="1:20" s="14" customFormat="1" ht="11.25">
      <c r="A466" s="14" t="s">
        <v>461</v>
      </c>
      <c r="B466" s="14" t="s">
        <v>462</v>
      </c>
      <c r="C466" s="14" t="s">
        <v>51</v>
      </c>
      <c r="D466" s="169">
        <v>5184</v>
      </c>
      <c r="E466" s="170">
        <v>50184</v>
      </c>
      <c r="F466" s="14" t="s">
        <v>160</v>
      </c>
      <c r="G466" s="14" t="s">
        <v>149</v>
      </c>
      <c r="H466" s="23">
        <v>99941</v>
      </c>
      <c r="I466" s="23">
        <v>22</v>
      </c>
      <c r="J466" s="14">
        <v>1</v>
      </c>
      <c r="L466" s="14">
        <v>0</v>
      </c>
      <c r="N466" s="24">
        <v>1</v>
      </c>
      <c r="P466" s="14">
        <v>0</v>
      </c>
      <c r="R466" s="14">
        <v>0</v>
      </c>
      <c r="T466" s="14" t="str">
        <f t="shared" si="7"/>
        <v>No</v>
      </c>
    </row>
    <row r="467" spans="1:20" s="14" customFormat="1" ht="11.25">
      <c r="A467" s="14" t="s">
        <v>1703</v>
      </c>
      <c r="B467" s="14" t="s">
        <v>1704</v>
      </c>
      <c r="C467" s="14" t="s">
        <v>32</v>
      </c>
      <c r="D467" s="169" t="s">
        <v>1705</v>
      </c>
      <c r="E467" s="170">
        <v>41157</v>
      </c>
      <c r="F467" s="14" t="s">
        <v>152</v>
      </c>
      <c r="G467" s="14" t="s">
        <v>1490</v>
      </c>
      <c r="H467" s="23">
        <v>80962</v>
      </c>
      <c r="I467" s="23">
        <v>22</v>
      </c>
      <c r="J467" s="14">
        <v>1</v>
      </c>
      <c r="L467" s="14">
        <v>0</v>
      </c>
      <c r="N467" s="24">
        <v>1</v>
      </c>
      <c r="P467" s="14">
        <v>0</v>
      </c>
      <c r="R467" s="14">
        <v>0</v>
      </c>
      <c r="T467" s="14" t="str">
        <f t="shared" si="7"/>
        <v>No</v>
      </c>
    </row>
    <row r="468" spans="1:20" s="14" customFormat="1" ht="11.25">
      <c r="A468" s="14" t="s">
        <v>832</v>
      </c>
      <c r="B468" s="14" t="s">
        <v>209</v>
      </c>
      <c r="C468" s="14" t="s">
        <v>51</v>
      </c>
      <c r="D468" s="169">
        <v>5034</v>
      </c>
      <c r="E468" s="170">
        <v>50034</v>
      </c>
      <c r="F468" s="14" t="s">
        <v>160</v>
      </c>
      <c r="G468" s="14" t="s">
        <v>149</v>
      </c>
      <c r="H468" s="23">
        <v>90057</v>
      </c>
      <c r="I468" s="23">
        <v>21</v>
      </c>
      <c r="J468" s="14">
        <v>1</v>
      </c>
      <c r="L468" s="14">
        <v>0</v>
      </c>
      <c r="N468" s="24">
        <v>1</v>
      </c>
      <c r="P468" s="14">
        <v>0</v>
      </c>
      <c r="R468" s="14">
        <v>0</v>
      </c>
      <c r="T468" s="14" t="str">
        <f t="shared" si="7"/>
        <v>No</v>
      </c>
    </row>
    <row r="469" spans="1:20" s="14" customFormat="1" ht="11.25">
      <c r="A469" s="14" t="s">
        <v>1418</v>
      </c>
      <c r="B469" s="14" t="s">
        <v>1419</v>
      </c>
      <c r="C469" s="14" t="s">
        <v>2</v>
      </c>
      <c r="D469" s="169">
        <v>42</v>
      </c>
      <c r="E469" s="170">
        <v>42</v>
      </c>
      <c r="F469" s="14" t="s">
        <v>160</v>
      </c>
      <c r="G469" s="14" t="s">
        <v>1490</v>
      </c>
      <c r="H469" s="23">
        <v>90733</v>
      </c>
      <c r="I469" s="23">
        <v>21</v>
      </c>
      <c r="J469" s="14">
        <v>1</v>
      </c>
      <c r="L469" s="14">
        <v>0</v>
      </c>
      <c r="N469" s="24">
        <v>1</v>
      </c>
      <c r="P469" s="14">
        <v>0</v>
      </c>
      <c r="R469" s="14">
        <v>0</v>
      </c>
      <c r="T469" s="14" t="str">
        <f t="shared" si="7"/>
        <v>No</v>
      </c>
    </row>
    <row r="470" spans="1:20" s="14" customFormat="1" ht="11.25">
      <c r="A470" s="14" t="s">
        <v>1362</v>
      </c>
      <c r="B470" s="14" t="s">
        <v>1363</v>
      </c>
      <c r="C470" s="14" t="s">
        <v>92</v>
      </c>
      <c r="D470" s="169">
        <v>5091</v>
      </c>
      <c r="E470" s="170">
        <v>50091</v>
      </c>
      <c r="F470" s="14" t="s">
        <v>152</v>
      </c>
      <c r="G470" s="14" t="s">
        <v>1490</v>
      </c>
      <c r="H470" s="23">
        <v>74632</v>
      </c>
      <c r="I470" s="23">
        <v>21</v>
      </c>
      <c r="J470" s="14">
        <v>1</v>
      </c>
      <c r="L470" s="14">
        <v>0</v>
      </c>
      <c r="N470" s="24">
        <v>1</v>
      </c>
      <c r="P470" s="14">
        <v>0</v>
      </c>
      <c r="R470" s="14">
        <v>0</v>
      </c>
      <c r="T470" s="14" t="str">
        <f t="shared" si="7"/>
        <v>No</v>
      </c>
    </row>
    <row r="471" spans="1:20" s="14" customFormat="1" ht="11.25">
      <c r="A471" s="14" t="s">
        <v>739</v>
      </c>
      <c r="B471" s="14" t="s">
        <v>740</v>
      </c>
      <c r="C471" s="14" t="s">
        <v>62</v>
      </c>
      <c r="D471" s="169">
        <v>2212</v>
      </c>
      <c r="E471" s="170">
        <v>20212</v>
      </c>
      <c r="F471" s="14" t="s">
        <v>152</v>
      </c>
      <c r="G471" s="14" t="s">
        <v>1490</v>
      </c>
      <c r="H471" s="23">
        <v>18351295</v>
      </c>
      <c r="I471" s="23">
        <v>21</v>
      </c>
      <c r="J471" s="14">
        <v>0</v>
      </c>
      <c r="L471" s="14">
        <v>0</v>
      </c>
      <c r="N471" s="24">
        <v>0</v>
      </c>
      <c r="P471" s="14">
        <v>0</v>
      </c>
      <c r="R471" s="14">
        <v>0</v>
      </c>
      <c r="T471" s="14" t="str">
        <f t="shared" si="7"/>
        <v>No</v>
      </c>
    </row>
    <row r="472" spans="1:20" s="14" customFormat="1" ht="11.25">
      <c r="A472" s="14" t="s">
        <v>278</v>
      </c>
      <c r="B472" s="14" t="s">
        <v>279</v>
      </c>
      <c r="C472" s="14" t="s">
        <v>19</v>
      </c>
      <c r="D472" s="169">
        <v>9200</v>
      </c>
      <c r="E472" s="170">
        <v>90200</v>
      </c>
      <c r="F472" s="14" t="s">
        <v>160</v>
      </c>
      <c r="G472" s="14" t="s">
        <v>149</v>
      </c>
      <c r="H472" s="23">
        <v>87941</v>
      </c>
      <c r="I472" s="23">
        <v>21</v>
      </c>
      <c r="J472" s="14">
        <v>1</v>
      </c>
      <c r="L472" s="14">
        <v>0</v>
      </c>
      <c r="N472" s="24">
        <v>1</v>
      </c>
      <c r="P472" s="14">
        <v>0</v>
      </c>
      <c r="R472" s="14">
        <v>0</v>
      </c>
      <c r="T472" s="14" t="str">
        <f t="shared" si="7"/>
        <v>No</v>
      </c>
    </row>
    <row r="473" spans="1:20" s="14" customFormat="1" ht="11.25">
      <c r="A473" s="14" t="s">
        <v>161</v>
      </c>
      <c r="B473" s="14" t="s">
        <v>162</v>
      </c>
      <c r="C473" s="14" t="s">
        <v>73</v>
      </c>
      <c r="D473" s="169">
        <v>6094</v>
      </c>
      <c r="E473" s="170">
        <v>60094</v>
      </c>
      <c r="F473" s="14" t="s">
        <v>152</v>
      </c>
      <c r="G473" s="14" t="s">
        <v>1490</v>
      </c>
      <c r="H473" s="23">
        <v>94457</v>
      </c>
      <c r="I473" s="23">
        <v>21</v>
      </c>
      <c r="J473" s="14">
        <v>1</v>
      </c>
      <c r="L473" s="14">
        <v>0</v>
      </c>
      <c r="N473" s="24">
        <v>1</v>
      </c>
      <c r="P473" s="14">
        <v>0</v>
      </c>
      <c r="R473" s="14">
        <v>0</v>
      </c>
      <c r="T473" s="14" t="str">
        <f t="shared" si="7"/>
        <v>No</v>
      </c>
    </row>
    <row r="474" spans="1:20" s="14" customFormat="1" ht="11.25">
      <c r="A474" s="14" t="s">
        <v>94</v>
      </c>
      <c r="B474" s="14" t="s">
        <v>1262</v>
      </c>
      <c r="C474" s="14" t="s">
        <v>92</v>
      </c>
      <c r="D474" s="169">
        <v>5088</v>
      </c>
      <c r="E474" s="170">
        <v>50088</v>
      </c>
      <c r="F474" s="14" t="s">
        <v>152</v>
      </c>
      <c r="G474" s="14" t="s">
        <v>1490</v>
      </c>
      <c r="H474" s="23">
        <v>71313</v>
      </c>
      <c r="I474" s="23">
        <v>21</v>
      </c>
      <c r="J474" s="14">
        <v>1</v>
      </c>
      <c r="L474" s="14">
        <v>0</v>
      </c>
      <c r="N474" s="24">
        <v>1</v>
      </c>
      <c r="P474" s="14">
        <v>0</v>
      </c>
      <c r="R474" s="14">
        <v>0</v>
      </c>
      <c r="T474" s="14" t="str">
        <f t="shared" si="7"/>
        <v>No</v>
      </c>
    </row>
    <row r="475" spans="1:20" s="14" customFormat="1" ht="11.25">
      <c r="A475" s="14" t="s">
        <v>1854</v>
      </c>
      <c r="B475" s="14" t="s">
        <v>369</v>
      </c>
      <c r="C475" s="14" t="s">
        <v>32</v>
      </c>
      <c r="D475" s="169">
        <v>4155</v>
      </c>
      <c r="E475" s="170">
        <v>40155</v>
      </c>
      <c r="F475" s="14" t="s">
        <v>152</v>
      </c>
      <c r="G475" s="14" t="s">
        <v>1490</v>
      </c>
      <c r="H475" s="23">
        <v>69173</v>
      </c>
      <c r="I475" s="23">
        <v>21</v>
      </c>
      <c r="J475" s="14">
        <v>0</v>
      </c>
      <c r="L475" s="14">
        <v>0</v>
      </c>
      <c r="N475" s="24">
        <v>0</v>
      </c>
      <c r="P475" s="14">
        <v>0</v>
      </c>
      <c r="R475" s="14">
        <v>0</v>
      </c>
      <c r="T475" s="14" t="str">
        <f t="shared" si="7"/>
        <v>No</v>
      </c>
    </row>
    <row r="476" spans="1:20" s="14" customFormat="1" ht="11.25">
      <c r="A476" s="14" t="s">
        <v>1037</v>
      </c>
      <c r="B476" s="14" t="s">
        <v>467</v>
      </c>
      <c r="C476" s="14" t="s">
        <v>37</v>
      </c>
      <c r="D476" s="169">
        <v>7018</v>
      </c>
      <c r="E476" s="170">
        <v>70018</v>
      </c>
      <c r="F476" s="14" t="s">
        <v>152</v>
      </c>
      <c r="G476" s="14" t="s">
        <v>149</v>
      </c>
      <c r="H476" s="23">
        <v>106621</v>
      </c>
      <c r="I476" s="23">
        <v>21</v>
      </c>
      <c r="J476" s="14">
        <v>2</v>
      </c>
      <c r="L476" s="14">
        <v>0</v>
      </c>
      <c r="N476" s="24">
        <v>2</v>
      </c>
      <c r="P476" s="14">
        <v>2</v>
      </c>
      <c r="R476" s="14">
        <v>0</v>
      </c>
      <c r="T476" s="14" t="str">
        <f t="shared" si="7"/>
        <v>No</v>
      </c>
    </row>
    <row r="477" spans="1:20" s="14" customFormat="1" ht="11.25">
      <c r="A477" s="14" t="s">
        <v>804</v>
      </c>
      <c r="B477" s="14" t="s">
        <v>805</v>
      </c>
      <c r="C477" s="14" t="s">
        <v>28</v>
      </c>
      <c r="D477" s="169">
        <v>8010</v>
      </c>
      <c r="E477" s="170">
        <v>80010</v>
      </c>
      <c r="F477" s="14" t="s">
        <v>152</v>
      </c>
      <c r="G477" s="14" t="s">
        <v>1490</v>
      </c>
      <c r="H477" s="23">
        <v>117825</v>
      </c>
      <c r="I477" s="23">
        <v>21</v>
      </c>
      <c r="J477" s="14">
        <v>0</v>
      </c>
      <c r="L477" s="14">
        <v>0</v>
      </c>
      <c r="N477" s="24">
        <v>0</v>
      </c>
      <c r="P477" s="14">
        <v>0</v>
      </c>
      <c r="R477" s="14">
        <v>0</v>
      </c>
      <c r="T477" s="14" t="str">
        <f t="shared" si="7"/>
        <v>No</v>
      </c>
    </row>
    <row r="478" spans="1:20" s="14" customFormat="1" ht="11.25">
      <c r="A478" s="14" t="s">
        <v>1149</v>
      </c>
      <c r="B478" s="14" t="s">
        <v>1150</v>
      </c>
      <c r="C478" s="14" t="s">
        <v>77</v>
      </c>
      <c r="D478" s="169">
        <v>4115</v>
      </c>
      <c r="E478" s="170">
        <v>40115</v>
      </c>
      <c r="F478" s="14" t="s">
        <v>152</v>
      </c>
      <c r="G478" s="14" t="s">
        <v>1490</v>
      </c>
      <c r="H478" s="23">
        <v>2148346</v>
      </c>
      <c r="I478" s="23">
        <v>21</v>
      </c>
      <c r="J478" s="14">
        <v>0</v>
      </c>
      <c r="L478" s="14">
        <v>0</v>
      </c>
      <c r="N478" s="24">
        <v>0</v>
      </c>
      <c r="P478" s="14">
        <v>0</v>
      </c>
      <c r="R478" s="14">
        <v>0</v>
      </c>
      <c r="T478" s="14" t="str">
        <f t="shared" si="7"/>
        <v>No</v>
      </c>
    </row>
    <row r="479" spans="1:20" s="14" customFormat="1" ht="11.25">
      <c r="A479" s="14" t="s">
        <v>1437</v>
      </c>
      <c r="B479" s="14" t="s">
        <v>468</v>
      </c>
      <c r="C479" s="14" t="s">
        <v>86</v>
      </c>
      <c r="D479" s="169">
        <v>3079</v>
      </c>
      <c r="E479" s="170">
        <v>30079</v>
      </c>
      <c r="F479" s="14" t="s">
        <v>152</v>
      </c>
      <c r="G479" s="14" t="s">
        <v>1490</v>
      </c>
      <c r="H479" s="23">
        <v>141238</v>
      </c>
      <c r="I479" s="23">
        <v>21</v>
      </c>
      <c r="J479" s="14">
        <v>1</v>
      </c>
      <c r="L479" s="14">
        <v>0</v>
      </c>
      <c r="N479" s="24">
        <v>1</v>
      </c>
      <c r="P479" s="14">
        <v>1</v>
      </c>
      <c r="R479" s="14">
        <v>0</v>
      </c>
      <c r="T479" s="14" t="str">
        <f t="shared" si="7"/>
        <v>No</v>
      </c>
    </row>
    <row r="480" spans="1:20" s="14" customFormat="1" ht="11.25">
      <c r="A480" s="14" t="s">
        <v>912</v>
      </c>
      <c r="B480" s="14" t="s">
        <v>913</v>
      </c>
      <c r="C480" s="14" t="s">
        <v>81</v>
      </c>
      <c r="D480" s="169">
        <v>4102</v>
      </c>
      <c r="E480" s="170">
        <v>40102</v>
      </c>
      <c r="F480" s="14" t="s">
        <v>160</v>
      </c>
      <c r="G480" s="14" t="s">
        <v>1490</v>
      </c>
      <c r="H480" s="23">
        <v>215304</v>
      </c>
      <c r="I480" s="23">
        <v>21</v>
      </c>
      <c r="J480" s="14">
        <v>2</v>
      </c>
      <c r="L480" s="14">
        <v>0</v>
      </c>
      <c r="N480" s="24">
        <v>2</v>
      </c>
      <c r="P480" s="14">
        <v>0</v>
      </c>
      <c r="R480" s="14">
        <v>0</v>
      </c>
      <c r="T480" s="14" t="str">
        <f t="shared" si="7"/>
        <v>No</v>
      </c>
    </row>
    <row r="481" spans="1:20" s="14" customFormat="1" ht="11.25">
      <c r="A481" s="14" t="s">
        <v>290</v>
      </c>
      <c r="B481" s="14" t="s">
        <v>291</v>
      </c>
      <c r="C481" s="14" t="s">
        <v>50</v>
      </c>
      <c r="D481" s="169">
        <v>1115</v>
      </c>
      <c r="E481" s="170">
        <v>10115</v>
      </c>
      <c r="F481" s="14" t="s">
        <v>160</v>
      </c>
      <c r="G481" s="14" t="s">
        <v>149</v>
      </c>
      <c r="H481" s="23">
        <v>203914</v>
      </c>
      <c r="I481" s="23">
        <v>21</v>
      </c>
      <c r="J481" s="14">
        <v>12</v>
      </c>
      <c r="L481" s="14">
        <v>0</v>
      </c>
      <c r="N481" s="24">
        <v>12</v>
      </c>
      <c r="P481" s="14">
        <v>2</v>
      </c>
      <c r="R481" s="14">
        <v>1</v>
      </c>
      <c r="T481" s="14" t="str">
        <f t="shared" si="7"/>
        <v>No</v>
      </c>
    </row>
    <row r="482" spans="1:20" s="14" customFormat="1" ht="11.25">
      <c r="A482" s="14" t="s">
        <v>430</v>
      </c>
      <c r="B482" s="14" t="s">
        <v>431</v>
      </c>
      <c r="C482" s="14" t="s">
        <v>56</v>
      </c>
      <c r="D482" s="169" t="s">
        <v>432</v>
      </c>
      <c r="E482" s="170">
        <v>88134</v>
      </c>
      <c r="F482" s="14" t="s">
        <v>397</v>
      </c>
      <c r="G482" s="14" t="s">
        <v>1490</v>
      </c>
      <c r="H482" s="23">
        <v>0</v>
      </c>
      <c r="I482" s="23">
        <v>21</v>
      </c>
      <c r="J482" s="14">
        <v>0</v>
      </c>
      <c r="L482" s="14">
        <v>0</v>
      </c>
      <c r="N482" s="24">
        <v>0</v>
      </c>
      <c r="P482" s="14">
        <v>0</v>
      </c>
      <c r="R482" s="14">
        <v>0</v>
      </c>
      <c r="T482" s="14" t="str">
        <f t="shared" si="7"/>
        <v>No</v>
      </c>
    </row>
    <row r="483" spans="1:20" s="14" customFormat="1" ht="11.25">
      <c r="A483" s="14" t="s">
        <v>819</v>
      </c>
      <c r="B483" s="14" t="s">
        <v>820</v>
      </c>
      <c r="C483" s="14" t="s">
        <v>88</v>
      </c>
      <c r="D483" s="169">
        <v>64</v>
      </c>
      <c r="E483" s="170">
        <v>64</v>
      </c>
      <c r="F483" s="14" t="s">
        <v>160</v>
      </c>
      <c r="G483" s="14" t="s">
        <v>1490</v>
      </c>
      <c r="H483" s="23">
        <v>55805</v>
      </c>
      <c r="I483" s="23">
        <v>21</v>
      </c>
      <c r="J483" s="14">
        <v>1</v>
      </c>
      <c r="L483" s="14">
        <v>0</v>
      </c>
      <c r="N483" s="24">
        <v>1</v>
      </c>
      <c r="P483" s="14">
        <v>0</v>
      </c>
      <c r="R483" s="14">
        <v>0</v>
      </c>
      <c r="T483" s="14" t="str">
        <f t="shared" si="7"/>
        <v>No</v>
      </c>
    </row>
    <row r="484" spans="1:20" s="14" customFormat="1" ht="11.25">
      <c r="A484" s="14" t="s">
        <v>473</v>
      </c>
      <c r="B484" s="14" t="s">
        <v>474</v>
      </c>
      <c r="C484" s="14" t="s">
        <v>77</v>
      </c>
      <c r="D484" s="169">
        <v>4174</v>
      </c>
      <c r="E484" s="170">
        <v>40174</v>
      </c>
      <c r="F484" s="14" t="s">
        <v>152</v>
      </c>
      <c r="G484" s="14" t="s">
        <v>1490</v>
      </c>
      <c r="H484" s="23">
        <v>90899</v>
      </c>
      <c r="I484" s="23">
        <v>21</v>
      </c>
      <c r="J484" s="14">
        <v>1</v>
      </c>
      <c r="L484" s="14">
        <v>0</v>
      </c>
      <c r="N484" s="24">
        <v>1</v>
      </c>
      <c r="P484" s="14">
        <v>0</v>
      </c>
      <c r="R484" s="14">
        <v>0</v>
      </c>
      <c r="T484" s="14" t="str">
        <f t="shared" si="7"/>
        <v>No</v>
      </c>
    </row>
    <row r="485" spans="1:20" s="14" customFormat="1" ht="11.25">
      <c r="A485" s="14" t="s">
        <v>398</v>
      </c>
      <c r="B485" s="14" t="s">
        <v>399</v>
      </c>
      <c r="C485" s="14" t="s">
        <v>57</v>
      </c>
      <c r="D485" s="169" t="s">
        <v>400</v>
      </c>
      <c r="E485" s="170">
        <v>44913</v>
      </c>
      <c r="F485" s="14" t="s">
        <v>397</v>
      </c>
      <c r="G485" s="14" t="s">
        <v>1490</v>
      </c>
      <c r="H485" s="23">
        <v>0</v>
      </c>
      <c r="I485" s="23">
        <v>21</v>
      </c>
      <c r="J485" s="14">
        <v>0</v>
      </c>
      <c r="L485" s="14">
        <v>0</v>
      </c>
      <c r="N485" s="24">
        <v>0</v>
      </c>
      <c r="P485" s="14">
        <v>0</v>
      </c>
      <c r="R485" s="14">
        <v>0</v>
      </c>
      <c r="T485" s="14" t="str">
        <f t="shared" si="7"/>
        <v>No</v>
      </c>
    </row>
    <row r="486" spans="1:20" s="14" customFormat="1" ht="11.25">
      <c r="A486" s="14" t="s">
        <v>936</v>
      </c>
      <c r="B486" s="14" t="s">
        <v>242</v>
      </c>
      <c r="C486" s="14" t="s">
        <v>61</v>
      </c>
      <c r="D486" s="169">
        <v>1086</v>
      </c>
      <c r="E486" s="170">
        <v>10086</v>
      </c>
      <c r="F486" s="14" t="s">
        <v>160</v>
      </c>
      <c r="G486" s="14" t="s">
        <v>149</v>
      </c>
      <c r="H486" s="23">
        <v>88087</v>
      </c>
      <c r="I486" s="23">
        <v>21</v>
      </c>
      <c r="J486" s="14">
        <v>3</v>
      </c>
      <c r="L486" s="14">
        <v>0</v>
      </c>
      <c r="N486" s="24">
        <v>3</v>
      </c>
      <c r="P486" s="14">
        <v>0</v>
      </c>
      <c r="R486" s="14">
        <v>0</v>
      </c>
      <c r="T486" s="14" t="str">
        <f t="shared" si="7"/>
        <v>No</v>
      </c>
    </row>
    <row r="487" spans="1:20" s="14" customFormat="1" ht="11.25">
      <c r="A487" s="14" t="s">
        <v>586</v>
      </c>
      <c r="B487" s="14" t="s">
        <v>587</v>
      </c>
      <c r="C487" s="14" t="s">
        <v>51</v>
      </c>
      <c r="D487" s="169">
        <v>5030</v>
      </c>
      <c r="E487" s="170">
        <v>50030</v>
      </c>
      <c r="F487" s="14" t="s">
        <v>152</v>
      </c>
      <c r="G487" s="14" t="s">
        <v>1490</v>
      </c>
      <c r="H487" s="23">
        <v>78393</v>
      </c>
      <c r="I487" s="23">
        <v>20</v>
      </c>
      <c r="J487" s="14">
        <v>1</v>
      </c>
      <c r="L487" s="14">
        <v>0</v>
      </c>
      <c r="N487" s="24">
        <v>1</v>
      </c>
      <c r="P487" s="14">
        <v>0</v>
      </c>
      <c r="R487" s="14">
        <v>0</v>
      </c>
      <c r="T487" s="14" t="str">
        <f t="shared" si="7"/>
        <v>No</v>
      </c>
    </row>
    <row r="488" spans="1:20" s="14" customFormat="1" ht="11.25">
      <c r="A488" s="14" t="s">
        <v>1399</v>
      </c>
      <c r="B488" s="14" t="s">
        <v>1400</v>
      </c>
      <c r="C488" s="14" t="s">
        <v>57</v>
      </c>
      <c r="D488" s="169">
        <v>4132</v>
      </c>
      <c r="E488" s="170">
        <v>40132</v>
      </c>
      <c r="F488" s="14" t="s">
        <v>160</v>
      </c>
      <c r="G488" s="14" t="s">
        <v>1490</v>
      </c>
      <c r="H488" s="23">
        <v>61054</v>
      </c>
      <c r="I488" s="23">
        <v>20</v>
      </c>
      <c r="J488" s="14">
        <v>1</v>
      </c>
      <c r="L488" s="14">
        <v>0</v>
      </c>
      <c r="N488" s="24">
        <v>1</v>
      </c>
      <c r="P488" s="14">
        <v>0</v>
      </c>
      <c r="R488" s="14">
        <v>0</v>
      </c>
      <c r="T488" s="14" t="str">
        <f t="shared" si="7"/>
        <v>No</v>
      </c>
    </row>
    <row r="489" spans="1:20" s="14" customFormat="1" ht="11.25">
      <c r="A489" s="14" t="s">
        <v>1214</v>
      </c>
      <c r="B489" s="14" t="s">
        <v>1215</v>
      </c>
      <c r="C489" s="14" t="s">
        <v>82</v>
      </c>
      <c r="D489" s="169">
        <v>8014</v>
      </c>
      <c r="E489" s="170">
        <v>80014</v>
      </c>
      <c r="F489" s="14" t="s">
        <v>152</v>
      </c>
      <c r="G489" s="14" t="s">
        <v>1490</v>
      </c>
      <c r="H489" s="23">
        <v>81251</v>
      </c>
      <c r="I489" s="23">
        <v>20</v>
      </c>
      <c r="J489" s="14">
        <v>0</v>
      </c>
      <c r="L489" s="14">
        <v>0</v>
      </c>
      <c r="N489" s="24">
        <v>0</v>
      </c>
      <c r="P489" s="14">
        <v>0</v>
      </c>
      <c r="R489" s="14">
        <v>0</v>
      </c>
      <c r="T489" s="14" t="str">
        <f t="shared" si="7"/>
        <v>No</v>
      </c>
    </row>
    <row r="490" spans="1:20" s="14" customFormat="1" ht="11.25">
      <c r="A490" s="14" t="s">
        <v>1388</v>
      </c>
      <c r="B490" s="14" t="s">
        <v>1389</v>
      </c>
      <c r="C490" s="14" t="s">
        <v>56</v>
      </c>
      <c r="D490" s="169">
        <v>8012</v>
      </c>
      <c r="E490" s="170">
        <v>80012</v>
      </c>
      <c r="F490" s="14" t="s">
        <v>160</v>
      </c>
      <c r="G490" s="14" t="s">
        <v>149</v>
      </c>
      <c r="H490" s="23">
        <v>65207</v>
      </c>
      <c r="I490" s="23">
        <v>20</v>
      </c>
      <c r="J490" s="14">
        <v>1</v>
      </c>
      <c r="L490" s="14">
        <v>0</v>
      </c>
      <c r="N490" s="24">
        <v>1</v>
      </c>
      <c r="P490" s="14">
        <v>0</v>
      </c>
      <c r="R490" s="14">
        <v>0</v>
      </c>
      <c r="T490" s="14" t="str">
        <f t="shared" si="7"/>
        <v>No</v>
      </c>
    </row>
    <row r="491" spans="1:20" s="14" customFormat="1" ht="11.25">
      <c r="A491" s="14" t="s">
        <v>1706</v>
      </c>
      <c r="B491" s="14" t="s">
        <v>1092</v>
      </c>
      <c r="C491" s="14" t="s">
        <v>47</v>
      </c>
      <c r="D491" s="169"/>
      <c r="E491" s="170">
        <v>30201</v>
      </c>
      <c r="F491" s="14" t="s">
        <v>152</v>
      </c>
      <c r="G491" s="14" t="s">
        <v>149</v>
      </c>
      <c r="H491" s="23">
        <v>2203663</v>
      </c>
      <c r="I491" s="23">
        <v>20</v>
      </c>
      <c r="J491" s="14">
        <v>0</v>
      </c>
      <c r="L491" s="14">
        <v>5</v>
      </c>
      <c r="N491" s="24">
        <v>5</v>
      </c>
      <c r="P491" s="14">
        <v>0</v>
      </c>
      <c r="R491" s="14">
        <v>0</v>
      </c>
      <c r="T491" s="14" t="str">
        <f t="shared" si="7"/>
        <v>No</v>
      </c>
    </row>
    <row r="492" spans="1:20" s="14" customFormat="1" ht="11.25">
      <c r="A492" s="14" t="s">
        <v>1642</v>
      </c>
      <c r="B492" s="14" t="s">
        <v>1670</v>
      </c>
      <c r="C492" s="14" t="s">
        <v>86</v>
      </c>
      <c r="D492" s="169"/>
      <c r="E492" s="170">
        <v>30200</v>
      </c>
      <c r="F492" s="14" t="s">
        <v>152</v>
      </c>
      <c r="G492" s="14" t="s">
        <v>1490</v>
      </c>
      <c r="H492" s="23">
        <v>88542</v>
      </c>
      <c r="I492" s="23">
        <v>20</v>
      </c>
      <c r="J492" s="14">
        <v>1</v>
      </c>
      <c r="L492" s="14">
        <v>0</v>
      </c>
      <c r="N492" s="24">
        <v>1</v>
      </c>
      <c r="P492" s="14">
        <v>1</v>
      </c>
      <c r="R492" s="14">
        <v>0</v>
      </c>
      <c r="T492" s="14" t="str">
        <f t="shared" si="7"/>
        <v>No</v>
      </c>
    </row>
    <row r="493" spans="1:20" s="14" customFormat="1" ht="11.25">
      <c r="A493" s="14" t="s">
        <v>559</v>
      </c>
      <c r="B493" s="14" t="s">
        <v>560</v>
      </c>
      <c r="C493" s="14" t="s">
        <v>84</v>
      </c>
      <c r="D493" s="169">
        <v>6001</v>
      </c>
      <c r="E493" s="170">
        <v>60001</v>
      </c>
      <c r="F493" s="14" t="s">
        <v>152</v>
      </c>
      <c r="G493" s="14" t="s">
        <v>1490</v>
      </c>
      <c r="H493" s="23">
        <v>196651</v>
      </c>
      <c r="I493" s="23">
        <v>20</v>
      </c>
      <c r="J493" s="14">
        <v>1</v>
      </c>
      <c r="L493" s="14">
        <v>0</v>
      </c>
      <c r="N493" s="24">
        <v>1</v>
      </c>
      <c r="P493" s="14">
        <v>0</v>
      </c>
      <c r="R493" s="14">
        <v>0</v>
      </c>
      <c r="T493" s="14" t="str">
        <f t="shared" si="7"/>
        <v>No</v>
      </c>
    </row>
    <row r="494" spans="1:20" s="14" customFormat="1" ht="11.25">
      <c r="A494" s="14" t="s">
        <v>252</v>
      </c>
      <c r="B494" s="14" t="s">
        <v>253</v>
      </c>
      <c r="C494" s="14" t="s">
        <v>50</v>
      </c>
      <c r="D494" s="169">
        <v>1114</v>
      </c>
      <c r="E494" s="170">
        <v>10114</v>
      </c>
      <c r="F494" s="14" t="s">
        <v>160</v>
      </c>
      <c r="G494" s="14" t="s">
        <v>1490</v>
      </c>
      <c r="H494" s="23">
        <v>203914</v>
      </c>
      <c r="I494" s="23">
        <v>20</v>
      </c>
      <c r="J494" s="14">
        <v>0</v>
      </c>
      <c r="L494" s="14">
        <v>0</v>
      </c>
      <c r="N494" s="24">
        <v>0</v>
      </c>
      <c r="P494" s="14">
        <v>0</v>
      </c>
      <c r="R494" s="14">
        <v>0</v>
      </c>
      <c r="T494" s="14" t="str">
        <f t="shared" si="7"/>
        <v>No</v>
      </c>
    </row>
    <row r="495" spans="1:20" s="14" customFormat="1" ht="11.25">
      <c r="A495" s="14" t="s">
        <v>992</v>
      </c>
      <c r="B495" s="14" t="s">
        <v>993</v>
      </c>
      <c r="C495" s="14" t="s">
        <v>40</v>
      </c>
      <c r="D495" s="169">
        <v>5045</v>
      </c>
      <c r="E495" s="170">
        <v>50045</v>
      </c>
      <c r="F495" s="14" t="s">
        <v>152</v>
      </c>
      <c r="G495" s="14" t="s">
        <v>149</v>
      </c>
      <c r="H495" s="23">
        <v>8608208</v>
      </c>
      <c r="I495" s="23">
        <v>20</v>
      </c>
      <c r="J495" s="14">
        <v>1</v>
      </c>
      <c r="L495" s="14">
        <v>0</v>
      </c>
      <c r="N495" s="24">
        <v>1</v>
      </c>
      <c r="P495" s="14">
        <v>1</v>
      </c>
      <c r="R495" s="14">
        <v>1</v>
      </c>
      <c r="T495" s="14" t="str">
        <f t="shared" si="7"/>
        <v>No</v>
      </c>
    </row>
    <row r="496" spans="1:20" s="14" customFormat="1" ht="11.25">
      <c r="A496" s="14" t="s">
        <v>778</v>
      </c>
      <c r="B496" s="14" t="s">
        <v>236</v>
      </c>
      <c r="C496" s="14" t="s">
        <v>37</v>
      </c>
      <c r="D496" s="169">
        <v>7011</v>
      </c>
      <c r="E496" s="170">
        <v>70011</v>
      </c>
      <c r="F496" s="14" t="s">
        <v>152</v>
      </c>
      <c r="G496" s="14" t="s">
        <v>1490</v>
      </c>
      <c r="H496" s="23">
        <v>67818</v>
      </c>
      <c r="I496" s="23">
        <v>19</v>
      </c>
      <c r="J496" s="14">
        <v>1</v>
      </c>
      <c r="L496" s="14">
        <v>0</v>
      </c>
      <c r="N496" s="24">
        <v>1</v>
      </c>
      <c r="P496" s="14">
        <v>1</v>
      </c>
      <c r="R496" s="14">
        <v>0</v>
      </c>
      <c r="T496" s="14" t="str">
        <f t="shared" si="7"/>
        <v>No</v>
      </c>
    </row>
    <row r="497" spans="1:20" s="14" customFormat="1" ht="11.25">
      <c r="A497" s="14" t="s">
        <v>1855</v>
      </c>
      <c r="B497" s="14" t="s">
        <v>1024</v>
      </c>
      <c r="C497" s="14" t="s">
        <v>57</v>
      </c>
      <c r="D497" s="169">
        <v>4011</v>
      </c>
      <c r="E497" s="170">
        <v>40011</v>
      </c>
      <c r="F497" s="14" t="s">
        <v>152</v>
      </c>
      <c r="G497" s="14" t="s">
        <v>1490</v>
      </c>
      <c r="H497" s="23">
        <v>166485</v>
      </c>
      <c r="I497" s="23">
        <v>19</v>
      </c>
      <c r="J497" s="14">
        <v>1</v>
      </c>
      <c r="L497" s="14">
        <v>0</v>
      </c>
      <c r="N497" s="24">
        <v>1</v>
      </c>
      <c r="P497" s="14">
        <v>0</v>
      </c>
      <c r="R497" s="14">
        <v>0</v>
      </c>
      <c r="T497" s="14" t="str">
        <f t="shared" si="7"/>
        <v>No</v>
      </c>
    </row>
    <row r="498" spans="1:20" s="14" customFormat="1" ht="11.25">
      <c r="A498" s="14" t="s">
        <v>858</v>
      </c>
      <c r="B498" s="14" t="s">
        <v>300</v>
      </c>
      <c r="C498" s="14" t="s">
        <v>57</v>
      </c>
      <c r="D498" s="169">
        <v>4217</v>
      </c>
      <c r="E498" s="170">
        <v>40217</v>
      </c>
      <c r="F498" s="14" t="s">
        <v>152</v>
      </c>
      <c r="G498" s="14" t="s">
        <v>1490</v>
      </c>
      <c r="H498" s="23">
        <v>214881</v>
      </c>
      <c r="I498" s="23">
        <v>19</v>
      </c>
      <c r="J498" s="14">
        <v>0</v>
      </c>
      <c r="L498" s="14">
        <v>0</v>
      </c>
      <c r="N498" s="24">
        <v>0</v>
      </c>
      <c r="P498" s="14">
        <v>0</v>
      </c>
      <c r="R498" s="14">
        <v>0</v>
      </c>
      <c r="T498" s="14" t="str">
        <f t="shared" si="7"/>
        <v>No</v>
      </c>
    </row>
    <row r="499" spans="1:20" s="14" customFormat="1" ht="11.25">
      <c r="A499" s="14" t="s">
        <v>830</v>
      </c>
      <c r="B499" s="14" t="s">
        <v>831</v>
      </c>
      <c r="C499" s="14" t="s">
        <v>81</v>
      </c>
      <c r="D499" s="169">
        <v>4208</v>
      </c>
      <c r="E499" s="170">
        <v>40208</v>
      </c>
      <c r="F499" s="14" t="s">
        <v>152</v>
      </c>
      <c r="G499" s="14" t="s">
        <v>149</v>
      </c>
      <c r="H499" s="23">
        <v>400492</v>
      </c>
      <c r="I499" s="23">
        <v>19</v>
      </c>
      <c r="J499" s="14">
        <v>1</v>
      </c>
      <c r="L499" s="14">
        <v>0</v>
      </c>
      <c r="N499" s="24">
        <v>1</v>
      </c>
      <c r="P499" s="14">
        <v>0</v>
      </c>
      <c r="R499" s="14">
        <v>0</v>
      </c>
      <c r="T499" s="14" t="str">
        <f t="shared" si="7"/>
        <v>No</v>
      </c>
    </row>
    <row r="500" spans="1:20" s="14" customFormat="1" ht="11.25">
      <c r="A500" s="14" t="s">
        <v>584</v>
      </c>
      <c r="B500" s="14" t="s">
        <v>585</v>
      </c>
      <c r="C500" s="14" t="s">
        <v>35</v>
      </c>
      <c r="D500" s="169">
        <v>4023</v>
      </c>
      <c r="E500" s="170">
        <v>40023</v>
      </c>
      <c r="F500" s="14" t="s">
        <v>152</v>
      </c>
      <c r="G500" s="14" t="s">
        <v>149</v>
      </c>
      <c r="H500" s="23">
        <v>386787</v>
      </c>
      <c r="I500" s="23">
        <v>19</v>
      </c>
      <c r="J500" s="14">
        <v>1</v>
      </c>
      <c r="L500" s="14">
        <v>0</v>
      </c>
      <c r="N500" s="24">
        <v>1</v>
      </c>
      <c r="P500" s="14">
        <v>0</v>
      </c>
      <c r="R500" s="14">
        <v>0</v>
      </c>
      <c r="T500" s="14" t="str">
        <f t="shared" si="7"/>
        <v>No</v>
      </c>
    </row>
    <row r="501" spans="1:20" s="14" customFormat="1" ht="11.25">
      <c r="A501" s="14" t="s">
        <v>664</v>
      </c>
      <c r="B501" s="14" t="s">
        <v>665</v>
      </c>
      <c r="C501" s="14" t="s">
        <v>45</v>
      </c>
      <c r="D501" s="169">
        <v>1053</v>
      </c>
      <c r="E501" s="170">
        <v>10053</v>
      </c>
      <c r="F501" s="14" t="s">
        <v>160</v>
      </c>
      <c r="G501" s="14" t="s">
        <v>149</v>
      </c>
      <c r="H501" s="23">
        <v>4181019</v>
      </c>
      <c r="I501" s="23">
        <v>19</v>
      </c>
      <c r="J501" s="14">
        <v>0</v>
      </c>
      <c r="L501" s="14">
        <v>0</v>
      </c>
      <c r="N501" s="24">
        <v>0</v>
      </c>
      <c r="P501" s="14">
        <v>0</v>
      </c>
      <c r="R501" s="14">
        <v>0</v>
      </c>
      <c r="T501" s="14" t="str">
        <f t="shared" si="7"/>
        <v>No</v>
      </c>
    </row>
    <row r="502" spans="1:20" s="14" customFormat="1" ht="11.25">
      <c r="A502" s="14" t="s">
        <v>1359</v>
      </c>
      <c r="B502" s="14" t="s">
        <v>509</v>
      </c>
      <c r="C502" s="14" t="s">
        <v>88</v>
      </c>
      <c r="D502" s="169">
        <v>35</v>
      </c>
      <c r="E502" s="170">
        <v>35</v>
      </c>
      <c r="F502" s="14" t="s">
        <v>269</v>
      </c>
      <c r="G502" s="14" t="s">
        <v>149</v>
      </c>
      <c r="H502" s="23">
        <v>3059393</v>
      </c>
      <c r="I502" s="23">
        <v>19</v>
      </c>
      <c r="J502" s="14">
        <v>20</v>
      </c>
      <c r="L502" s="14">
        <v>0</v>
      </c>
      <c r="N502" s="24">
        <v>20</v>
      </c>
      <c r="P502" s="14">
        <v>0</v>
      </c>
      <c r="R502" s="14">
        <v>0</v>
      </c>
      <c r="T502" s="14" t="str">
        <f t="shared" si="7"/>
        <v>No</v>
      </c>
    </row>
    <row r="503" spans="1:20" s="14" customFormat="1" ht="11.25">
      <c r="A503" s="14" t="s">
        <v>996</v>
      </c>
      <c r="B503" s="14" t="s">
        <v>997</v>
      </c>
      <c r="C503" s="14" t="s">
        <v>58</v>
      </c>
      <c r="D503" s="169">
        <v>8008</v>
      </c>
      <c r="E503" s="170">
        <v>80008</v>
      </c>
      <c r="F503" s="14" t="s">
        <v>152</v>
      </c>
      <c r="G503" s="14" t="s">
        <v>149</v>
      </c>
      <c r="H503" s="23">
        <v>61270</v>
      </c>
      <c r="I503" s="23">
        <v>19</v>
      </c>
      <c r="J503" s="14">
        <v>1</v>
      </c>
      <c r="L503" s="14">
        <v>0</v>
      </c>
      <c r="N503" s="24">
        <v>1</v>
      </c>
      <c r="P503" s="14">
        <v>0</v>
      </c>
      <c r="R503" s="14">
        <v>0</v>
      </c>
      <c r="T503" s="14" t="str">
        <f t="shared" si="7"/>
        <v>No</v>
      </c>
    </row>
    <row r="504" spans="1:20" s="14" customFormat="1" ht="11.25">
      <c r="A504" s="14" t="s">
        <v>582</v>
      </c>
      <c r="B504" s="14" t="s">
        <v>583</v>
      </c>
      <c r="C504" s="14" t="s">
        <v>77</v>
      </c>
      <c r="D504" s="169">
        <v>4194</v>
      </c>
      <c r="E504" s="170">
        <v>40194</v>
      </c>
      <c r="F504" s="14" t="s">
        <v>152</v>
      </c>
      <c r="G504" s="14" t="s">
        <v>1490</v>
      </c>
      <c r="H504" s="23">
        <v>109572</v>
      </c>
      <c r="I504" s="23">
        <v>19</v>
      </c>
      <c r="J504" s="14">
        <v>4</v>
      </c>
      <c r="L504" s="14">
        <v>0</v>
      </c>
      <c r="N504" s="24">
        <v>4</v>
      </c>
      <c r="P504" s="14">
        <v>0</v>
      </c>
      <c r="R504" s="14">
        <v>0</v>
      </c>
      <c r="T504" s="14" t="str">
        <f t="shared" si="7"/>
        <v>No</v>
      </c>
    </row>
    <row r="505" spans="1:20" s="14" customFormat="1" ht="11.25">
      <c r="A505" s="14" t="s">
        <v>1016</v>
      </c>
      <c r="B505" s="14" t="s">
        <v>245</v>
      </c>
      <c r="C505" s="14" t="s">
        <v>81</v>
      </c>
      <c r="D505" s="169">
        <v>4053</v>
      </c>
      <c r="E505" s="170">
        <v>40053</v>
      </c>
      <c r="F505" s="14" t="s">
        <v>160</v>
      </c>
      <c r="G505" s="14" t="s">
        <v>149</v>
      </c>
      <c r="H505" s="23">
        <v>400492</v>
      </c>
      <c r="I505" s="23">
        <v>19</v>
      </c>
      <c r="J505" s="14">
        <v>1</v>
      </c>
      <c r="L505" s="14">
        <v>0</v>
      </c>
      <c r="N505" s="24">
        <v>1</v>
      </c>
      <c r="P505" s="14">
        <v>0</v>
      </c>
      <c r="R505" s="14">
        <v>0</v>
      </c>
      <c r="T505" s="14" t="str">
        <f t="shared" si="7"/>
        <v>No</v>
      </c>
    </row>
    <row r="506" spans="1:20" s="14" customFormat="1" ht="11.25">
      <c r="A506" s="14" t="s">
        <v>1709</v>
      </c>
      <c r="B506" s="14" t="s">
        <v>1710</v>
      </c>
      <c r="C506" s="14" t="s">
        <v>75</v>
      </c>
      <c r="D506" s="169" t="s">
        <v>1711</v>
      </c>
      <c r="E506" s="170">
        <v>30167</v>
      </c>
      <c r="F506" s="14" t="s">
        <v>152</v>
      </c>
      <c r="G506" s="14" t="s">
        <v>1490</v>
      </c>
      <c r="H506" s="23">
        <v>664651</v>
      </c>
      <c r="I506" s="23">
        <v>19</v>
      </c>
      <c r="J506" s="14">
        <v>0</v>
      </c>
      <c r="L506" s="14">
        <v>1</v>
      </c>
      <c r="N506" s="24">
        <v>1</v>
      </c>
      <c r="P506" s="14">
        <v>0</v>
      </c>
      <c r="R506" s="14">
        <v>0</v>
      </c>
      <c r="T506" s="14" t="str">
        <f t="shared" si="7"/>
        <v>No</v>
      </c>
    </row>
    <row r="507" spans="1:20" s="14" customFormat="1" ht="11.25">
      <c r="A507" s="14" t="s">
        <v>1122</v>
      </c>
      <c r="B507" s="14" t="s">
        <v>1123</v>
      </c>
      <c r="C507" s="14" t="s">
        <v>95</v>
      </c>
      <c r="D507" s="169">
        <v>3003</v>
      </c>
      <c r="E507" s="170">
        <v>30003</v>
      </c>
      <c r="F507" s="14" t="s">
        <v>160</v>
      </c>
      <c r="G507" s="14" t="s">
        <v>1490</v>
      </c>
      <c r="H507" s="23">
        <v>67229</v>
      </c>
      <c r="I507" s="23">
        <v>19</v>
      </c>
      <c r="J507" s="14">
        <v>1</v>
      </c>
      <c r="L507" s="14">
        <v>0</v>
      </c>
      <c r="N507" s="24">
        <v>1</v>
      </c>
      <c r="P507" s="14">
        <v>1</v>
      </c>
      <c r="R507" s="14">
        <v>0</v>
      </c>
      <c r="T507" s="14" t="str">
        <f t="shared" si="7"/>
        <v>No</v>
      </c>
    </row>
    <row r="508" spans="1:20" s="14" customFormat="1" ht="11.25">
      <c r="A508" s="14" t="s">
        <v>812</v>
      </c>
      <c r="B508" s="14" t="s">
        <v>1567</v>
      </c>
      <c r="C508" s="14" t="s">
        <v>47</v>
      </c>
      <c r="D508" s="169">
        <v>3109</v>
      </c>
      <c r="E508" s="170">
        <v>30109</v>
      </c>
      <c r="F508" s="14" t="s">
        <v>152</v>
      </c>
      <c r="G508" s="14" t="s">
        <v>1490</v>
      </c>
      <c r="H508" s="23">
        <v>58875</v>
      </c>
      <c r="I508" s="23">
        <v>19</v>
      </c>
      <c r="J508" s="14">
        <v>0</v>
      </c>
      <c r="L508" s="14">
        <v>0</v>
      </c>
      <c r="N508" s="24">
        <v>0</v>
      </c>
      <c r="P508" s="14">
        <v>0</v>
      </c>
      <c r="R508" s="14">
        <v>0</v>
      </c>
      <c r="T508" s="14" t="str">
        <f t="shared" si="7"/>
        <v>No</v>
      </c>
    </row>
    <row r="509" spans="1:20" s="14" customFormat="1" ht="11.25">
      <c r="A509" s="14" t="s">
        <v>536</v>
      </c>
      <c r="B509" s="14" t="s">
        <v>537</v>
      </c>
      <c r="C509" s="14" t="s">
        <v>84</v>
      </c>
      <c r="D509" s="169">
        <v>6115</v>
      </c>
      <c r="E509" s="170">
        <v>60115</v>
      </c>
      <c r="F509" s="14" t="s">
        <v>152</v>
      </c>
      <c r="G509" s="14" t="s">
        <v>1490</v>
      </c>
      <c r="H509" s="23">
        <v>5121892</v>
      </c>
      <c r="I509" s="23">
        <v>19</v>
      </c>
      <c r="J509" s="14">
        <v>1</v>
      </c>
      <c r="L509" s="14">
        <v>0</v>
      </c>
      <c r="N509" s="24">
        <v>1</v>
      </c>
      <c r="P509" s="14">
        <v>1</v>
      </c>
      <c r="R509" s="14">
        <v>0</v>
      </c>
      <c r="T509" s="14" t="str">
        <f t="shared" si="7"/>
        <v>No</v>
      </c>
    </row>
    <row r="510" spans="1:20" s="14" customFormat="1" ht="11.25">
      <c r="A510" s="14" t="s">
        <v>845</v>
      </c>
      <c r="B510" s="14" t="s">
        <v>257</v>
      </c>
      <c r="C510" s="14" t="s">
        <v>44</v>
      </c>
      <c r="D510" s="169">
        <v>6038</v>
      </c>
      <c r="E510" s="170">
        <v>60038</v>
      </c>
      <c r="F510" s="14" t="s">
        <v>152</v>
      </c>
      <c r="G510" s="14" t="s">
        <v>149</v>
      </c>
      <c r="H510" s="23">
        <v>252720</v>
      </c>
      <c r="I510" s="23">
        <v>19</v>
      </c>
      <c r="J510" s="14">
        <v>1</v>
      </c>
      <c r="L510" s="14">
        <v>0</v>
      </c>
      <c r="N510" s="24">
        <v>1</v>
      </c>
      <c r="P510" s="14">
        <v>1</v>
      </c>
      <c r="R510" s="14">
        <v>0</v>
      </c>
      <c r="T510" s="14" t="str">
        <f t="shared" si="7"/>
        <v>No</v>
      </c>
    </row>
    <row r="511" spans="1:20" s="14" customFormat="1" ht="11.25">
      <c r="A511" s="14" t="s">
        <v>525</v>
      </c>
      <c r="B511" s="14" t="s">
        <v>526</v>
      </c>
      <c r="C511" s="14" t="s">
        <v>42</v>
      </c>
      <c r="D511" s="169">
        <v>7047</v>
      </c>
      <c r="E511" s="170">
        <v>70047</v>
      </c>
      <c r="F511" s="14" t="s">
        <v>152</v>
      </c>
      <c r="G511" s="14" t="s">
        <v>1490</v>
      </c>
      <c r="H511" s="23">
        <v>1519417</v>
      </c>
      <c r="I511" s="23">
        <v>19</v>
      </c>
      <c r="J511" s="14">
        <v>1</v>
      </c>
      <c r="L511" s="14">
        <v>0</v>
      </c>
      <c r="N511" s="24">
        <v>1</v>
      </c>
      <c r="P511" s="14">
        <v>0</v>
      </c>
      <c r="R511" s="14">
        <v>0</v>
      </c>
      <c r="T511" s="14" t="str">
        <f t="shared" si="7"/>
        <v>No</v>
      </c>
    </row>
    <row r="512" spans="1:20" s="14" customFormat="1" ht="11.25">
      <c r="A512" s="14" t="s">
        <v>1453</v>
      </c>
      <c r="B512" s="14" t="s">
        <v>1454</v>
      </c>
      <c r="C512" s="14" t="s">
        <v>74</v>
      </c>
      <c r="D512" s="169">
        <v>46</v>
      </c>
      <c r="E512" s="170">
        <v>46</v>
      </c>
      <c r="F512" s="14" t="s">
        <v>152</v>
      </c>
      <c r="G512" s="14" t="s">
        <v>149</v>
      </c>
      <c r="H512" s="23">
        <v>1849898</v>
      </c>
      <c r="I512" s="23">
        <v>18</v>
      </c>
      <c r="J512" s="14">
        <v>0</v>
      </c>
      <c r="L512" s="14">
        <v>0</v>
      </c>
      <c r="N512" s="24">
        <v>0</v>
      </c>
      <c r="P512" s="14">
        <v>0</v>
      </c>
      <c r="R512" s="14">
        <v>0</v>
      </c>
      <c r="T512" s="14" t="str">
        <f t="shared" si="7"/>
        <v>No</v>
      </c>
    </row>
    <row r="513" spans="1:20" s="14" customFormat="1" ht="11.25">
      <c r="A513" s="14" t="s">
        <v>1441</v>
      </c>
      <c r="B513" s="14" t="s">
        <v>1442</v>
      </c>
      <c r="C513" s="14" t="s">
        <v>9</v>
      </c>
      <c r="D513" s="169">
        <v>45</v>
      </c>
      <c r="E513" s="170">
        <v>45</v>
      </c>
      <c r="F513" s="14" t="s">
        <v>152</v>
      </c>
      <c r="G513" s="14" t="s">
        <v>1490</v>
      </c>
      <c r="H513" s="23">
        <v>64513</v>
      </c>
      <c r="I513" s="23">
        <v>18</v>
      </c>
      <c r="J513" s="14">
        <v>1</v>
      </c>
      <c r="L513" s="14">
        <v>0</v>
      </c>
      <c r="N513" s="24">
        <v>1</v>
      </c>
      <c r="P513" s="14">
        <v>0</v>
      </c>
      <c r="R513" s="14">
        <v>0</v>
      </c>
      <c r="T513" s="14" t="str">
        <f t="shared" si="7"/>
        <v>No</v>
      </c>
    </row>
    <row r="514" spans="1:20" s="14" customFormat="1" ht="11.25">
      <c r="A514" s="14" t="s">
        <v>795</v>
      </c>
      <c r="B514" s="14" t="s">
        <v>796</v>
      </c>
      <c r="C514" s="14" t="s">
        <v>16</v>
      </c>
      <c r="D514" s="169">
        <v>9034</v>
      </c>
      <c r="E514" s="170">
        <v>90034</v>
      </c>
      <c r="F514" s="14" t="s">
        <v>152</v>
      </c>
      <c r="G514" s="14" t="s">
        <v>149</v>
      </c>
      <c r="H514" s="23">
        <v>3629114</v>
      </c>
      <c r="I514" s="23">
        <v>18</v>
      </c>
      <c r="J514" s="14">
        <v>1</v>
      </c>
      <c r="L514" s="14">
        <v>0</v>
      </c>
      <c r="N514" s="24">
        <v>1</v>
      </c>
      <c r="P514" s="14">
        <v>0</v>
      </c>
      <c r="R514" s="14">
        <v>0</v>
      </c>
      <c r="T514" s="14" t="str">
        <f t="shared" si="7"/>
        <v>No</v>
      </c>
    </row>
    <row r="515" spans="1:20" s="14" customFormat="1" ht="11.25">
      <c r="A515" s="14" t="s">
        <v>1103</v>
      </c>
      <c r="B515" s="14" t="s">
        <v>1104</v>
      </c>
      <c r="C515" s="14" t="s">
        <v>28</v>
      </c>
      <c r="D515" s="169">
        <v>8016</v>
      </c>
      <c r="E515" s="170">
        <v>80016</v>
      </c>
      <c r="F515" s="14" t="s">
        <v>152</v>
      </c>
      <c r="G515" s="14" t="s">
        <v>1490</v>
      </c>
      <c r="H515" s="23">
        <v>128124</v>
      </c>
      <c r="I515" s="23">
        <v>18</v>
      </c>
      <c r="J515" s="14">
        <v>2</v>
      </c>
      <c r="L515" s="14">
        <v>0</v>
      </c>
      <c r="N515" s="24">
        <v>2</v>
      </c>
      <c r="P515" s="14">
        <v>1</v>
      </c>
      <c r="R515" s="14">
        <v>0</v>
      </c>
      <c r="T515" s="14" t="str">
        <f t="shared" ref="T515:T578" si="8">IF(S515&amp;Q515&amp;O515&amp;M515&amp;K515&lt;&gt;"","Yes","No")</f>
        <v>No</v>
      </c>
    </row>
    <row r="516" spans="1:20" s="14" customFormat="1" ht="11.25">
      <c r="A516" s="14" t="s">
        <v>589</v>
      </c>
      <c r="B516" s="14" t="s">
        <v>590</v>
      </c>
      <c r="C516" s="14" t="s">
        <v>84</v>
      </c>
      <c r="D516" s="169">
        <v>6016</v>
      </c>
      <c r="E516" s="170">
        <v>60016</v>
      </c>
      <c r="F516" s="14" t="s">
        <v>152</v>
      </c>
      <c r="G516" s="14" t="s">
        <v>149</v>
      </c>
      <c r="H516" s="23">
        <v>147922</v>
      </c>
      <c r="I516" s="23">
        <v>18</v>
      </c>
      <c r="J516" s="14">
        <v>0</v>
      </c>
      <c r="L516" s="14">
        <v>0</v>
      </c>
      <c r="N516" s="24">
        <v>0</v>
      </c>
      <c r="P516" s="14">
        <v>0</v>
      </c>
      <c r="R516" s="14">
        <v>0</v>
      </c>
      <c r="T516" s="14" t="str">
        <f t="shared" si="8"/>
        <v>No</v>
      </c>
    </row>
    <row r="517" spans="1:20" s="14" customFormat="1" ht="11.25">
      <c r="A517" s="14" t="s">
        <v>1190</v>
      </c>
      <c r="B517" s="14" t="s">
        <v>365</v>
      </c>
      <c r="C517" s="14" t="s">
        <v>86</v>
      </c>
      <c r="D517" s="169">
        <v>3009</v>
      </c>
      <c r="E517" s="170">
        <v>30009</v>
      </c>
      <c r="F517" s="14" t="s">
        <v>152</v>
      </c>
      <c r="G517" s="14" t="s">
        <v>1490</v>
      </c>
      <c r="H517" s="23">
        <v>953556</v>
      </c>
      <c r="I517" s="23">
        <v>18</v>
      </c>
      <c r="J517" s="14">
        <v>1</v>
      </c>
      <c r="L517" s="14">
        <v>0</v>
      </c>
      <c r="N517" s="24">
        <v>1</v>
      </c>
      <c r="P517" s="14">
        <v>1</v>
      </c>
      <c r="R517" s="14">
        <v>0</v>
      </c>
      <c r="T517" s="14" t="str">
        <f t="shared" si="8"/>
        <v>No</v>
      </c>
    </row>
    <row r="518" spans="1:20" s="14" customFormat="1" ht="11.25">
      <c r="A518" s="14" t="s">
        <v>896</v>
      </c>
      <c r="B518" s="14" t="s">
        <v>897</v>
      </c>
      <c r="C518" s="14" t="s">
        <v>19</v>
      </c>
      <c r="D518" s="169">
        <v>9161</v>
      </c>
      <c r="E518" s="170">
        <v>90161</v>
      </c>
      <c r="F518" s="14" t="s">
        <v>152</v>
      </c>
      <c r="G518" s="14" t="s">
        <v>1490</v>
      </c>
      <c r="H518" s="23">
        <v>3281212</v>
      </c>
      <c r="I518" s="23">
        <v>18</v>
      </c>
      <c r="J518" s="14">
        <v>1</v>
      </c>
      <c r="L518" s="14">
        <v>0</v>
      </c>
      <c r="N518" s="24">
        <v>1</v>
      </c>
      <c r="P518" s="14">
        <v>0</v>
      </c>
      <c r="R518" s="14">
        <v>0</v>
      </c>
      <c r="T518" s="14" t="str">
        <f t="shared" si="8"/>
        <v>No</v>
      </c>
    </row>
    <row r="519" spans="1:20" s="14" customFormat="1" ht="11.25">
      <c r="A519" s="14" t="s">
        <v>723</v>
      </c>
      <c r="B519" s="14" t="s">
        <v>724</v>
      </c>
      <c r="C519" s="14" t="s">
        <v>71</v>
      </c>
      <c r="D519" s="169">
        <v>5198</v>
      </c>
      <c r="E519" s="170">
        <v>50198</v>
      </c>
      <c r="F519" s="14" t="s">
        <v>152</v>
      </c>
      <c r="G519" s="14" t="s">
        <v>149</v>
      </c>
      <c r="H519" s="23">
        <v>1780673</v>
      </c>
      <c r="I519" s="23">
        <v>18</v>
      </c>
      <c r="J519" s="14">
        <v>0</v>
      </c>
      <c r="L519" s="14">
        <v>0</v>
      </c>
      <c r="N519" s="24">
        <v>0</v>
      </c>
      <c r="P519" s="14">
        <v>0</v>
      </c>
      <c r="R519" s="14">
        <v>0</v>
      </c>
      <c r="T519" s="14" t="str">
        <f t="shared" si="8"/>
        <v>No</v>
      </c>
    </row>
    <row r="520" spans="1:20" s="14" customFormat="1" ht="11.25">
      <c r="A520" s="14" t="s">
        <v>459</v>
      </c>
      <c r="B520" s="14" t="s">
        <v>294</v>
      </c>
      <c r="C520" s="14" t="s">
        <v>83</v>
      </c>
      <c r="D520" s="169">
        <v>4170</v>
      </c>
      <c r="E520" s="170">
        <v>40170</v>
      </c>
      <c r="F520" s="14" t="s">
        <v>348</v>
      </c>
      <c r="G520" s="14" t="s">
        <v>1490</v>
      </c>
      <c r="H520" s="23">
        <v>66777</v>
      </c>
      <c r="I520" s="23">
        <v>18</v>
      </c>
      <c r="J520" s="14">
        <v>1</v>
      </c>
      <c r="L520" s="14">
        <v>0</v>
      </c>
      <c r="N520" s="24">
        <v>1</v>
      </c>
      <c r="P520" s="14">
        <v>0</v>
      </c>
      <c r="R520" s="14">
        <v>0</v>
      </c>
      <c r="T520" s="14" t="str">
        <f t="shared" si="8"/>
        <v>No</v>
      </c>
    </row>
    <row r="521" spans="1:20" s="14" customFormat="1" ht="11.25">
      <c r="A521" s="14" t="s">
        <v>180</v>
      </c>
      <c r="B521" s="14" t="s">
        <v>181</v>
      </c>
      <c r="C521" s="14" t="s">
        <v>54</v>
      </c>
      <c r="D521" s="169">
        <v>7043</v>
      </c>
      <c r="E521" s="170">
        <v>70043</v>
      </c>
      <c r="F521" s="14" t="s">
        <v>152</v>
      </c>
      <c r="G521" s="14" t="s">
        <v>1490</v>
      </c>
      <c r="H521" s="23">
        <v>58533</v>
      </c>
      <c r="I521" s="23">
        <v>17</v>
      </c>
      <c r="J521" s="14">
        <v>1</v>
      </c>
      <c r="L521" s="14">
        <v>0</v>
      </c>
      <c r="N521" s="24">
        <v>1</v>
      </c>
      <c r="P521" s="14">
        <v>0</v>
      </c>
      <c r="R521" s="14">
        <v>0</v>
      </c>
      <c r="T521" s="14" t="str">
        <f t="shared" si="8"/>
        <v>No</v>
      </c>
    </row>
    <row r="522" spans="1:20" s="14" customFormat="1" ht="11.25">
      <c r="A522" s="14" t="s">
        <v>1090</v>
      </c>
      <c r="B522" s="14" t="s">
        <v>271</v>
      </c>
      <c r="C522" s="14" t="s">
        <v>61</v>
      </c>
      <c r="D522" s="169">
        <v>1002</v>
      </c>
      <c r="E522" s="170">
        <v>10002</v>
      </c>
      <c r="F522" s="14" t="s">
        <v>160</v>
      </c>
      <c r="G522" s="14" t="s">
        <v>1490</v>
      </c>
      <c r="H522" s="23">
        <v>158377</v>
      </c>
      <c r="I522" s="23">
        <v>17</v>
      </c>
      <c r="J522" s="14">
        <v>0</v>
      </c>
      <c r="L522" s="14">
        <v>0</v>
      </c>
      <c r="N522" s="24">
        <v>0</v>
      </c>
      <c r="P522" s="14">
        <v>0</v>
      </c>
      <c r="R522" s="14">
        <v>0</v>
      </c>
      <c r="T522" s="14" t="str">
        <f t="shared" si="8"/>
        <v>No</v>
      </c>
    </row>
    <row r="523" spans="1:20" s="14" customFormat="1" ht="11.25">
      <c r="A523" s="14" t="s">
        <v>1402</v>
      </c>
      <c r="B523" s="14" t="s">
        <v>1403</v>
      </c>
      <c r="C523" s="14" t="s">
        <v>39</v>
      </c>
      <c r="D523" s="169">
        <v>5159</v>
      </c>
      <c r="E523" s="170">
        <v>50159</v>
      </c>
      <c r="F523" s="14" t="s">
        <v>152</v>
      </c>
      <c r="G523" s="14" t="s">
        <v>149</v>
      </c>
      <c r="H523" s="23">
        <v>81926</v>
      </c>
      <c r="I523" s="23">
        <v>17</v>
      </c>
      <c r="J523" s="14">
        <v>0</v>
      </c>
      <c r="L523" s="14">
        <v>0</v>
      </c>
      <c r="N523" s="24">
        <v>0</v>
      </c>
      <c r="P523" s="14">
        <v>0</v>
      </c>
      <c r="R523" s="14">
        <v>0</v>
      </c>
      <c r="T523" s="14" t="str">
        <f t="shared" si="8"/>
        <v>No</v>
      </c>
    </row>
    <row r="524" spans="1:20" s="14" customFormat="1" ht="11.25">
      <c r="A524" s="14" t="s">
        <v>123</v>
      </c>
      <c r="B524" s="14" t="s">
        <v>652</v>
      </c>
      <c r="C524" s="14" t="s">
        <v>77</v>
      </c>
      <c r="D524" s="169">
        <v>4201</v>
      </c>
      <c r="E524" s="170">
        <v>40201</v>
      </c>
      <c r="F524" s="14" t="s">
        <v>152</v>
      </c>
      <c r="G524" s="14" t="s">
        <v>1490</v>
      </c>
      <c r="H524" s="23">
        <v>2148346</v>
      </c>
      <c r="I524" s="23">
        <v>17</v>
      </c>
      <c r="J524" s="14">
        <v>1</v>
      </c>
      <c r="L524" s="14">
        <v>0</v>
      </c>
      <c r="N524" s="24">
        <v>1</v>
      </c>
      <c r="P524" s="14">
        <v>0</v>
      </c>
      <c r="R524" s="14">
        <v>0</v>
      </c>
      <c r="T524" s="14" t="str">
        <f t="shared" si="8"/>
        <v>No</v>
      </c>
    </row>
    <row r="525" spans="1:20" s="14" customFormat="1" ht="11.25">
      <c r="A525" s="14" t="s">
        <v>577</v>
      </c>
      <c r="B525" s="14" t="s">
        <v>578</v>
      </c>
      <c r="C525" s="14" t="s">
        <v>57</v>
      </c>
      <c r="D525" s="169">
        <v>4005</v>
      </c>
      <c r="E525" s="170">
        <v>40005</v>
      </c>
      <c r="F525" s="14" t="s">
        <v>152</v>
      </c>
      <c r="G525" s="14" t="s">
        <v>149</v>
      </c>
      <c r="H525" s="23">
        <v>280648</v>
      </c>
      <c r="I525" s="23">
        <v>17</v>
      </c>
      <c r="J525" s="14">
        <v>1</v>
      </c>
      <c r="L525" s="14">
        <v>0</v>
      </c>
      <c r="N525" s="24">
        <v>1</v>
      </c>
      <c r="P525" s="14">
        <v>0</v>
      </c>
      <c r="R525" s="14">
        <v>0</v>
      </c>
      <c r="T525" s="14" t="str">
        <f t="shared" si="8"/>
        <v>No</v>
      </c>
    </row>
    <row r="526" spans="1:20" s="14" customFormat="1" ht="11.25">
      <c r="A526" s="14" t="s">
        <v>1267</v>
      </c>
      <c r="B526" s="14" t="s">
        <v>1268</v>
      </c>
      <c r="C526" s="14" t="s">
        <v>19</v>
      </c>
      <c r="D526" s="169">
        <v>9050</v>
      </c>
      <c r="E526" s="170">
        <v>90050</v>
      </c>
      <c r="F526" s="14" t="s">
        <v>152</v>
      </c>
      <c r="G526" s="14" t="s">
        <v>1490</v>
      </c>
      <c r="H526" s="23">
        <v>125206</v>
      </c>
      <c r="I526" s="23">
        <v>17</v>
      </c>
      <c r="J526" s="14">
        <v>0</v>
      </c>
      <c r="L526" s="14">
        <v>0</v>
      </c>
      <c r="N526" s="24">
        <v>0</v>
      </c>
      <c r="P526" s="14">
        <v>0</v>
      </c>
      <c r="R526" s="14">
        <v>0</v>
      </c>
      <c r="T526" s="14" t="str">
        <f t="shared" si="8"/>
        <v>No</v>
      </c>
    </row>
    <row r="527" spans="1:20" s="14" customFormat="1" ht="11.25">
      <c r="A527" s="14" t="s">
        <v>904</v>
      </c>
      <c r="B527" s="14" t="s">
        <v>306</v>
      </c>
      <c r="C527" s="14" t="s">
        <v>32</v>
      </c>
      <c r="D527" s="169">
        <v>4232</v>
      </c>
      <c r="E527" s="170">
        <v>40232</v>
      </c>
      <c r="F527" s="14" t="s">
        <v>269</v>
      </c>
      <c r="G527" s="14" t="s">
        <v>149</v>
      </c>
      <c r="H527" s="23">
        <v>1510516</v>
      </c>
      <c r="I527" s="23">
        <v>17</v>
      </c>
      <c r="J527" s="14">
        <v>12</v>
      </c>
      <c r="L527" s="14">
        <v>0</v>
      </c>
      <c r="N527" s="24">
        <v>12</v>
      </c>
      <c r="P527" s="14">
        <v>0</v>
      </c>
      <c r="R527" s="14">
        <v>0</v>
      </c>
      <c r="T527" s="14" t="str">
        <f t="shared" si="8"/>
        <v>No</v>
      </c>
    </row>
    <row r="528" spans="1:20" s="14" customFormat="1" ht="11.25">
      <c r="A528" s="14" t="s">
        <v>531</v>
      </c>
      <c r="B528" s="14" t="s">
        <v>532</v>
      </c>
      <c r="C528" s="14" t="s">
        <v>84</v>
      </c>
      <c r="D528" s="169">
        <v>6113</v>
      </c>
      <c r="E528" s="170">
        <v>60113</v>
      </c>
      <c r="F528" s="14" t="s">
        <v>152</v>
      </c>
      <c r="G528" s="14" t="s">
        <v>1490</v>
      </c>
      <c r="H528" s="23">
        <v>5121892</v>
      </c>
      <c r="I528" s="23">
        <v>17</v>
      </c>
      <c r="J528" s="14">
        <v>6</v>
      </c>
      <c r="L528" s="14">
        <v>0</v>
      </c>
      <c r="N528" s="24">
        <v>6</v>
      </c>
      <c r="P528" s="14">
        <v>1</v>
      </c>
      <c r="R528" s="14">
        <v>0</v>
      </c>
      <c r="T528" s="14" t="str">
        <f t="shared" si="8"/>
        <v>No</v>
      </c>
    </row>
    <row r="529" spans="1:20" s="14" customFormat="1" ht="11.25">
      <c r="A529" s="14" t="s">
        <v>393</v>
      </c>
      <c r="B529" s="14" t="s">
        <v>394</v>
      </c>
      <c r="C529" s="14" t="s">
        <v>19</v>
      </c>
      <c r="D529" s="169">
        <v>9213</v>
      </c>
      <c r="E529" s="170">
        <v>90213</v>
      </c>
      <c r="F529" s="14" t="s">
        <v>152</v>
      </c>
      <c r="G529" s="14" t="s">
        <v>149</v>
      </c>
      <c r="H529" s="23">
        <v>64078</v>
      </c>
      <c r="I529" s="23">
        <v>16</v>
      </c>
      <c r="J529" s="14">
        <v>0</v>
      </c>
      <c r="L529" s="14">
        <v>0</v>
      </c>
      <c r="N529" s="24">
        <v>0</v>
      </c>
      <c r="P529" s="14">
        <v>0</v>
      </c>
      <c r="R529" s="14">
        <v>0</v>
      </c>
      <c r="T529" s="14" t="str">
        <f t="shared" si="8"/>
        <v>No</v>
      </c>
    </row>
    <row r="530" spans="1:20" s="14" customFormat="1" ht="11.25">
      <c r="A530" s="14" t="s">
        <v>861</v>
      </c>
      <c r="B530" s="14" t="s">
        <v>192</v>
      </c>
      <c r="C530" s="14" t="s">
        <v>44</v>
      </c>
      <c r="D530" s="169">
        <v>6026</v>
      </c>
      <c r="E530" s="170">
        <v>60026</v>
      </c>
      <c r="F530" s="14" t="s">
        <v>152</v>
      </c>
      <c r="G530" s="14" t="s">
        <v>1490</v>
      </c>
      <c r="H530" s="23">
        <v>116533</v>
      </c>
      <c r="I530" s="23">
        <v>16</v>
      </c>
      <c r="J530" s="14">
        <v>1</v>
      </c>
      <c r="L530" s="14">
        <v>0</v>
      </c>
      <c r="N530" s="24">
        <v>1</v>
      </c>
      <c r="P530" s="14">
        <v>0</v>
      </c>
      <c r="R530" s="14">
        <v>0</v>
      </c>
      <c r="T530" s="14" t="str">
        <f t="shared" si="8"/>
        <v>No</v>
      </c>
    </row>
    <row r="531" spans="1:20" s="14" customFormat="1" ht="11.25">
      <c r="A531" s="14" t="s">
        <v>1124</v>
      </c>
      <c r="B531" s="14" t="s">
        <v>860</v>
      </c>
      <c r="C531" s="14" t="s">
        <v>29</v>
      </c>
      <c r="D531" s="169">
        <v>1063</v>
      </c>
      <c r="E531" s="170">
        <v>10063</v>
      </c>
      <c r="F531" s="14" t="s">
        <v>160</v>
      </c>
      <c r="G531" s="14" t="s">
        <v>149</v>
      </c>
      <c r="H531" s="23">
        <v>924859</v>
      </c>
      <c r="I531" s="23">
        <v>16</v>
      </c>
      <c r="J531" s="14">
        <v>1</v>
      </c>
      <c r="L531" s="14">
        <v>0</v>
      </c>
      <c r="N531" s="24">
        <v>1</v>
      </c>
      <c r="P531" s="14">
        <v>0</v>
      </c>
      <c r="R531" s="14">
        <v>0</v>
      </c>
      <c r="T531" s="14" t="str">
        <f t="shared" si="8"/>
        <v>No</v>
      </c>
    </row>
    <row r="532" spans="1:20" s="14" customFormat="1" ht="11.25">
      <c r="A532" s="14" t="s">
        <v>1718</v>
      </c>
      <c r="B532" s="14" t="s">
        <v>1719</v>
      </c>
      <c r="C532" s="14" t="s">
        <v>19</v>
      </c>
      <c r="D532" s="169"/>
      <c r="E532" s="170">
        <v>90263</v>
      </c>
      <c r="F532" s="14" t="s">
        <v>152</v>
      </c>
      <c r="G532" s="14" t="s">
        <v>1490</v>
      </c>
      <c r="H532" s="23">
        <v>12150996</v>
      </c>
      <c r="I532" s="23">
        <v>16</v>
      </c>
      <c r="J532" s="14">
        <v>1</v>
      </c>
      <c r="L532" s="14">
        <v>0</v>
      </c>
      <c r="N532" s="24">
        <v>1</v>
      </c>
      <c r="P532" s="14">
        <v>0</v>
      </c>
      <c r="R532" s="14">
        <v>0</v>
      </c>
      <c r="T532" s="14" t="str">
        <f t="shared" si="8"/>
        <v>No</v>
      </c>
    </row>
    <row r="533" spans="1:20" s="14" customFormat="1" ht="11.25">
      <c r="A533" s="14" t="s">
        <v>1172</v>
      </c>
      <c r="B533" s="14" t="s">
        <v>1173</v>
      </c>
      <c r="C533" s="14" t="s">
        <v>95</v>
      </c>
      <c r="D533" s="169">
        <v>3035</v>
      </c>
      <c r="E533" s="170">
        <v>30035</v>
      </c>
      <c r="F533" s="14" t="s">
        <v>160</v>
      </c>
      <c r="G533" s="14" t="s">
        <v>149</v>
      </c>
      <c r="H533" s="23">
        <v>81249</v>
      </c>
      <c r="I533" s="23">
        <v>16</v>
      </c>
      <c r="J533" s="14">
        <v>1</v>
      </c>
      <c r="L533" s="14">
        <v>0</v>
      </c>
      <c r="N533" s="24">
        <v>1</v>
      </c>
      <c r="P533" s="14">
        <v>2</v>
      </c>
      <c r="R533" s="14">
        <v>0</v>
      </c>
      <c r="T533" s="14" t="str">
        <f t="shared" si="8"/>
        <v>No</v>
      </c>
    </row>
    <row r="534" spans="1:20" s="14" customFormat="1" ht="11.25">
      <c r="A534" s="14" t="s">
        <v>1296</v>
      </c>
      <c r="B534" s="14" t="s">
        <v>284</v>
      </c>
      <c r="C534" s="14" t="s">
        <v>54</v>
      </c>
      <c r="D534" s="169">
        <v>7032</v>
      </c>
      <c r="E534" s="170">
        <v>70032</v>
      </c>
      <c r="F534" s="14" t="s">
        <v>152</v>
      </c>
      <c r="G534" s="14" t="s">
        <v>1490</v>
      </c>
      <c r="H534" s="23">
        <v>81176</v>
      </c>
      <c r="I534" s="23">
        <v>16</v>
      </c>
      <c r="J534" s="14">
        <v>3</v>
      </c>
      <c r="L534" s="14">
        <v>0</v>
      </c>
      <c r="N534" s="24">
        <v>3</v>
      </c>
      <c r="P534" s="14">
        <v>0</v>
      </c>
      <c r="R534" s="14">
        <v>0</v>
      </c>
      <c r="T534" s="14" t="str">
        <f t="shared" si="8"/>
        <v>No</v>
      </c>
    </row>
    <row r="535" spans="1:20" s="14" customFormat="1" ht="11.25">
      <c r="A535" s="14" t="s">
        <v>1225</v>
      </c>
      <c r="B535" s="14" t="s">
        <v>277</v>
      </c>
      <c r="C535" s="14" t="s">
        <v>71</v>
      </c>
      <c r="D535" s="169">
        <v>5090</v>
      </c>
      <c r="E535" s="170">
        <v>50090</v>
      </c>
      <c r="F535" s="14" t="s">
        <v>160</v>
      </c>
      <c r="G535" s="14" t="s">
        <v>1490</v>
      </c>
      <c r="H535" s="23">
        <v>75250</v>
      </c>
      <c r="I535" s="23">
        <v>16</v>
      </c>
      <c r="J535" s="14">
        <v>1</v>
      </c>
      <c r="L535" s="14">
        <v>0</v>
      </c>
      <c r="N535" s="24">
        <v>1</v>
      </c>
      <c r="P535" s="14">
        <v>0</v>
      </c>
      <c r="R535" s="14">
        <v>0</v>
      </c>
      <c r="T535" s="14" t="str">
        <f t="shared" si="8"/>
        <v>No</v>
      </c>
    </row>
    <row r="536" spans="1:20" s="14" customFormat="1" ht="11.25">
      <c r="A536" s="14" t="s">
        <v>1722</v>
      </c>
      <c r="B536" s="14" t="s">
        <v>1723</v>
      </c>
      <c r="C536" s="14" t="s">
        <v>19</v>
      </c>
      <c r="D536" s="169"/>
      <c r="E536" s="170">
        <v>90259</v>
      </c>
      <c r="F536" s="14" t="s">
        <v>152</v>
      </c>
      <c r="G536" s="14" t="s">
        <v>1490</v>
      </c>
      <c r="H536" s="23">
        <v>12150996</v>
      </c>
      <c r="I536" s="23">
        <v>16</v>
      </c>
      <c r="J536" s="14">
        <v>0</v>
      </c>
      <c r="L536" s="14">
        <v>0</v>
      </c>
      <c r="N536" s="24">
        <v>0</v>
      </c>
      <c r="P536" s="14">
        <v>0</v>
      </c>
      <c r="R536" s="14">
        <v>0</v>
      </c>
      <c r="T536" s="14" t="str">
        <f t="shared" si="8"/>
        <v>No</v>
      </c>
    </row>
    <row r="537" spans="1:20" s="14" customFormat="1" ht="11.25">
      <c r="A537" s="14" t="s">
        <v>241</v>
      </c>
      <c r="B537" s="14" t="s">
        <v>210</v>
      </c>
      <c r="C537" s="14" t="s">
        <v>19</v>
      </c>
      <c r="D537" s="169">
        <v>9199</v>
      </c>
      <c r="E537" s="170">
        <v>90199</v>
      </c>
      <c r="F537" s="14" t="s">
        <v>152</v>
      </c>
      <c r="G537" s="14" t="s">
        <v>1490</v>
      </c>
      <c r="H537" s="23">
        <v>78413</v>
      </c>
      <c r="I537" s="23">
        <v>16</v>
      </c>
      <c r="J537" s="14">
        <v>1</v>
      </c>
      <c r="L537" s="14">
        <v>0</v>
      </c>
      <c r="N537" s="24">
        <v>1</v>
      </c>
      <c r="P537" s="14">
        <v>0</v>
      </c>
      <c r="R537" s="14">
        <v>0</v>
      </c>
      <c r="T537" s="14" t="str">
        <f t="shared" si="8"/>
        <v>No</v>
      </c>
    </row>
    <row r="538" spans="1:20" s="14" customFormat="1" ht="11.25">
      <c r="A538" s="14" t="s">
        <v>1021</v>
      </c>
      <c r="B538" s="14" t="s">
        <v>1022</v>
      </c>
      <c r="C538" s="14" t="s">
        <v>40</v>
      </c>
      <c r="D538" s="169">
        <v>5149</v>
      </c>
      <c r="E538" s="170">
        <v>50149</v>
      </c>
      <c r="F538" s="14" t="s">
        <v>188</v>
      </c>
      <c r="G538" s="14" t="s">
        <v>149</v>
      </c>
      <c r="H538" s="23">
        <v>143592</v>
      </c>
      <c r="I538" s="23">
        <v>16</v>
      </c>
      <c r="J538" s="14">
        <v>0</v>
      </c>
      <c r="L538" s="14">
        <v>0</v>
      </c>
      <c r="N538" s="24">
        <v>0</v>
      </c>
      <c r="P538" s="14">
        <v>0</v>
      </c>
      <c r="R538" s="14">
        <v>0</v>
      </c>
      <c r="T538" s="14" t="str">
        <f t="shared" si="8"/>
        <v>No</v>
      </c>
    </row>
    <row r="539" spans="1:20" s="14" customFormat="1" ht="11.25">
      <c r="A539" s="14" t="s">
        <v>1038</v>
      </c>
      <c r="B539" s="14" t="s">
        <v>209</v>
      </c>
      <c r="C539" s="14" t="s">
        <v>83</v>
      </c>
      <c r="D539" s="169">
        <v>4057</v>
      </c>
      <c r="E539" s="170">
        <v>40057</v>
      </c>
      <c r="F539" s="14" t="s">
        <v>160</v>
      </c>
      <c r="G539" s="14" t="s">
        <v>149</v>
      </c>
      <c r="H539" s="23">
        <v>71880</v>
      </c>
      <c r="I539" s="23">
        <v>16</v>
      </c>
      <c r="J539" s="14">
        <v>1</v>
      </c>
      <c r="L539" s="14">
        <v>0</v>
      </c>
      <c r="N539" s="24">
        <v>1</v>
      </c>
      <c r="P539" s="14">
        <v>0</v>
      </c>
      <c r="R539" s="14">
        <v>0</v>
      </c>
      <c r="T539" s="14" t="str">
        <f t="shared" si="8"/>
        <v>No</v>
      </c>
    </row>
    <row r="540" spans="1:20" s="14" customFormat="1" ht="11.25">
      <c r="A540" s="14" t="s">
        <v>846</v>
      </c>
      <c r="B540" s="14" t="s">
        <v>558</v>
      </c>
      <c r="C540" s="14" t="s">
        <v>19</v>
      </c>
      <c r="D540" s="169">
        <v>9175</v>
      </c>
      <c r="E540" s="170">
        <v>90175</v>
      </c>
      <c r="F540" s="14" t="s">
        <v>152</v>
      </c>
      <c r="G540" s="14" t="s">
        <v>1490</v>
      </c>
      <c r="H540" s="23">
        <v>68738</v>
      </c>
      <c r="I540" s="23">
        <v>16</v>
      </c>
      <c r="J540" s="14">
        <v>1</v>
      </c>
      <c r="L540" s="14">
        <v>0</v>
      </c>
      <c r="N540" s="24">
        <v>1</v>
      </c>
      <c r="P540" s="14">
        <v>2</v>
      </c>
      <c r="R540" s="14">
        <v>0</v>
      </c>
      <c r="T540" s="14" t="str">
        <f t="shared" si="8"/>
        <v>No</v>
      </c>
    </row>
    <row r="541" spans="1:20" s="14" customFormat="1" ht="11.25">
      <c r="A541" s="14" t="s">
        <v>1712</v>
      </c>
      <c r="B541" s="14" t="s">
        <v>1713</v>
      </c>
      <c r="C541" s="14" t="s">
        <v>19</v>
      </c>
      <c r="D541" s="169"/>
      <c r="E541" s="170">
        <v>90247</v>
      </c>
      <c r="F541" s="14" t="s">
        <v>152</v>
      </c>
      <c r="G541" s="14" t="s">
        <v>1490</v>
      </c>
      <c r="H541" s="23">
        <v>12150996</v>
      </c>
      <c r="I541" s="23">
        <v>16</v>
      </c>
      <c r="J541" s="14">
        <v>0</v>
      </c>
      <c r="L541" s="14">
        <v>0</v>
      </c>
      <c r="N541" s="24">
        <v>0</v>
      </c>
      <c r="P541" s="14">
        <v>0</v>
      </c>
      <c r="R541" s="14">
        <v>0</v>
      </c>
      <c r="T541" s="14" t="str">
        <f t="shared" si="8"/>
        <v>No</v>
      </c>
    </row>
    <row r="542" spans="1:20" s="14" customFormat="1" ht="11.25">
      <c r="A542" s="14" t="s">
        <v>1641</v>
      </c>
      <c r="B542" s="14" t="s">
        <v>1669</v>
      </c>
      <c r="C542" s="14" t="s">
        <v>95</v>
      </c>
      <c r="D542" s="169"/>
      <c r="E542" s="170">
        <v>30199</v>
      </c>
      <c r="F542" s="14" t="s">
        <v>160</v>
      </c>
      <c r="G542" s="14" t="s">
        <v>1490</v>
      </c>
      <c r="H542" s="23">
        <v>64022</v>
      </c>
      <c r="I542" s="23">
        <v>16</v>
      </c>
      <c r="J542" s="14">
        <v>0</v>
      </c>
      <c r="L542" s="14">
        <v>0</v>
      </c>
      <c r="N542" s="24">
        <v>0</v>
      </c>
      <c r="P542" s="14">
        <v>0</v>
      </c>
      <c r="R542" s="14">
        <v>0</v>
      </c>
      <c r="T542" s="14" t="str">
        <f t="shared" si="8"/>
        <v>No</v>
      </c>
    </row>
    <row r="543" spans="1:20" s="14" customFormat="1" ht="11.25">
      <c r="A543" s="14" t="s">
        <v>657</v>
      </c>
      <c r="B543" s="14" t="s">
        <v>658</v>
      </c>
      <c r="C543" s="14" t="s">
        <v>19</v>
      </c>
      <c r="D543" s="169">
        <v>9163</v>
      </c>
      <c r="E543" s="170">
        <v>90163</v>
      </c>
      <c r="F543" s="14" t="s">
        <v>152</v>
      </c>
      <c r="G543" s="14" t="s">
        <v>1490</v>
      </c>
      <c r="H543" s="23">
        <v>71772</v>
      </c>
      <c r="I543" s="23">
        <v>16</v>
      </c>
      <c r="J543" s="14">
        <v>0</v>
      </c>
      <c r="L543" s="14">
        <v>0</v>
      </c>
      <c r="N543" s="24">
        <v>0</v>
      </c>
      <c r="P543" s="14">
        <v>0</v>
      </c>
      <c r="R543" s="14">
        <v>0</v>
      </c>
      <c r="T543" s="14" t="str">
        <f t="shared" si="8"/>
        <v>No</v>
      </c>
    </row>
    <row r="544" spans="1:20" s="14" customFormat="1" ht="11.25">
      <c r="A544" s="14" t="s">
        <v>1042</v>
      </c>
      <c r="B544" s="14" t="s">
        <v>1043</v>
      </c>
      <c r="C544" s="14" t="s">
        <v>92</v>
      </c>
      <c r="D544" s="169">
        <v>5108</v>
      </c>
      <c r="E544" s="170">
        <v>50108</v>
      </c>
      <c r="F544" s="14" t="s">
        <v>152</v>
      </c>
      <c r="G544" s="14" t="s">
        <v>1490</v>
      </c>
      <c r="H544" s="23">
        <v>69658</v>
      </c>
      <c r="I544" s="23">
        <v>16</v>
      </c>
      <c r="J544" s="14">
        <v>1</v>
      </c>
      <c r="L544" s="14">
        <v>0</v>
      </c>
      <c r="N544" s="24">
        <v>1</v>
      </c>
      <c r="P544" s="14">
        <v>0</v>
      </c>
      <c r="R544" s="14">
        <v>0</v>
      </c>
      <c r="T544" s="14" t="str">
        <f t="shared" si="8"/>
        <v>No</v>
      </c>
    </row>
    <row r="545" spans="1:20" s="14" customFormat="1" ht="11.25">
      <c r="A545" s="14" t="s">
        <v>504</v>
      </c>
      <c r="B545" s="14" t="s">
        <v>328</v>
      </c>
      <c r="C545" s="14" t="s">
        <v>43</v>
      </c>
      <c r="D545" s="169">
        <v>4184</v>
      </c>
      <c r="E545" s="170">
        <v>40184</v>
      </c>
      <c r="F545" s="14" t="s">
        <v>152</v>
      </c>
      <c r="G545" s="14" t="s">
        <v>1490</v>
      </c>
      <c r="H545" s="23">
        <v>78306</v>
      </c>
      <c r="I545" s="23">
        <v>16</v>
      </c>
      <c r="J545" s="14">
        <v>0</v>
      </c>
      <c r="L545" s="14">
        <v>0</v>
      </c>
      <c r="N545" s="24">
        <v>0</v>
      </c>
      <c r="P545" s="14">
        <v>0</v>
      </c>
      <c r="R545" s="14">
        <v>0</v>
      </c>
      <c r="T545" s="14" t="str">
        <f t="shared" si="8"/>
        <v>No</v>
      </c>
    </row>
    <row r="546" spans="1:20" s="14" customFormat="1" ht="11.25">
      <c r="A546" s="14" t="s">
        <v>801</v>
      </c>
      <c r="B546" s="14" t="s">
        <v>802</v>
      </c>
      <c r="C546" s="14" t="s">
        <v>52</v>
      </c>
      <c r="D546" s="169">
        <v>5205</v>
      </c>
      <c r="E546" s="170">
        <v>50205</v>
      </c>
      <c r="F546" s="14" t="s">
        <v>152</v>
      </c>
      <c r="G546" s="14" t="s">
        <v>1490</v>
      </c>
      <c r="H546" s="23">
        <v>57584</v>
      </c>
      <c r="I546" s="23">
        <v>16</v>
      </c>
      <c r="J546" s="14">
        <v>0</v>
      </c>
      <c r="L546" s="14">
        <v>0</v>
      </c>
      <c r="N546" s="24">
        <v>0</v>
      </c>
      <c r="P546" s="14">
        <v>0</v>
      </c>
      <c r="R546" s="14">
        <v>0</v>
      </c>
      <c r="T546" s="14" t="str">
        <f t="shared" si="8"/>
        <v>No</v>
      </c>
    </row>
    <row r="547" spans="1:20" s="14" customFormat="1" ht="11.25">
      <c r="A547" s="14" t="s">
        <v>799</v>
      </c>
      <c r="B547" s="14" t="s">
        <v>800</v>
      </c>
      <c r="C547" s="14" t="s">
        <v>39</v>
      </c>
      <c r="D547" s="169">
        <v>5204</v>
      </c>
      <c r="E547" s="170">
        <v>50204</v>
      </c>
      <c r="F547" s="14" t="s">
        <v>160</v>
      </c>
      <c r="G547" s="14" t="s">
        <v>149</v>
      </c>
      <c r="H547" s="23">
        <v>67821</v>
      </c>
      <c r="I547" s="23">
        <v>16</v>
      </c>
      <c r="J547" s="14">
        <v>0</v>
      </c>
      <c r="L547" s="14">
        <v>0</v>
      </c>
      <c r="N547" s="24">
        <v>0</v>
      </c>
      <c r="P547" s="14">
        <v>0</v>
      </c>
      <c r="R547" s="14">
        <v>0</v>
      </c>
      <c r="T547" s="14" t="str">
        <f t="shared" si="8"/>
        <v>No</v>
      </c>
    </row>
    <row r="548" spans="1:20" s="14" customFormat="1" ht="11.25">
      <c r="A548" s="14" t="s">
        <v>1212</v>
      </c>
      <c r="B548" s="14" t="s">
        <v>1213</v>
      </c>
      <c r="C548" s="14" t="s">
        <v>69</v>
      </c>
      <c r="D548" s="169">
        <v>2096</v>
      </c>
      <c r="E548" s="170">
        <v>20096</v>
      </c>
      <c r="F548" s="14" t="s">
        <v>152</v>
      </c>
      <c r="G548" s="14" t="s">
        <v>149</v>
      </c>
      <c r="H548" s="23">
        <v>18351295</v>
      </c>
      <c r="I548" s="23">
        <v>16</v>
      </c>
      <c r="J548" s="14">
        <v>0</v>
      </c>
      <c r="L548" s="14">
        <v>0</v>
      </c>
      <c r="N548" s="24">
        <v>0</v>
      </c>
      <c r="P548" s="14">
        <v>0</v>
      </c>
      <c r="R548" s="14">
        <v>0</v>
      </c>
      <c r="T548" s="14" t="str">
        <f t="shared" si="8"/>
        <v>No</v>
      </c>
    </row>
    <row r="549" spans="1:20" s="14" customFormat="1" ht="11.25">
      <c r="A549" s="14" t="s">
        <v>1174</v>
      </c>
      <c r="B549" s="14" t="s">
        <v>1175</v>
      </c>
      <c r="C549" s="14" t="s">
        <v>62</v>
      </c>
      <c r="D549" s="169">
        <v>2165</v>
      </c>
      <c r="E549" s="170">
        <v>20165</v>
      </c>
      <c r="F549" s="14" t="s">
        <v>148</v>
      </c>
      <c r="G549" s="14" t="s">
        <v>1490</v>
      </c>
      <c r="H549" s="23">
        <v>18351295</v>
      </c>
      <c r="I549" s="23">
        <v>16</v>
      </c>
      <c r="J549" s="14">
        <v>5</v>
      </c>
      <c r="L549" s="14">
        <v>2</v>
      </c>
      <c r="N549" s="24">
        <v>7</v>
      </c>
      <c r="P549" s="14">
        <v>3</v>
      </c>
      <c r="R549" s="14">
        <v>3</v>
      </c>
      <c r="T549" s="14" t="str">
        <f t="shared" si="8"/>
        <v>No</v>
      </c>
    </row>
    <row r="550" spans="1:20" s="14" customFormat="1" ht="11.25">
      <c r="A550" s="14" t="s">
        <v>775</v>
      </c>
      <c r="B550" s="14" t="s">
        <v>291</v>
      </c>
      <c r="C550" s="14" t="s">
        <v>74</v>
      </c>
      <c r="D550" s="169">
        <v>58</v>
      </c>
      <c r="E550" s="170">
        <v>58</v>
      </c>
      <c r="F550" s="14" t="s">
        <v>152</v>
      </c>
      <c r="G550" s="14" t="s">
        <v>149</v>
      </c>
      <c r="H550" s="23">
        <v>1849898</v>
      </c>
      <c r="I550" s="23">
        <v>16</v>
      </c>
      <c r="J550" s="14">
        <v>4</v>
      </c>
      <c r="L550" s="14">
        <v>0</v>
      </c>
      <c r="N550" s="24">
        <v>4</v>
      </c>
      <c r="P550" s="14">
        <v>1</v>
      </c>
      <c r="R550" s="14">
        <v>0</v>
      </c>
      <c r="T550" s="14" t="str">
        <f t="shared" si="8"/>
        <v>No</v>
      </c>
    </row>
    <row r="551" spans="1:20" s="14" customFormat="1" ht="11.25">
      <c r="A551" s="14" t="s">
        <v>952</v>
      </c>
      <c r="B551" s="14" t="s">
        <v>654</v>
      </c>
      <c r="C551" s="14" t="s">
        <v>37</v>
      </c>
      <c r="D551" s="169">
        <v>7009</v>
      </c>
      <c r="E551" s="170">
        <v>70009</v>
      </c>
      <c r="F551" s="14" t="s">
        <v>152</v>
      </c>
      <c r="G551" s="14" t="s">
        <v>1490</v>
      </c>
      <c r="H551" s="23">
        <v>280051</v>
      </c>
      <c r="I551" s="23">
        <v>15</v>
      </c>
      <c r="J551" s="14">
        <v>1</v>
      </c>
      <c r="L551" s="14">
        <v>0</v>
      </c>
      <c r="N551" s="24">
        <v>1</v>
      </c>
      <c r="P551" s="14">
        <v>0</v>
      </c>
      <c r="R551" s="14">
        <v>0</v>
      </c>
      <c r="T551" s="14" t="str">
        <f t="shared" si="8"/>
        <v>No</v>
      </c>
    </row>
    <row r="552" spans="1:20" s="14" customFormat="1" ht="11.25">
      <c r="A552" s="14" t="s">
        <v>1720</v>
      </c>
      <c r="B552" s="14" t="s">
        <v>1721</v>
      </c>
      <c r="C552" s="14" t="s">
        <v>19</v>
      </c>
      <c r="D552" s="169"/>
      <c r="E552" s="170">
        <v>90258</v>
      </c>
      <c r="F552" s="14" t="s">
        <v>152</v>
      </c>
      <c r="G552" s="14" t="s">
        <v>1490</v>
      </c>
      <c r="H552" s="23">
        <v>12150996</v>
      </c>
      <c r="I552" s="23">
        <v>15</v>
      </c>
      <c r="J552" s="14">
        <v>0</v>
      </c>
      <c r="L552" s="14">
        <v>0</v>
      </c>
      <c r="N552" s="24">
        <v>0</v>
      </c>
      <c r="P552" s="14">
        <v>0</v>
      </c>
      <c r="R552" s="14">
        <v>0</v>
      </c>
      <c r="T552" s="14" t="str">
        <f t="shared" si="8"/>
        <v>No</v>
      </c>
    </row>
    <row r="553" spans="1:20" s="14" customFormat="1" ht="11.25">
      <c r="A553" s="14" t="s">
        <v>195</v>
      </c>
      <c r="B553" s="14" t="s">
        <v>196</v>
      </c>
      <c r="C553" s="14" t="s">
        <v>35</v>
      </c>
      <c r="D553" s="169">
        <v>4144</v>
      </c>
      <c r="E553" s="170">
        <v>40144</v>
      </c>
      <c r="F553" s="14" t="s">
        <v>152</v>
      </c>
      <c r="G553" s="14" t="s">
        <v>1490</v>
      </c>
      <c r="H553" s="23">
        <v>130846</v>
      </c>
      <c r="I553" s="23">
        <v>15</v>
      </c>
      <c r="J553" s="14">
        <v>1</v>
      </c>
      <c r="L553" s="14">
        <v>0</v>
      </c>
      <c r="N553" s="24">
        <v>1</v>
      </c>
      <c r="P553" s="14">
        <v>0</v>
      </c>
      <c r="R553" s="14">
        <v>0</v>
      </c>
      <c r="T553" s="14" t="str">
        <f t="shared" si="8"/>
        <v>No</v>
      </c>
    </row>
    <row r="554" spans="1:20" s="14" customFormat="1" ht="11.25">
      <c r="A554" s="14" t="s">
        <v>813</v>
      </c>
      <c r="B554" s="14" t="s">
        <v>286</v>
      </c>
      <c r="C554" s="14" t="s">
        <v>84</v>
      </c>
      <c r="D554" s="169">
        <v>6131</v>
      </c>
      <c r="E554" s="170">
        <v>60131</v>
      </c>
      <c r="F554" s="14" t="s">
        <v>160</v>
      </c>
      <c r="G554" s="14" t="s">
        <v>1490</v>
      </c>
      <c r="H554" s="23">
        <v>52826</v>
      </c>
      <c r="I554" s="23">
        <v>15</v>
      </c>
      <c r="J554" s="14">
        <v>1</v>
      </c>
      <c r="L554" s="14">
        <v>0</v>
      </c>
      <c r="N554" s="24">
        <v>1</v>
      </c>
      <c r="P554" s="14">
        <v>0</v>
      </c>
      <c r="R554" s="14">
        <v>0</v>
      </c>
      <c r="T554" s="14" t="str">
        <f t="shared" si="8"/>
        <v>No</v>
      </c>
    </row>
    <row r="555" spans="1:20" s="14" customFormat="1" ht="11.25">
      <c r="A555" s="14" t="s">
        <v>773</v>
      </c>
      <c r="B555" s="14" t="s">
        <v>774</v>
      </c>
      <c r="C555" s="14" t="s">
        <v>19</v>
      </c>
      <c r="D555" s="169">
        <v>9052</v>
      </c>
      <c r="E555" s="170">
        <v>90052</v>
      </c>
      <c r="F555" s="14" t="s">
        <v>152</v>
      </c>
      <c r="G555" s="14" t="s">
        <v>1490</v>
      </c>
      <c r="H555" s="23">
        <v>1932666</v>
      </c>
      <c r="I555" s="23">
        <v>15</v>
      </c>
      <c r="J555" s="14">
        <v>1</v>
      </c>
      <c r="L555" s="14">
        <v>0</v>
      </c>
      <c r="N555" s="24">
        <v>1</v>
      </c>
      <c r="P555" s="14">
        <v>2</v>
      </c>
      <c r="R555" s="14">
        <v>0</v>
      </c>
      <c r="T555" s="14" t="str">
        <f t="shared" si="8"/>
        <v>No</v>
      </c>
    </row>
    <row r="556" spans="1:20" s="14" customFormat="1" ht="11.25">
      <c r="A556" s="14" t="s">
        <v>898</v>
      </c>
      <c r="B556" s="14" t="s">
        <v>899</v>
      </c>
      <c r="C556" s="14" t="s">
        <v>19</v>
      </c>
      <c r="D556" s="169">
        <v>9155</v>
      </c>
      <c r="E556" s="170">
        <v>90155</v>
      </c>
      <c r="F556" s="14" t="s">
        <v>152</v>
      </c>
      <c r="G556" s="14" t="s">
        <v>1490</v>
      </c>
      <c r="H556" s="23">
        <v>93141</v>
      </c>
      <c r="I556" s="23">
        <v>15</v>
      </c>
      <c r="J556" s="14">
        <v>1</v>
      </c>
      <c r="L556" s="14">
        <v>0</v>
      </c>
      <c r="N556" s="24">
        <v>1</v>
      </c>
      <c r="P556" s="14">
        <v>0</v>
      </c>
      <c r="R556" s="14">
        <v>0</v>
      </c>
      <c r="T556" s="14" t="str">
        <f t="shared" si="8"/>
        <v>No</v>
      </c>
    </row>
    <row r="557" spans="1:20" s="14" customFormat="1" ht="11.25">
      <c r="A557" s="14" t="s">
        <v>741</v>
      </c>
      <c r="B557" s="14" t="s">
        <v>255</v>
      </c>
      <c r="C557" s="14" t="s">
        <v>40</v>
      </c>
      <c r="D557" s="169">
        <v>5041</v>
      </c>
      <c r="E557" s="170">
        <v>50041</v>
      </c>
      <c r="F557" s="14" t="s">
        <v>152</v>
      </c>
      <c r="G557" s="14" t="s">
        <v>1490</v>
      </c>
      <c r="H557" s="23">
        <v>88133</v>
      </c>
      <c r="I557" s="23">
        <v>15</v>
      </c>
      <c r="J557" s="14">
        <v>1</v>
      </c>
      <c r="L557" s="14">
        <v>0</v>
      </c>
      <c r="N557" s="24">
        <v>1</v>
      </c>
      <c r="P557" s="14">
        <v>0</v>
      </c>
      <c r="R557" s="14">
        <v>0</v>
      </c>
      <c r="T557" s="14" t="str">
        <f t="shared" si="8"/>
        <v>No</v>
      </c>
    </row>
    <row r="558" spans="1:20" s="14" customFormat="1" ht="11.25">
      <c r="A558" s="14" t="s">
        <v>1156</v>
      </c>
      <c r="B558" s="14" t="s">
        <v>1157</v>
      </c>
      <c r="C558" s="14" t="s">
        <v>61</v>
      </c>
      <c r="D558" s="169">
        <v>1087</v>
      </c>
      <c r="E558" s="170">
        <v>10087</v>
      </c>
      <c r="F558" s="14" t="s">
        <v>152</v>
      </c>
      <c r="G558" s="14" t="s">
        <v>149</v>
      </c>
      <c r="H558" s="23">
        <v>226400</v>
      </c>
      <c r="I558" s="23">
        <v>15</v>
      </c>
      <c r="J558" s="14">
        <v>1</v>
      </c>
      <c r="L558" s="14">
        <v>0</v>
      </c>
      <c r="N558" s="24">
        <v>1</v>
      </c>
      <c r="P558" s="14">
        <v>0</v>
      </c>
      <c r="R558" s="14">
        <v>0</v>
      </c>
      <c r="T558" s="14" t="str">
        <f t="shared" si="8"/>
        <v>No</v>
      </c>
    </row>
    <row r="559" spans="1:20" s="14" customFormat="1" ht="11.25">
      <c r="A559" s="14" t="s">
        <v>1716</v>
      </c>
      <c r="B559" s="14" t="s">
        <v>1717</v>
      </c>
      <c r="C559" s="14" t="s">
        <v>19</v>
      </c>
      <c r="D559" s="169"/>
      <c r="E559" s="170">
        <v>90268</v>
      </c>
      <c r="F559" s="14" t="s">
        <v>152</v>
      </c>
      <c r="G559" s="14" t="s">
        <v>1490</v>
      </c>
      <c r="H559" s="23">
        <v>12150996</v>
      </c>
      <c r="I559" s="23">
        <v>14</v>
      </c>
      <c r="J559" s="14">
        <v>0</v>
      </c>
      <c r="L559" s="14">
        <v>0</v>
      </c>
      <c r="N559" s="24">
        <v>0</v>
      </c>
      <c r="P559" s="14">
        <v>0</v>
      </c>
      <c r="R559" s="14">
        <v>0</v>
      </c>
      <c r="T559" s="14" t="str">
        <f t="shared" si="8"/>
        <v>No</v>
      </c>
    </row>
    <row r="560" spans="1:20" s="14" customFormat="1" ht="11.25">
      <c r="A560" s="14" t="s">
        <v>395</v>
      </c>
      <c r="B560" s="14" t="s">
        <v>396</v>
      </c>
      <c r="C560" s="14" t="s">
        <v>19</v>
      </c>
      <c r="D560" s="169">
        <v>9214</v>
      </c>
      <c r="E560" s="170">
        <v>90214</v>
      </c>
      <c r="F560" s="14" t="s">
        <v>152</v>
      </c>
      <c r="G560" s="14" t="s">
        <v>149</v>
      </c>
      <c r="H560" s="23">
        <v>12150996</v>
      </c>
      <c r="I560" s="23">
        <v>14</v>
      </c>
      <c r="J560" s="14">
        <v>1</v>
      </c>
      <c r="L560" s="14">
        <v>0</v>
      </c>
      <c r="N560" s="24">
        <v>1</v>
      </c>
      <c r="P560" s="14">
        <v>0</v>
      </c>
      <c r="R560" s="14">
        <v>0</v>
      </c>
      <c r="T560" s="14" t="str">
        <f t="shared" si="8"/>
        <v>No</v>
      </c>
    </row>
    <row r="561" spans="1:20" s="14" customFormat="1" ht="11.25">
      <c r="A561" s="14" t="s">
        <v>445</v>
      </c>
      <c r="B561" s="14" t="s">
        <v>293</v>
      </c>
      <c r="C561" s="14" t="s">
        <v>35</v>
      </c>
      <c r="D561" s="169">
        <v>4161</v>
      </c>
      <c r="E561" s="170">
        <v>40161</v>
      </c>
      <c r="F561" s="14" t="s">
        <v>152</v>
      </c>
      <c r="G561" s="14" t="s">
        <v>1490</v>
      </c>
      <c r="H561" s="23">
        <v>4515419</v>
      </c>
      <c r="I561" s="23">
        <v>14</v>
      </c>
      <c r="J561" s="14">
        <v>0</v>
      </c>
      <c r="L561" s="14">
        <v>0</v>
      </c>
      <c r="N561" s="24">
        <v>0</v>
      </c>
      <c r="P561" s="14">
        <v>0</v>
      </c>
      <c r="R561" s="14">
        <v>0</v>
      </c>
      <c r="T561" s="14" t="str">
        <f t="shared" si="8"/>
        <v>No</v>
      </c>
    </row>
    <row r="562" spans="1:20" s="14" customFormat="1" ht="11.25">
      <c r="A562" s="14" t="s">
        <v>301</v>
      </c>
      <c r="B562" s="14" t="s">
        <v>302</v>
      </c>
      <c r="C562" s="14" t="s">
        <v>84</v>
      </c>
      <c r="D562" s="169">
        <v>6099</v>
      </c>
      <c r="E562" s="170">
        <v>60099</v>
      </c>
      <c r="F562" s="14" t="s">
        <v>152</v>
      </c>
      <c r="G562" s="14" t="s">
        <v>1490</v>
      </c>
      <c r="H562" s="23">
        <v>728825</v>
      </c>
      <c r="I562" s="23">
        <v>14</v>
      </c>
      <c r="J562" s="14">
        <v>1</v>
      </c>
      <c r="L562" s="14">
        <v>0</v>
      </c>
      <c r="N562" s="24">
        <v>1</v>
      </c>
      <c r="P562" s="14">
        <v>0</v>
      </c>
      <c r="R562" s="14">
        <v>0</v>
      </c>
      <c r="T562" s="14" t="str">
        <f t="shared" si="8"/>
        <v>No</v>
      </c>
    </row>
    <row r="563" spans="1:20" s="14" customFormat="1" ht="11.25">
      <c r="A563" s="14" t="s">
        <v>1726</v>
      </c>
      <c r="B563" s="14" t="s">
        <v>1727</v>
      </c>
      <c r="C563" s="14" t="s">
        <v>19</v>
      </c>
      <c r="D563" s="169"/>
      <c r="E563" s="170">
        <v>90256</v>
      </c>
      <c r="F563" s="14" t="s">
        <v>152</v>
      </c>
      <c r="G563" s="14" t="s">
        <v>1490</v>
      </c>
      <c r="H563" s="23">
        <v>12150996</v>
      </c>
      <c r="I563" s="23">
        <v>14</v>
      </c>
      <c r="J563" s="14">
        <v>0</v>
      </c>
      <c r="L563" s="14">
        <v>0</v>
      </c>
      <c r="N563" s="24">
        <v>0</v>
      </c>
      <c r="P563" s="14">
        <v>0</v>
      </c>
      <c r="R563" s="14">
        <v>0</v>
      </c>
      <c r="T563" s="14" t="str">
        <f t="shared" si="8"/>
        <v>No</v>
      </c>
    </row>
    <row r="564" spans="1:20" s="14" customFormat="1" ht="11.25">
      <c r="A564" s="14" t="s">
        <v>886</v>
      </c>
      <c r="B564" s="14" t="s">
        <v>765</v>
      </c>
      <c r="C564" s="14" t="s">
        <v>16</v>
      </c>
      <c r="D564" s="169">
        <v>9131</v>
      </c>
      <c r="E564" s="170">
        <v>90131</v>
      </c>
      <c r="F564" s="14" t="s">
        <v>152</v>
      </c>
      <c r="G564" s="14" t="s">
        <v>149</v>
      </c>
      <c r="H564" s="23">
        <v>3629114</v>
      </c>
      <c r="I564" s="23">
        <v>14</v>
      </c>
      <c r="J564" s="14">
        <v>3</v>
      </c>
      <c r="L564" s="14">
        <v>0</v>
      </c>
      <c r="N564" s="24">
        <v>3</v>
      </c>
      <c r="P564" s="14">
        <v>0</v>
      </c>
      <c r="R564" s="14">
        <v>0</v>
      </c>
      <c r="T564" s="14" t="str">
        <f t="shared" si="8"/>
        <v>No</v>
      </c>
    </row>
    <row r="565" spans="1:20" s="14" customFormat="1" ht="11.25">
      <c r="A565" s="14" t="s">
        <v>1728</v>
      </c>
      <c r="B565" s="14" t="s">
        <v>1729</v>
      </c>
      <c r="C565" s="14" t="s">
        <v>19</v>
      </c>
      <c r="D565" s="169"/>
      <c r="E565" s="170">
        <v>90291</v>
      </c>
      <c r="F565" s="14" t="s">
        <v>152</v>
      </c>
      <c r="G565" s="14" t="s">
        <v>1490</v>
      </c>
      <c r="H565" s="23">
        <v>12150996</v>
      </c>
      <c r="I565" s="23">
        <v>14</v>
      </c>
      <c r="J565" s="14">
        <v>0</v>
      </c>
      <c r="L565" s="14">
        <v>0</v>
      </c>
      <c r="N565" s="24">
        <v>0</v>
      </c>
      <c r="P565" s="14">
        <v>0</v>
      </c>
      <c r="R565" s="14">
        <v>0</v>
      </c>
      <c r="T565" s="14" t="str">
        <f t="shared" si="8"/>
        <v>No</v>
      </c>
    </row>
    <row r="566" spans="1:20" s="14" customFormat="1" ht="11.25">
      <c r="A566" s="14" t="s">
        <v>544</v>
      </c>
      <c r="B566" s="14" t="s">
        <v>545</v>
      </c>
      <c r="C566" s="14" t="s">
        <v>35</v>
      </c>
      <c r="D566" s="169">
        <v>4021</v>
      </c>
      <c r="E566" s="170">
        <v>40021</v>
      </c>
      <c r="F566" s="14" t="s">
        <v>152</v>
      </c>
      <c r="G566" s="14" t="s">
        <v>149</v>
      </c>
      <c r="H566" s="23">
        <v>95779</v>
      </c>
      <c r="I566" s="23">
        <v>14</v>
      </c>
      <c r="J566" s="14">
        <v>1</v>
      </c>
      <c r="L566" s="14">
        <v>0</v>
      </c>
      <c r="N566" s="24">
        <v>1</v>
      </c>
      <c r="P566" s="14">
        <v>0</v>
      </c>
      <c r="R566" s="14">
        <v>0</v>
      </c>
      <c r="T566" s="14" t="str">
        <f t="shared" si="8"/>
        <v>No</v>
      </c>
    </row>
    <row r="567" spans="1:20" s="14" customFormat="1" ht="11.25">
      <c r="A567" s="14" t="s">
        <v>1724</v>
      </c>
      <c r="B567" s="14" t="s">
        <v>1725</v>
      </c>
      <c r="C567" s="14" t="s">
        <v>19</v>
      </c>
      <c r="D567" s="169">
        <v>9044</v>
      </c>
      <c r="E567" s="170">
        <v>90044</v>
      </c>
      <c r="F567" s="14" t="s">
        <v>152</v>
      </c>
      <c r="G567" s="14" t="s">
        <v>1490</v>
      </c>
      <c r="H567" s="23">
        <v>12150996</v>
      </c>
      <c r="I567" s="23">
        <v>14</v>
      </c>
      <c r="J567" s="14">
        <v>0</v>
      </c>
      <c r="L567" s="14">
        <v>0</v>
      </c>
      <c r="N567" s="24">
        <v>0</v>
      </c>
      <c r="P567" s="14">
        <v>0</v>
      </c>
      <c r="R567" s="14">
        <v>0</v>
      </c>
      <c r="T567" s="14" t="str">
        <f t="shared" si="8"/>
        <v>No</v>
      </c>
    </row>
    <row r="568" spans="1:20" s="14" customFormat="1" ht="11.25">
      <c r="A568" s="14" t="s">
        <v>769</v>
      </c>
      <c r="B568" s="14" t="s">
        <v>770</v>
      </c>
      <c r="C568" s="14" t="s">
        <v>19</v>
      </c>
      <c r="D568" s="169">
        <v>9043</v>
      </c>
      <c r="E568" s="170">
        <v>90043</v>
      </c>
      <c r="F568" s="14" t="s">
        <v>152</v>
      </c>
      <c r="G568" s="14" t="s">
        <v>149</v>
      </c>
      <c r="H568" s="23">
        <v>12150996</v>
      </c>
      <c r="I568" s="23">
        <v>14</v>
      </c>
      <c r="J568" s="14">
        <v>1</v>
      </c>
      <c r="L568" s="14">
        <v>0</v>
      </c>
      <c r="N568" s="24">
        <v>1</v>
      </c>
      <c r="P568" s="14">
        <v>0</v>
      </c>
      <c r="R568" s="14">
        <v>0</v>
      </c>
      <c r="T568" s="14" t="str">
        <f t="shared" si="8"/>
        <v>No</v>
      </c>
    </row>
    <row r="569" spans="1:20" s="14" customFormat="1" ht="11.25">
      <c r="A569" s="14" t="s">
        <v>743</v>
      </c>
      <c r="B569" s="14" t="s">
        <v>282</v>
      </c>
      <c r="C569" s="14" t="s">
        <v>50</v>
      </c>
      <c r="D569" s="169">
        <v>1096</v>
      </c>
      <c r="E569" s="170">
        <v>10096</v>
      </c>
      <c r="F569" s="14" t="s">
        <v>152</v>
      </c>
      <c r="G569" s="14" t="s">
        <v>1490</v>
      </c>
      <c r="H569" s="23">
        <v>61210</v>
      </c>
      <c r="I569" s="23">
        <v>14</v>
      </c>
      <c r="J569" s="14">
        <v>1</v>
      </c>
      <c r="L569" s="14">
        <v>0</v>
      </c>
      <c r="N569" s="24">
        <v>1</v>
      </c>
      <c r="P569" s="14">
        <v>0</v>
      </c>
      <c r="R569" s="14">
        <v>0</v>
      </c>
      <c r="T569" s="14" t="str">
        <f t="shared" si="8"/>
        <v>No</v>
      </c>
    </row>
    <row r="570" spans="1:20" s="14" customFormat="1" ht="11.25">
      <c r="A570" s="14" t="s">
        <v>797</v>
      </c>
      <c r="B570" s="14" t="s">
        <v>798</v>
      </c>
      <c r="C570" s="14" t="s">
        <v>74</v>
      </c>
      <c r="D570" s="169">
        <v>59</v>
      </c>
      <c r="E570" s="170">
        <v>59</v>
      </c>
      <c r="F570" s="14" t="s">
        <v>152</v>
      </c>
      <c r="G570" s="14" t="s">
        <v>1490</v>
      </c>
      <c r="H570" s="23">
        <v>50520</v>
      </c>
      <c r="I570" s="23">
        <v>14</v>
      </c>
      <c r="J570" s="14">
        <v>0</v>
      </c>
      <c r="L570" s="14">
        <v>0</v>
      </c>
      <c r="N570" s="24">
        <v>0</v>
      </c>
      <c r="P570" s="14">
        <v>0</v>
      </c>
      <c r="R570" s="14">
        <v>0</v>
      </c>
      <c r="T570" s="14" t="str">
        <f t="shared" si="8"/>
        <v>No</v>
      </c>
    </row>
    <row r="571" spans="1:20" s="14" customFormat="1" ht="11.25">
      <c r="A571" s="14" t="s">
        <v>131</v>
      </c>
      <c r="B571" s="14" t="s">
        <v>1148</v>
      </c>
      <c r="C571" s="14" t="s">
        <v>32</v>
      </c>
      <c r="D571" s="169"/>
      <c r="E571" s="170">
        <v>44929</v>
      </c>
      <c r="F571" s="14" t="s">
        <v>152</v>
      </c>
      <c r="G571" s="14" t="s">
        <v>149</v>
      </c>
      <c r="H571" s="23">
        <v>5502379</v>
      </c>
      <c r="I571" s="23">
        <v>14</v>
      </c>
      <c r="J571" s="14">
        <v>3</v>
      </c>
      <c r="L571" s="14">
        <v>7</v>
      </c>
      <c r="N571" s="24">
        <v>10</v>
      </c>
      <c r="P571" s="14">
        <v>1</v>
      </c>
      <c r="R571" s="14">
        <v>1</v>
      </c>
      <c r="T571" s="14" t="str">
        <f t="shared" si="8"/>
        <v>No</v>
      </c>
    </row>
    <row r="572" spans="1:20" s="14" customFormat="1" ht="11.25">
      <c r="A572" s="14" t="s">
        <v>1313</v>
      </c>
      <c r="B572" s="14" t="s">
        <v>1314</v>
      </c>
      <c r="C572" s="14" t="s">
        <v>366</v>
      </c>
      <c r="D572" s="169">
        <v>8020</v>
      </c>
      <c r="E572" s="170">
        <v>80020</v>
      </c>
      <c r="F572" s="14" t="s">
        <v>152</v>
      </c>
      <c r="G572" s="14" t="s">
        <v>1490</v>
      </c>
      <c r="H572" s="23">
        <v>73588</v>
      </c>
      <c r="I572" s="23">
        <v>14</v>
      </c>
      <c r="J572" s="14">
        <v>0</v>
      </c>
      <c r="L572" s="14">
        <v>0</v>
      </c>
      <c r="N572" s="24">
        <v>0</v>
      </c>
      <c r="P572" s="14">
        <v>0</v>
      </c>
      <c r="R572" s="14">
        <v>0</v>
      </c>
      <c r="T572" s="14" t="str">
        <f t="shared" si="8"/>
        <v>No</v>
      </c>
    </row>
    <row r="573" spans="1:20" s="14" customFormat="1" ht="11.25">
      <c r="A573" s="14" t="s">
        <v>231</v>
      </c>
      <c r="B573" s="14" t="s">
        <v>232</v>
      </c>
      <c r="C573" s="14" t="s">
        <v>39</v>
      </c>
      <c r="D573" s="169">
        <v>5174</v>
      </c>
      <c r="E573" s="170">
        <v>50174</v>
      </c>
      <c r="F573" s="14" t="s">
        <v>152</v>
      </c>
      <c r="G573" s="14" t="s">
        <v>1490</v>
      </c>
      <c r="H573" s="23">
        <v>50996</v>
      </c>
      <c r="I573" s="23">
        <v>13</v>
      </c>
      <c r="J573" s="14">
        <v>1</v>
      </c>
      <c r="L573" s="14">
        <v>0</v>
      </c>
      <c r="N573" s="24">
        <v>1</v>
      </c>
      <c r="P573" s="14">
        <v>0</v>
      </c>
      <c r="R573" s="14">
        <v>0</v>
      </c>
      <c r="T573" s="14" t="str">
        <f t="shared" si="8"/>
        <v>No</v>
      </c>
    </row>
    <row r="574" spans="1:20" s="14" customFormat="1" ht="11.25">
      <c r="A574" s="14" t="s">
        <v>1730</v>
      </c>
      <c r="B574" s="14" t="s">
        <v>1713</v>
      </c>
      <c r="C574" s="14" t="s">
        <v>19</v>
      </c>
      <c r="D574" s="169"/>
      <c r="E574" s="170">
        <v>90271</v>
      </c>
      <c r="F574" s="14" t="s">
        <v>152</v>
      </c>
      <c r="G574" s="14" t="s">
        <v>1490</v>
      </c>
      <c r="H574" s="23">
        <v>12150996</v>
      </c>
      <c r="I574" s="23">
        <v>13</v>
      </c>
      <c r="J574" s="14">
        <v>0</v>
      </c>
      <c r="L574" s="14">
        <v>0</v>
      </c>
      <c r="N574" s="24">
        <v>0</v>
      </c>
      <c r="P574" s="14">
        <v>0</v>
      </c>
      <c r="R574" s="14">
        <v>0</v>
      </c>
      <c r="T574" s="14" t="str">
        <f t="shared" si="8"/>
        <v>No</v>
      </c>
    </row>
    <row r="575" spans="1:20" s="14" customFormat="1" ht="11.25">
      <c r="A575" s="14" t="s">
        <v>547</v>
      </c>
      <c r="B575" s="14" t="s">
        <v>548</v>
      </c>
      <c r="C575" s="14" t="s">
        <v>47</v>
      </c>
      <c r="D575" s="169">
        <v>3041</v>
      </c>
      <c r="E575" s="170">
        <v>30041</v>
      </c>
      <c r="F575" s="14" t="s">
        <v>152</v>
      </c>
      <c r="G575" s="14" t="s">
        <v>1490</v>
      </c>
      <c r="H575" s="23">
        <v>51899</v>
      </c>
      <c r="I575" s="23">
        <v>13</v>
      </c>
      <c r="J575" s="14">
        <v>0</v>
      </c>
      <c r="L575" s="14">
        <v>0</v>
      </c>
      <c r="N575" s="24">
        <v>0</v>
      </c>
      <c r="P575" s="14">
        <v>0</v>
      </c>
      <c r="R575" s="14">
        <v>0</v>
      </c>
      <c r="T575" s="14" t="str">
        <f t="shared" si="8"/>
        <v>No</v>
      </c>
    </row>
    <row r="576" spans="1:20" s="14" customFormat="1" ht="11.25">
      <c r="A576" s="14" t="s">
        <v>1731</v>
      </c>
      <c r="B576" s="14" t="s">
        <v>1732</v>
      </c>
      <c r="C576" s="14" t="s">
        <v>19</v>
      </c>
      <c r="D576" s="169"/>
      <c r="E576" s="170">
        <v>90265</v>
      </c>
      <c r="F576" s="14" t="s">
        <v>152</v>
      </c>
      <c r="G576" s="14" t="s">
        <v>1490</v>
      </c>
      <c r="H576" s="23">
        <v>12150996</v>
      </c>
      <c r="I576" s="23">
        <v>13</v>
      </c>
      <c r="J576" s="14">
        <v>4</v>
      </c>
      <c r="L576" s="14">
        <v>0</v>
      </c>
      <c r="N576" s="24">
        <v>4</v>
      </c>
      <c r="P576" s="14">
        <v>0</v>
      </c>
      <c r="R576" s="14">
        <v>0</v>
      </c>
      <c r="T576" s="14" t="str">
        <f t="shared" si="8"/>
        <v>No</v>
      </c>
    </row>
    <row r="577" spans="1:20" s="14" customFormat="1" ht="11.25">
      <c r="A577" s="14" t="s">
        <v>572</v>
      </c>
      <c r="B577" s="14" t="s">
        <v>573</v>
      </c>
      <c r="C577" s="14" t="s">
        <v>47</v>
      </c>
      <c r="D577" s="169">
        <v>3040</v>
      </c>
      <c r="E577" s="170">
        <v>30040</v>
      </c>
      <c r="F577" s="14" t="s">
        <v>152</v>
      </c>
      <c r="G577" s="14" t="s">
        <v>1490</v>
      </c>
      <c r="H577" s="23">
        <v>2203663</v>
      </c>
      <c r="I577" s="23">
        <v>13</v>
      </c>
      <c r="J577" s="14">
        <v>1</v>
      </c>
      <c r="L577" s="14">
        <v>0</v>
      </c>
      <c r="N577" s="24">
        <v>1</v>
      </c>
      <c r="P577" s="14">
        <v>1</v>
      </c>
      <c r="R577" s="14">
        <v>0</v>
      </c>
      <c r="T577" s="14" t="str">
        <f t="shared" si="8"/>
        <v>No</v>
      </c>
    </row>
    <row r="578" spans="1:20" s="14" customFormat="1" ht="11.25">
      <c r="A578" s="14" t="s">
        <v>1075</v>
      </c>
      <c r="B578" s="14" t="s">
        <v>1076</v>
      </c>
      <c r="C578" s="14" t="s">
        <v>71</v>
      </c>
      <c r="D578" s="169">
        <v>5095</v>
      </c>
      <c r="E578" s="170">
        <v>50095</v>
      </c>
      <c r="F578" s="14" t="s">
        <v>152</v>
      </c>
      <c r="G578" s="14" t="s">
        <v>1490</v>
      </c>
      <c r="H578" s="23">
        <v>180956</v>
      </c>
      <c r="I578" s="23">
        <v>13</v>
      </c>
      <c r="J578" s="14">
        <v>0</v>
      </c>
      <c r="L578" s="14">
        <v>0</v>
      </c>
      <c r="N578" s="24">
        <v>0</v>
      </c>
      <c r="P578" s="14">
        <v>0</v>
      </c>
      <c r="R578" s="14">
        <v>0</v>
      </c>
      <c r="T578" s="14" t="str">
        <f t="shared" si="8"/>
        <v>No</v>
      </c>
    </row>
    <row r="579" spans="1:20" s="14" customFormat="1" ht="11.25">
      <c r="A579" s="14" t="s">
        <v>763</v>
      </c>
      <c r="B579" s="14" t="s">
        <v>764</v>
      </c>
      <c r="C579" s="14" t="s">
        <v>366</v>
      </c>
      <c r="D579" s="169">
        <v>8013</v>
      </c>
      <c r="E579" s="170">
        <v>80013</v>
      </c>
      <c r="F579" s="14" t="s">
        <v>152</v>
      </c>
      <c r="G579" s="14" t="s">
        <v>1490</v>
      </c>
      <c r="H579" s="23">
        <v>64548</v>
      </c>
      <c r="I579" s="23">
        <v>13</v>
      </c>
      <c r="J579" s="14">
        <v>0</v>
      </c>
      <c r="L579" s="14">
        <v>0</v>
      </c>
      <c r="N579" s="24">
        <v>0</v>
      </c>
      <c r="P579" s="14">
        <v>0</v>
      </c>
      <c r="R579" s="14">
        <v>0</v>
      </c>
      <c r="T579" s="14" t="str">
        <f t="shared" ref="T579:T642" si="9">IF(S579&amp;Q579&amp;O579&amp;M579&amp;K579&lt;&gt;"","Yes","No")</f>
        <v>No</v>
      </c>
    </row>
    <row r="580" spans="1:20" s="14" customFormat="1" ht="11.25">
      <c r="A580" s="14" t="s">
        <v>1738</v>
      </c>
      <c r="B580" s="14" t="s">
        <v>1739</v>
      </c>
      <c r="C580" s="14" t="s">
        <v>19</v>
      </c>
      <c r="D580" s="169"/>
      <c r="E580" s="170">
        <v>90257</v>
      </c>
      <c r="F580" s="14" t="s">
        <v>152</v>
      </c>
      <c r="G580" s="14" t="s">
        <v>1490</v>
      </c>
      <c r="H580" s="23">
        <v>12150996</v>
      </c>
      <c r="I580" s="23">
        <v>13</v>
      </c>
      <c r="J580" s="14">
        <v>1</v>
      </c>
      <c r="L580" s="14">
        <v>0</v>
      </c>
      <c r="N580" s="24">
        <v>1</v>
      </c>
      <c r="P580" s="14">
        <v>0</v>
      </c>
      <c r="R580" s="14">
        <v>0</v>
      </c>
      <c r="T580" s="14" t="str">
        <f t="shared" si="9"/>
        <v>No</v>
      </c>
    </row>
    <row r="581" spans="1:20" s="14" customFormat="1" ht="11.25">
      <c r="A581" s="14" t="s">
        <v>190</v>
      </c>
      <c r="B581" s="14" t="s">
        <v>191</v>
      </c>
      <c r="C581" s="14" t="s">
        <v>19</v>
      </c>
      <c r="D581" s="169">
        <v>9197</v>
      </c>
      <c r="E581" s="170">
        <v>90197</v>
      </c>
      <c r="F581" s="14" t="s">
        <v>152</v>
      </c>
      <c r="G581" s="14" t="s">
        <v>1490</v>
      </c>
      <c r="H581" s="23">
        <v>87569</v>
      </c>
      <c r="I581" s="23">
        <v>13</v>
      </c>
      <c r="J581" s="14">
        <v>1</v>
      </c>
      <c r="L581" s="14">
        <v>0</v>
      </c>
      <c r="N581" s="24">
        <v>1</v>
      </c>
      <c r="P581" s="14">
        <v>0</v>
      </c>
      <c r="R581" s="14">
        <v>0</v>
      </c>
      <c r="T581" s="14" t="str">
        <f t="shared" si="9"/>
        <v>No</v>
      </c>
    </row>
    <row r="582" spans="1:20" s="14" customFormat="1" ht="11.25">
      <c r="A582" s="14" t="s">
        <v>439</v>
      </c>
      <c r="B582" s="14" t="s">
        <v>440</v>
      </c>
      <c r="C582" s="14" t="s">
        <v>16</v>
      </c>
      <c r="D582" s="169" t="s">
        <v>441</v>
      </c>
      <c r="E582" s="170">
        <v>90005</v>
      </c>
      <c r="F582" s="14" t="s">
        <v>397</v>
      </c>
      <c r="G582" s="14" t="s">
        <v>1490</v>
      </c>
      <c r="H582" s="23">
        <v>0</v>
      </c>
      <c r="I582" s="23">
        <v>13</v>
      </c>
      <c r="J582" s="14">
        <v>0</v>
      </c>
      <c r="L582" s="14">
        <v>0</v>
      </c>
      <c r="N582" s="24">
        <v>0</v>
      </c>
      <c r="P582" s="14">
        <v>0</v>
      </c>
      <c r="R582" s="14">
        <v>0</v>
      </c>
      <c r="T582" s="14" t="str">
        <f t="shared" si="9"/>
        <v>No</v>
      </c>
    </row>
    <row r="583" spans="1:20" s="14" customFormat="1" ht="11.25">
      <c r="A583" s="14" t="s">
        <v>948</v>
      </c>
      <c r="B583" s="14" t="s">
        <v>198</v>
      </c>
      <c r="C583" s="14" t="s">
        <v>13</v>
      </c>
      <c r="D583" s="169">
        <v>4049</v>
      </c>
      <c r="E583" s="170">
        <v>40049</v>
      </c>
      <c r="F583" s="14" t="s">
        <v>152</v>
      </c>
      <c r="G583" s="14" t="s">
        <v>1490</v>
      </c>
      <c r="H583" s="23">
        <v>64172</v>
      </c>
      <c r="I583" s="23">
        <v>13</v>
      </c>
      <c r="J583" s="14">
        <v>0</v>
      </c>
      <c r="L583" s="14">
        <v>0</v>
      </c>
      <c r="N583" s="24">
        <v>0</v>
      </c>
      <c r="P583" s="14">
        <v>0</v>
      </c>
      <c r="R583" s="14">
        <v>0</v>
      </c>
      <c r="T583" s="14" t="str">
        <f t="shared" si="9"/>
        <v>No</v>
      </c>
    </row>
    <row r="584" spans="1:20" s="14" customFormat="1" ht="11.25">
      <c r="A584" s="14" t="s">
        <v>1735</v>
      </c>
      <c r="B584" s="14" t="s">
        <v>1736</v>
      </c>
      <c r="C584" s="14" t="s">
        <v>47</v>
      </c>
      <c r="D584" s="169" t="s">
        <v>1737</v>
      </c>
      <c r="E584" s="170">
        <v>30131</v>
      </c>
      <c r="F584" s="14" t="s">
        <v>152</v>
      </c>
      <c r="G584" s="14" t="s">
        <v>1490</v>
      </c>
      <c r="H584" s="23">
        <v>58875</v>
      </c>
      <c r="I584" s="23">
        <v>13</v>
      </c>
      <c r="J584" s="14">
        <v>0</v>
      </c>
      <c r="L584" s="14">
        <v>0</v>
      </c>
      <c r="N584" s="24">
        <v>0</v>
      </c>
      <c r="P584" s="14">
        <v>0</v>
      </c>
      <c r="R584" s="14">
        <v>0</v>
      </c>
      <c r="T584" s="14" t="str">
        <f t="shared" si="9"/>
        <v>No</v>
      </c>
    </row>
    <row r="585" spans="1:20" s="14" customFormat="1" ht="11.25">
      <c r="A585" s="14" t="s">
        <v>1125</v>
      </c>
      <c r="B585" s="14" t="s">
        <v>1126</v>
      </c>
      <c r="C585" s="14" t="s">
        <v>29</v>
      </c>
      <c r="D585" s="169">
        <v>1107</v>
      </c>
      <c r="E585" s="170">
        <v>10107</v>
      </c>
      <c r="F585" s="14" t="s">
        <v>160</v>
      </c>
      <c r="G585" s="14" t="s">
        <v>149</v>
      </c>
      <c r="H585" s="23">
        <v>923311</v>
      </c>
      <c r="I585" s="23">
        <v>13</v>
      </c>
      <c r="J585" s="14">
        <v>0</v>
      </c>
      <c r="L585" s="14">
        <v>0</v>
      </c>
      <c r="N585" s="24">
        <v>0</v>
      </c>
      <c r="P585" s="14">
        <v>0</v>
      </c>
      <c r="R585" s="14">
        <v>0</v>
      </c>
      <c r="T585" s="14" t="str">
        <f t="shared" si="9"/>
        <v>No</v>
      </c>
    </row>
    <row r="586" spans="1:20" s="14" customFormat="1" ht="11.25">
      <c r="A586" s="14" t="s">
        <v>1856</v>
      </c>
      <c r="B586" s="14" t="s">
        <v>314</v>
      </c>
      <c r="C586" s="14" t="s">
        <v>29</v>
      </c>
      <c r="D586" s="169">
        <v>1130</v>
      </c>
      <c r="E586" s="170">
        <v>10130</v>
      </c>
      <c r="F586" s="14" t="s">
        <v>323</v>
      </c>
      <c r="G586" s="14" t="s">
        <v>149</v>
      </c>
      <c r="H586" s="23">
        <v>924859</v>
      </c>
      <c r="I586" s="23">
        <v>13</v>
      </c>
      <c r="J586" s="14">
        <v>0</v>
      </c>
      <c r="L586" s="14">
        <v>0</v>
      </c>
      <c r="N586" s="24">
        <v>0</v>
      </c>
      <c r="P586" s="14">
        <v>0</v>
      </c>
      <c r="R586" s="14">
        <v>0</v>
      </c>
      <c r="T586" s="14" t="str">
        <f t="shared" si="9"/>
        <v>No</v>
      </c>
    </row>
    <row r="587" spans="1:20" s="14" customFormat="1" ht="11.25">
      <c r="A587" s="14" t="s">
        <v>810</v>
      </c>
      <c r="B587" s="14" t="s">
        <v>545</v>
      </c>
      <c r="C587" s="14" t="s">
        <v>74</v>
      </c>
      <c r="D587" s="169">
        <v>61</v>
      </c>
      <c r="E587" s="170">
        <v>61</v>
      </c>
      <c r="F587" s="14" t="s">
        <v>152</v>
      </c>
      <c r="G587" s="14" t="s">
        <v>1490</v>
      </c>
      <c r="H587" s="23">
        <v>56997</v>
      </c>
      <c r="I587" s="23">
        <v>13</v>
      </c>
      <c r="J587" s="14">
        <v>1</v>
      </c>
      <c r="L587" s="14">
        <v>0</v>
      </c>
      <c r="N587" s="24">
        <v>1</v>
      </c>
      <c r="P587" s="14">
        <v>0</v>
      </c>
      <c r="R587" s="14">
        <v>0</v>
      </c>
      <c r="T587" s="14" t="str">
        <f t="shared" si="9"/>
        <v>No</v>
      </c>
    </row>
    <row r="588" spans="1:20" s="14" customFormat="1" ht="11.25">
      <c r="A588" s="14" t="s">
        <v>1857</v>
      </c>
      <c r="B588" s="14" t="s">
        <v>1858</v>
      </c>
      <c r="C588" s="14" t="s">
        <v>71</v>
      </c>
      <c r="D588" s="169">
        <v>5186</v>
      </c>
      <c r="E588" s="170">
        <v>50186</v>
      </c>
      <c r="F588" s="14" t="s">
        <v>160</v>
      </c>
      <c r="G588" s="14" t="s">
        <v>1490</v>
      </c>
      <c r="H588" s="23">
        <v>202637</v>
      </c>
      <c r="I588" s="23">
        <v>13</v>
      </c>
      <c r="J588" s="14">
        <v>1</v>
      </c>
      <c r="L588" s="14">
        <v>0</v>
      </c>
      <c r="N588" s="24">
        <v>1</v>
      </c>
      <c r="P588" s="14">
        <v>0</v>
      </c>
      <c r="R588" s="14">
        <v>0</v>
      </c>
      <c r="T588" s="14" t="str">
        <f t="shared" si="9"/>
        <v>No</v>
      </c>
    </row>
    <row r="589" spans="1:20" s="14" customFormat="1" ht="11.25">
      <c r="A589" s="14" t="s">
        <v>839</v>
      </c>
      <c r="B589" s="14" t="s">
        <v>840</v>
      </c>
      <c r="C589" s="14" t="s">
        <v>83</v>
      </c>
      <c r="D589" s="169">
        <v>4080</v>
      </c>
      <c r="E589" s="170">
        <v>40080</v>
      </c>
      <c r="F589" s="14" t="s">
        <v>152</v>
      </c>
      <c r="G589" s="14" t="s">
        <v>1490</v>
      </c>
      <c r="H589" s="23">
        <v>106571</v>
      </c>
      <c r="I589" s="23">
        <v>13</v>
      </c>
      <c r="J589" s="14">
        <v>1</v>
      </c>
      <c r="L589" s="14">
        <v>0</v>
      </c>
      <c r="N589" s="24">
        <v>1</v>
      </c>
      <c r="P589" s="14">
        <v>0</v>
      </c>
      <c r="R589" s="14">
        <v>0</v>
      </c>
      <c r="T589" s="14" t="str">
        <f t="shared" si="9"/>
        <v>No</v>
      </c>
    </row>
    <row r="590" spans="1:20" s="14" customFormat="1" ht="11.25">
      <c r="A590" s="14" t="s">
        <v>452</v>
      </c>
      <c r="B590" s="14" t="s">
        <v>250</v>
      </c>
      <c r="C590" s="14" t="s">
        <v>57</v>
      </c>
      <c r="D590" s="169">
        <v>4166</v>
      </c>
      <c r="E590" s="170">
        <v>40166</v>
      </c>
      <c r="F590" s="14" t="s">
        <v>152</v>
      </c>
      <c r="G590" s="14" t="s">
        <v>1490</v>
      </c>
      <c r="H590" s="23">
        <v>105419</v>
      </c>
      <c r="I590" s="23">
        <v>13</v>
      </c>
      <c r="J590" s="14">
        <v>0</v>
      </c>
      <c r="L590" s="14">
        <v>0</v>
      </c>
      <c r="N590" s="24">
        <v>0</v>
      </c>
      <c r="P590" s="14">
        <v>0</v>
      </c>
      <c r="R590" s="14">
        <v>0</v>
      </c>
      <c r="T590" s="14" t="str">
        <f t="shared" si="9"/>
        <v>No</v>
      </c>
    </row>
    <row r="591" spans="1:20" s="14" customFormat="1" ht="11.25">
      <c r="A591" s="14" t="s">
        <v>446</v>
      </c>
      <c r="B591" s="14" t="s">
        <v>447</v>
      </c>
      <c r="C591" s="14" t="s">
        <v>88</v>
      </c>
      <c r="D591" s="169">
        <v>51</v>
      </c>
      <c r="E591" s="170">
        <v>51</v>
      </c>
      <c r="F591" s="14" t="s">
        <v>152</v>
      </c>
      <c r="G591" s="14" t="s">
        <v>1490</v>
      </c>
      <c r="H591" s="23">
        <v>51924</v>
      </c>
      <c r="I591" s="23">
        <v>12</v>
      </c>
      <c r="J591" s="14">
        <v>0</v>
      </c>
      <c r="L591" s="14">
        <v>0</v>
      </c>
      <c r="N591" s="24">
        <v>0</v>
      </c>
      <c r="P591" s="14">
        <v>0</v>
      </c>
      <c r="R591" s="14">
        <v>0</v>
      </c>
      <c r="T591" s="14" t="str">
        <f t="shared" si="9"/>
        <v>No</v>
      </c>
    </row>
    <row r="592" spans="1:20" s="14" customFormat="1" ht="11.25">
      <c r="A592" s="14" t="s">
        <v>1733</v>
      </c>
      <c r="B592" s="14" t="s">
        <v>1734</v>
      </c>
      <c r="C592" s="14" t="s">
        <v>19</v>
      </c>
      <c r="D592" s="169"/>
      <c r="E592" s="170">
        <v>90266</v>
      </c>
      <c r="F592" s="14" t="s">
        <v>152</v>
      </c>
      <c r="G592" s="14" t="s">
        <v>1490</v>
      </c>
      <c r="H592" s="23">
        <v>12150996</v>
      </c>
      <c r="I592" s="23">
        <v>12</v>
      </c>
      <c r="J592" s="14">
        <v>0</v>
      </c>
      <c r="L592" s="14">
        <v>0</v>
      </c>
      <c r="N592" s="24">
        <v>0</v>
      </c>
      <c r="P592" s="14">
        <v>0</v>
      </c>
      <c r="R592" s="14">
        <v>0</v>
      </c>
      <c r="T592" s="14" t="str">
        <f t="shared" si="9"/>
        <v>No</v>
      </c>
    </row>
    <row r="593" spans="1:20" s="14" customFormat="1" ht="11.25">
      <c r="A593" s="14" t="s">
        <v>146</v>
      </c>
      <c r="B593" s="14" t="s">
        <v>147</v>
      </c>
      <c r="C593" s="14" t="s">
        <v>69</v>
      </c>
      <c r="D593" s="169">
        <v>2137</v>
      </c>
      <c r="E593" s="170">
        <v>20137</v>
      </c>
      <c r="F593" s="14" t="s">
        <v>148</v>
      </c>
      <c r="G593" s="14" t="s">
        <v>149</v>
      </c>
      <c r="H593" s="23">
        <v>423566</v>
      </c>
      <c r="I593" s="23">
        <v>12</v>
      </c>
      <c r="J593" s="14">
        <v>0</v>
      </c>
      <c r="L593" s="14">
        <v>0</v>
      </c>
      <c r="N593" s="24">
        <v>0</v>
      </c>
      <c r="P593" s="14">
        <v>0</v>
      </c>
      <c r="R593" s="14">
        <v>0</v>
      </c>
      <c r="T593" s="14" t="str">
        <f t="shared" si="9"/>
        <v>No</v>
      </c>
    </row>
    <row r="594" spans="1:20" s="14" customFormat="1" ht="11.25">
      <c r="A594" s="14" t="s">
        <v>237</v>
      </c>
      <c r="B594" s="14" t="s">
        <v>238</v>
      </c>
      <c r="C594" s="14" t="s">
        <v>19</v>
      </c>
      <c r="D594" s="169">
        <v>9198</v>
      </c>
      <c r="E594" s="170">
        <v>90198</v>
      </c>
      <c r="F594" s="14" t="s">
        <v>152</v>
      </c>
      <c r="G594" s="14" t="s">
        <v>1490</v>
      </c>
      <c r="H594" s="23">
        <v>70272</v>
      </c>
      <c r="I594" s="23">
        <v>12</v>
      </c>
      <c r="J594" s="14">
        <v>1</v>
      </c>
      <c r="L594" s="14">
        <v>0</v>
      </c>
      <c r="N594" s="24">
        <v>1</v>
      </c>
      <c r="P594" s="14">
        <v>0</v>
      </c>
      <c r="R594" s="14">
        <v>0</v>
      </c>
      <c r="T594" s="14" t="str">
        <f t="shared" si="9"/>
        <v>No</v>
      </c>
    </row>
    <row r="595" spans="1:20" s="14" customFormat="1" ht="11.25">
      <c r="A595" s="14" t="s">
        <v>1290</v>
      </c>
      <c r="B595" s="14" t="s">
        <v>732</v>
      </c>
      <c r="C595" s="14" t="s">
        <v>71</v>
      </c>
      <c r="D595" s="169">
        <v>5020</v>
      </c>
      <c r="E595" s="170">
        <v>50020</v>
      </c>
      <c r="F595" s="14" t="s">
        <v>152</v>
      </c>
      <c r="G595" s="14" t="s">
        <v>1490</v>
      </c>
      <c r="H595" s="23">
        <v>85256</v>
      </c>
      <c r="I595" s="23">
        <v>12</v>
      </c>
      <c r="J595" s="14">
        <v>1</v>
      </c>
      <c r="L595" s="14">
        <v>0</v>
      </c>
      <c r="N595" s="24">
        <v>1</v>
      </c>
      <c r="P595" s="14">
        <v>0</v>
      </c>
      <c r="R595" s="14">
        <v>0</v>
      </c>
      <c r="T595" s="14" t="str">
        <f t="shared" si="9"/>
        <v>No</v>
      </c>
    </row>
    <row r="596" spans="1:20" s="14" customFormat="1" ht="11.25">
      <c r="A596" s="14" t="s">
        <v>1859</v>
      </c>
      <c r="B596" s="14" t="s">
        <v>744</v>
      </c>
      <c r="C596" s="14" t="s">
        <v>2</v>
      </c>
      <c r="D596" s="169" t="s">
        <v>745</v>
      </c>
      <c r="E596" s="170">
        <v>31</v>
      </c>
      <c r="F596" s="14" t="s">
        <v>397</v>
      </c>
      <c r="G596" s="14" t="s">
        <v>1490</v>
      </c>
      <c r="H596" s="23">
        <v>0</v>
      </c>
      <c r="I596" s="23">
        <v>12</v>
      </c>
      <c r="J596" s="14">
        <v>0</v>
      </c>
      <c r="L596" s="14">
        <v>0</v>
      </c>
      <c r="N596" s="24">
        <v>0</v>
      </c>
      <c r="P596" s="14">
        <v>0</v>
      </c>
      <c r="R596" s="14">
        <v>0</v>
      </c>
      <c r="T596" s="14" t="str">
        <f t="shared" si="9"/>
        <v>No</v>
      </c>
    </row>
    <row r="597" spans="1:20" s="14" customFormat="1" ht="11.25">
      <c r="A597" s="14" t="s">
        <v>219</v>
      </c>
      <c r="B597" s="14" t="s">
        <v>220</v>
      </c>
      <c r="C597" s="14" t="s">
        <v>32</v>
      </c>
      <c r="D597" s="169">
        <v>4146</v>
      </c>
      <c r="E597" s="170">
        <v>40146</v>
      </c>
      <c r="F597" s="14" t="s">
        <v>152</v>
      </c>
      <c r="G597" s="14" t="s">
        <v>1490</v>
      </c>
      <c r="H597" s="23">
        <v>148220</v>
      </c>
      <c r="I597" s="23">
        <v>12</v>
      </c>
      <c r="J597" s="14">
        <v>0</v>
      </c>
      <c r="L597" s="14">
        <v>0</v>
      </c>
      <c r="N597" s="24">
        <v>0</v>
      </c>
      <c r="P597" s="14">
        <v>0</v>
      </c>
      <c r="R597" s="14">
        <v>0</v>
      </c>
      <c r="T597" s="14" t="str">
        <f t="shared" si="9"/>
        <v>No</v>
      </c>
    </row>
    <row r="598" spans="1:20" s="14" customFormat="1" ht="11.25">
      <c r="A598" s="14" t="s">
        <v>1409</v>
      </c>
      <c r="B598" s="14" t="s">
        <v>1410</v>
      </c>
      <c r="C598" s="14" t="s">
        <v>13</v>
      </c>
      <c r="D598" s="169">
        <v>4045</v>
      </c>
      <c r="E598" s="170">
        <v>40045</v>
      </c>
      <c r="F598" s="14" t="s">
        <v>160</v>
      </c>
      <c r="G598" s="14" t="s">
        <v>1490</v>
      </c>
      <c r="H598" s="23">
        <v>139114</v>
      </c>
      <c r="I598" s="23">
        <v>12</v>
      </c>
      <c r="J598" s="14">
        <v>1</v>
      </c>
      <c r="L598" s="14">
        <v>0</v>
      </c>
      <c r="N598" s="24">
        <v>1</v>
      </c>
      <c r="P598" s="14">
        <v>1</v>
      </c>
      <c r="R598" s="14">
        <v>0</v>
      </c>
      <c r="T598" s="14" t="str">
        <f t="shared" si="9"/>
        <v>No</v>
      </c>
    </row>
    <row r="599" spans="1:20" s="14" customFormat="1" ht="11.25">
      <c r="A599" s="14" t="s">
        <v>1860</v>
      </c>
      <c r="B599" s="14" t="s">
        <v>1861</v>
      </c>
      <c r="C599" s="14" t="s">
        <v>84</v>
      </c>
      <c r="D599" s="169">
        <v>6125</v>
      </c>
      <c r="E599" s="170">
        <v>60125</v>
      </c>
      <c r="F599" s="14" t="s">
        <v>152</v>
      </c>
      <c r="G599" s="14" t="s">
        <v>1490</v>
      </c>
      <c r="H599" s="23">
        <v>1362416</v>
      </c>
      <c r="I599" s="23">
        <v>12</v>
      </c>
      <c r="J599" s="14">
        <v>6</v>
      </c>
      <c r="L599" s="14">
        <v>0</v>
      </c>
      <c r="N599" s="24">
        <v>6</v>
      </c>
      <c r="P599" s="14">
        <v>0</v>
      </c>
      <c r="R599" s="14">
        <v>0</v>
      </c>
      <c r="T599" s="14" t="str">
        <f t="shared" si="9"/>
        <v>No</v>
      </c>
    </row>
    <row r="600" spans="1:20" s="14" customFormat="1" ht="11.25">
      <c r="A600" s="14" t="s">
        <v>735</v>
      </c>
      <c r="B600" s="14" t="s">
        <v>736</v>
      </c>
      <c r="C600" s="14" t="s">
        <v>71</v>
      </c>
      <c r="D600" s="169">
        <v>5199</v>
      </c>
      <c r="E600" s="170">
        <v>50199</v>
      </c>
      <c r="F600" s="14" t="s">
        <v>160</v>
      </c>
      <c r="G600" s="14" t="s">
        <v>149</v>
      </c>
      <c r="H600" s="23">
        <v>1368035</v>
      </c>
      <c r="I600" s="23">
        <v>12</v>
      </c>
      <c r="J600" s="14">
        <v>0</v>
      </c>
      <c r="L600" s="14">
        <v>0</v>
      </c>
      <c r="N600" s="24">
        <v>0</v>
      </c>
      <c r="P600" s="14">
        <v>0</v>
      </c>
      <c r="R600" s="14">
        <v>0</v>
      </c>
      <c r="T600" s="14" t="str">
        <f t="shared" si="9"/>
        <v>No</v>
      </c>
    </row>
    <row r="601" spans="1:20" s="14" customFormat="1" ht="11.25">
      <c r="A601" s="14" t="s">
        <v>503</v>
      </c>
      <c r="B601" s="14" t="s">
        <v>266</v>
      </c>
      <c r="C601" s="14" t="s">
        <v>54</v>
      </c>
      <c r="D601" s="169">
        <v>7046</v>
      </c>
      <c r="E601" s="170">
        <v>70046</v>
      </c>
      <c r="F601" s="14" t="s">
        <v>152</v>
      </c>
      <c r="G601" s="14" t="s">
        <v>1490</v>
      </c>
      <c r="H601" s="23">
        <v>1519417</v>
      </c>
      <c r="I601" s="23">
        <v>12</v>
      </c>
      <c r="J601" s="14">
        <v>1</v>
      </c>
      <c r="L601" s="14">
        <v>0</v>
      </c>
      <c r="N601" s="24">
        <v>1</v>
      </c>
      <c r="P601" s="14">
        <v>0</v>
      </c>
      <c r="R601" s="14">
        <v>0</v>
      </c>
      <c r="T601" s="14" t="str">
        <f t="shared" si="9"/>
        <v>No</v>
      </c>
    </row>
    <row r="602" spans="1:20" s="14" customFormat="1" ht="11.25">
      <c r="A602" s="14" t="s">
        <v>153</v>
      </c>
      <c r="B602" s="14" t="s">
        <v>154</v>
      </c>
      <c r="C602" s="14" t="s">
        <v>74</v>
      </c>
      <c r="D602" s="169">
        <v>47</v>
      </c>
      <c r="E602" s="170">
        <v>47</v>
      </c>
      <c r="F602" s="14" t="s">
        <v>152</v>
      </c>
      <c r="G602" s="14" t="s">
        <v>149</v>
      </c>
      <c r="H602" s="23">
        <v>62433</v>
      </c>
      <c r="I602" s="23">
        <v>11</v>
      </c>
      <c r="J602" s="14">
        <v>1</v>
      </c>
      <c r="L602" s="14">
        <v>0</v>
      </c>
      <c r="N602" s="24">
        <v>1</v>
      </c>
      <c r="P602" s="14">
        <v>0</v>
      </c>
      <c r="R602" s="14">
        <v>0</v>
      </c>
      <c r="T602" s="14" t="str">
        <f t="shared" si="9"/>
        <v>No</v>
      </c>
    </row>
    <row r="603" spans="1:20" s="14" customFormat="1" ht="11.25">
      <c r="A603" s="14" t="s">
        <v>383</v>
      </c>
      <c r="B603" s="14" t="s">
        <v>203</v>
      </c>
      <c r="C603" s="14" t="s">
        <v>10</v>
      </c>
      <c r="D603" s="169">
        <v>6104</v>
      </c>
      <c r="E603" s="170">
        <v>60104</v>
      </c>
      <c r="F603" s="14" t="s">
        <v>152</v>
      </c>
      <c r="G603" s="14" t="s">
        <v>1490</v>
      </c>
      <c r="H603" s="23">
        <v>65419</v>
      </c>
      <c r="I603" s="23">
        <v>11</v>
      </c>
      <c r="J603" s="14">
        <v>1</v>
      </c>
      <c r="L603" s="14">
        <v>0</v>
      </c>
      <c r="N603" s="24">
        <v>1</v>
      </c>
      <c r="P603" s="14">
        <v>0</v>
      </c>
      <c r="R603" s="14">
        <v>0</v>
      </c>
      <c r="T603" s="14" t="str">
        <f t="shared" si="9"/>
        <v>No</v>
      </c>
    </row>
    <row r="604" spans="1:20" s="14" customFormat="1" ht="11.25">
      <c r="A604" s="14" t="s">
        <v>1439</v>
      </c>
      <c r="B604" s="14" t="s">
        <v>1440</v>
      </c>
      <c r="C604" s="14" t="s">
        <v>77</v>
      </c>
      <c r="D604" s="169">
        <v>4137</v>
      </c>
      <c r="E604" s="170">
        <v>40137</v>
      </c>
      <c r="F604" s="14" t="s">
        <v>152</v>
      </c>
      <c r="G604" s="14" t="s">
        <v>1490</v>
      </c>
      <c r="H604" s="23">
        <v>2148346</v>
      </c>
      <c r="I604" s="23">
        <v>11</v>
      </c>
      <c r="J604" s="14">
        <v>3</v>
      </c>
      <c r="L604" s="14">
        <v>0</v>
      </c>
      <c r="N604" s="24">
        <v>3</v>
      </c>
      <c r="P604" s="14">
        <v>2</v>
      </c>
      <c r="R604" s="14">
        <v>0</v>
      </c>
      <c r="T604" s="14" t="str">
        <f t="shared" si="9"/>
        <v>No</v>
      </c>
    </row>
    <row r="605" spans="1:20" s="14" customFormat="1" ht="11.25">
      <c r="A605" s="14" t="s">
        <v>1862</v>
      </c>
      <c r="B605" s="14" t="s">
        <v>1863</v>
      </c>
      <c r="C605" s="14" t="s">
        <v>16</v>
      </c>
      <c r="D605" s="169" t="s">
        <v>1864</v>
      </c>
      <c r="E605" s="170">
        <v>99433</v>
      </c>
      <c r="F605" s="14" t="s">
        <v>397</v>
      </c>
      <c r="G605" s="14" t="s">
        <v>1490</v>
      </c>
      <c r="H605" s="23">
        <v>0</v>
      </c>
      <c r="I605" s="23">
        <v>11</v>
      </c>
      <c r="J605" s="14">
        <v>0</v>
      </c>
      <c r="L605" s="14">
        <v>0</v>
      </c>
      <c r="N605" s="24">
        <v>0</v>
      </c>
      <c r="P605" s="14">
        <v>0</v>
      </c>
      <c r="R605" s="14">
        <v>0</v>
      </c>
      <c r="T605" s="14" t="str">
        <f t="shared" si="9"/>
        <v>No</v>
      </c>
    </row>
    <row r="606" spans="1:20" s="14" customFormat="1" ht="11.25">
      <c r="A606" s="14" t="s">
        <v>156</v>
      </c>
      <c r="B606" s="14" t="s">
        <v>157</v>
      </c>
      <c r="C606" s="14" t="s">
        <v>75</v>
      </c>
      <c r="D606" s="169">
        <v>3093</v>
      </c>
      <c r="E606" s="170">
        <v>30093</v>
      </c>
      <c r="F606" s="14" t="s">
        <v>152</v>
      </c>
      <c r="G606" s="14" t="s">
        <v>1490</v>
      </c>
      <c r="H606" s="23">
        <v>56827</v>
      </c>
      <c r="I606" s="23">
        <v>11</v>
      </c>
      <c r="J606" s="14">
        <v>1</v>
      </c>
      <c r="L606" s="14">
        <v>0</v>
      </c>
      <c r="N606" s="24">
        <v>1</v>
      </c>
      <c r="P606" s="14">
        <v>0</v>
      </c>
      <c r="R606" s="14">
        <v>0</v>
      </c>
      <c r="T606" s="14" t="str">
        <f t="shared" si="9"/>
        <v>No</v>
      </c>
    </row>
    <row r="607" spans="1:20" s="14" customFormat="1" ht="11.25">
      <c r="A607" s="14" t="s">
        <v>862</v>
      </c>
      <c r="B607" s="14" t="s">
        <v>863</v>
      </c>
      <c r="C607" s="14" t="s">
        <v>52</v>
      </c>
      <c r="D607" s="169">
        <v>5026</v>
      </c>
      <c r="E607" s="170">
        <v>50026</v>
      </c>
      <c r="F607" s="14" t="s">
        <v>152</v>
      </c>
      <c r="G607" s="14" t="s">
        <v>149</v>
      </c>
      <c r="H607" s="23">
        <v>176676</v>
      </c>
      <c r="I607" s="23">
        <v>11</v>
      </c>
      <c r="J607" s="14">
        <v>1</v>
      </c>
      <c r="L607" s="14">
        <v>0</v>
      </c>
      <c r="N607" s="24">
        <v>1</v>
      </c>
      <c r="P607" s="14">
        <v>0</v>
      </c>
      <c r="R607" s="14">
        <v>0</v>
      </c>
      <c r="T607" s="14" t="str">
        <f t="shared" si="9"/>
        <v>No</v>
      </c>
    </row>
    <row r="608" spans="1:20" s="14" customFormat="1" ht="11.25">
      <c r="A608" s="14" t="s">
        <v>78</v>
      </c>
      <c r="B608" s="14" t="s">
        <v>315</v>
      </c>
      <c r="C608" s="14" t="s">
        <v>77</v>
      </c>
      <c r="D608" s="169">
        <v>4150</v>
      </c>
      <c r="E608" s="170">
        <v>40150</v>
      </c>
      <c r="F608" s="14" t="s">
        <v>152</v>
      </c>
      <c r="G608" s="14" t="s">
        <v>1490</v>
      </c>
      <c r="H608" s="23">
        <v>71747</v>
      </c>
      <c r="I608" s="23">
        <v>11</v>
      </c>
      <c r="J608" s="14">
        <v>1</v>
      </c>
      <c r="L608" s="14">
        <v>0</v>
      </c>
      <c r="N608" s="24">
        <v>1</v>
      </c>
      <c r="P608" s="14">
        <v>0</v>
      </c>
      <c r="R608" s="14">
        <v>0</v>
      </c>
      <c r="T608" s="14" t="str">
        <f t="shared" si="9"/>
        <v>No</v>
      </c>
    </row>
    <row r="609" spans="1:20" s="14" customFormat="1" ht="11.25">
      <c r="A609" s="14" t="s">
        <v>571</v>
      </c>
      <c r="B609" s="14" t="s">
        <v>561</v>
      </c>
      <c r="C609" s="14" t="s">
        <v>62</v>
      </c>
      <c r="D609" s="169">
        <v>2201</v>
      </c>
      <c r="E609" s="170">
        <v>20201</v>
      </c>
      <c r="F609" s="14" t="s">
        <v>152</v>
      </c>
      <c r="G609" s="14" t="s">
        <v>1490</v>
      </c>
      <c r="H609" s="23">
        <v>5441567</v>
      </c>
      <c r="I609" s="23">
        <v>11</v>
      </c>
      <c r="J609" s="14">
        <v>0</v>
      </c>
      <c r="L609" s="14">
        <v>0</v>
      </c>
      <c r="N609" s="24">
        <v>0</v>
      </c>
      <c r="P609" s="14">
        <v>0</v>
      </c>
      <c r="R609" s="14">
        <v>0</v>
      </c>
      <c r="T609" s="14" t="str">
        <f t="shared" si="9"/>
        <v>No</v>
      </c>
    </row>
    <row r="610" spans="1:20" s="14" customFormat="1" ht="11.25">
      <c r="A610" s="14" t="s">
        <v>614</v>
      </c>
      <c r="B610" s="14" t="s">
        <v>615</v>
      </c>
      <c r="C610" s="14" t="s">
        <v>77</v>
      </c>
      <c r="D610" s="169">
        <v>4197</v>
      </c>
      <c r="E610" s="170">
        <v>40197</v>
      </c>
      <c r="F610" s="14" t="s">
        <v>152</v>
      </c>
      <c r="G610" s="14" t="s">
        <v>1490</v>
      </c>
      <c r="H610" s="23">
        <v>306196</v>
      </c>
      <c r="I610" s="23">
        <v>11</v>
      </c>
      <c r="J610" s="14">
        <v>0</v>
      </c>
      <c r="L610" s="14">
        <v>0</v>
      </c>
      <c r="N610" s="24">
        <v>0</v>
      </c>
      <c r="P610" s="14">
        <v>0</v>
      </c>
      <c r="R610" s="14">
        <v>0</v>
      </c>
      <c r="T610" s="14" t="str">
        <f t="shared" si="9"/>
        <v>No</v>
      </c>
    </row>
    <row r="611" spans="1:20" s="14" customFormat="1" ht="11.25">
      <c r="A611" s="14" t="s">
        <v>1311</v>
      </c>
      <c r="B611" s="14" t="s">
        <v>259</v>
      </c>
      <c r="C611" s="14" t="s">
        <v>40</v>
      </c>
      <c r="D611" s="169">
        <v>5053</v>
      </c>
      <c r="E611" s="170">
        <v>50053</v>
      </c>
      <c r="F611" s="14" t="s">
        <v>152</v>
      </c>
      <c r="G611" s="14" t="s">
        <v>149</v>
      </c>
      <c r="H611" s="23">
        <v>92742</v>
      </c>
      <c r="I611" s="23">
        <v>11</v>
      </c>
      <c r="J611" s="14">
        <v>2</v>
      </c>
      <c r="L611" s="14">
        <v>0</v>
      </c>
      <c r="N611" s="24">
        <v>2</v>
      </c>
      <c r="P611" s="14">
        <v>0</v>
      </c>
      <c r="R611" s="14">
        <v>0</v>
      </c>
      <c r="T611" s="14" t="str">
        <f t="shared" si="9"/>
        <v>No</v>
      </c>
    </row>
    <row r="612" spans="1:20" s="14" customFormat="1" ht="11.25">
      <c r="A612" s="14" t="s">
        <v>287</v>
      </c>
      <c r="B612" s="14" t="s">
        <v>546</v>
      </c>
      <c r="C612" s="14" t="s">
        <v>32</v>
      </c>
      <c r="D612" s="169">
        <v>4192</v>
      </c>
      <c r="E612" s="170">
        <v>40192</v>
      </c>
      <c r="F612" s="14" t="s">
        <v>152</v>
      </c>
      <c r="G612" s="14" t="s">
        <v>149</v>
      </c>
      <c r="H612" s="23">
        <v>376047</v>
      </c>
      <c r="I612" s="23">
        <v>11</v>
      </c>
      <c r="J612" s="14">
        <v>0</v>
      </c>
      <c r="L612" s="14">
        <v>0</v>
      </c>
      <c r="N612" s="24">
        <v>0</v>
      </c>
      <c r="P612" s="14">
        <v>0</v>
      </c>
      <c r="R612" s="14">
        <v>0</v>
      </c>
      <c r="T612" s="14" t="str">
        <f t="shared" si="9"/>
        <v>No</v>
      </c>
    </row>
    <row r="613" spans="1:20" s="14" customFormat="1" ht="11.25">
      <c r="A613" s="14" t="s">
        <v>1015</v>
      </c>
      <c r="B613" s="14" t="s">
        <v>245</v>
      </c>
      <c r="C613" s="14" t="s">
        <v>57</v>
      </c>
      <c r="D613" s="169">
        <v>4095</v>
      </c>
      <c r="E613" s="170">
        <v>40095</v>
      </c>
      <c r="F613" s="14" t="s">
        <v>152</v>
      </c>
      <c r="G613" s="14" t="s">
        <v>1490</v>
      </c>
      <c r="H613" s="23">
        <v>117798</v>
      </c>
      <c r="I613" s="23">
        <v>11</v>
      </c>
      <c r="J613" s="14">
        <v>0</v>
      </c>
      <c r="L613" s="14">
        <v>0</v>
      </c>
      <c r="N613" s="24">
        <v>0</v>
      </c>
      <c r="P613" s="14">
        <v>0</v>
      </c>
      <c r="R613" s="14">
        <v>0</v>
      </c>
      <c r="T613" s="14" t="str">
        <f t="shared" si="9"/>
        <v>No</v>
      </c>
    </row>
    <row r="614" spans="1:20" s="14" customFormat="1" ht="11.25">
      <c r="A614" s="14" t="s">
        <v>416</v>
      </c>
      <c r="B614" s="14" t="s">
        <v>417</v>
      </c>
      <c r="C614" s="14" t="s">
        <v>82</v>
      </c>
      <c r="D614" s="169" t="s">
        <v>418</v>
      </c>
      <c r="E614" s="170">
        <v>88122</v>
      </c>
      <c r="F614" s="14" t="s">
        <v>397</v>
      </c>
      <c r="G614" s="14" t="s">
        <v>1490</v>
      </c>
      <c r="H614" s="23">
        <v>0</v>
      </c>
      <c r="I614" s="23">
        <v>11</v>
      </c>
      <c r="J614" s="14">
        <v>1</v>
      </c>
      <c r="L614" s="14">
        <v>0</v>
      </c>
      <c r="N614" s="24">
        <v>1</v>
      </c>
      <c r="P614" s="14">
        <v>0</v>
      </c>
      <c r="R614" s="14">
        <v>0</v>
      </c>
      <c r="T614" s="14" t="str">
        <f t="shared" si="9"/>
        <v>No</v>
      </c>
    </row>
    <row r="615" spans="1:20" s="14" customFormat="1" ht="11.25">
      <c r="A615" s="14" t="s">
        <v>925</v>
      </c>
      <c r="B615" s="14" t="s">
        <v>926</v>
      </c>
      <c r="C615" s="14" t="s">
        <v>77</v>
      </c>
      <c r="D615" s="169">
        <v>4234</v>
      </c>
      <c r="E615" s="170">
        <v>40234</v>
      </c>
      <c r="F615" s="14" t="s">
        <v>152</v>
      </c>
      <c r="G615" s="14" t="s">
        <v>1490</v>
      </c>
      <c r="H615" s="23">
        <v>149539</v>
      </c>
      <c r="I615" s="23">
        <v>11</v>
      </c>
      <c r="J615" s="14">
        <v>2</v>
      </c>
      <c r="L615" s="14">
        <v>0</v>
      </c>
      <c r="N615" s="24">
        <v>2</v>
      </c>
      <c r="P615" s="14">
        <v>1</v>
      </c>
      <c r="R615" s="14">
        <v>4</v>
      </c>
      <c r="T615" s="14" t="str">
        <f t="shared" si="9"/>
        <v>No</v>
      </c>
    </row>
    <row r="616" spans="1:20" s="14" customFormat="1" ht="11.25">
      <c r="A616" s="14" t="s">
        <v>771</v>
      </c>
      <c r="B616" s="14" t="s">
        <v>772</v>
      </c>
      <c r="C616" s="14" t="s">
        <v>47</v>
      </c>
      <c r="D616" s="169">
        <v>3108</v>
      </c>
      <c r="E616" s="170">
        <v>30108</v>
      </c>
      <c r="F616" s="14" t="s">
        <v>152</v>
      </c>
      <c r="G616" s="14" t="s">
        <v>1490</v>
      </c>
      <c r="H616" s="23">
        <v>5441567</v>
      </c>
      <c r="I616" s="23">
        <v>11</v>
      </c>
      <c r="J616" s="14">
        <v>0</v>
      </c>
      <c r="L616" s="14">
        <v>0</v>
      </c>
      <c r="N616" s="24">
        <v>0</v>
      </c>
      <c r="P616" s="14">
        <v>0</v>
      </c>
      <c r="R616" s="14">
        <v>0</v>
      </c>
      <c r="T616" s="14" t="str">
        <f t="shared" si="9"/>
        <v>No</v>
      </c>
    </row>
    <row r="617" spans="1:20" s="14" customFormat="1" ht="11.25">
      <c r="A617" s="14" t="s">
        <v>453</v>
      </c>
      <c r="B617" s="14" t="s">
        <v>313</v>
      </c>
      <c r="C617" s="14" t="s">
        <v>57</v>
      </c>
      <c r="D617" s="169">
        <v>4167</v>
      </c>
      <c r="E617" s="170">
        <v>40167</v>
      </c>
      <c r="F617" s="14" t="s">
        <v>152</v>
      </c>
      <c r="G617" s="14" t="s">
        <v>1490</v>
      </c>
      <c r="H617" s="23">
        <v>214881</v>
      </c>
      <c r="I617" s="23">
        <v>11</v>
      </c>
      <c r="J617" s="14">
        <v>1</v>
      </c>
      <c r="L617" s="14">
        <v>0</v>
      </c>
      <c r="N617" s="24">
        <v>1</v>
      </c>
      <c r="P617" s="14">
        <v>1</v>
      </c>
      <c r="R617" s="14">
        <v>0</v>
      </c>
      <c r="T617" s="14" t="str">
        <f t="shared" si="9"/>
        <v>No</v>
      </c>
    </row>
    <row r="618" spans="1:20" s="14" customFormat="1" ht="11.25">
      <c r="A618" s="14" t="s">
        <v>907</v>
      </c>
      <c r="B618" s="14" t="s">
        <v>908</v>
      </c>
      <c r="C618" s="14" t="s">
        <v>69</v>
      </c>
      <c r="D618" s="169">
        <v>2085</v>
      </c>
      <c r="E618" s="170">
        <v>20085</v>
      </c>
      <c r="F618" s="14" t="s">
        <v>152</v>
      </c>
      <c r="G618" s="14" t="s">
        <v>1490</v>
      </c>
      <c r="H618" s="23">
        <v>18351295</v>
      </c>
      <c r="I618" s="23">
        <v>11</v>
      </c>
      <c r="J618" s="14">
        <v>0</v>
      </c>
      <c r="L618" s="14">
        <v>0</v>
      </c>
      <c r="N618" s="24">
        <v>0</v>
      </c>
      <c r="P618" s="14">
        <v>0</v>
      </c>
      <c r="R618" s="14">
        <v>0</v>
      </c>
      <c r="T618" s="14" t="str">
        <f t="shared" si="9"/>
        <v>No</v>
      </c>
    </row>
    <row r="619" spans="1:20" s="14" customFormat="1" ht="11.25">
      <c r="A619" s="14" t="s">
        <v>1356</v>
      </c>
      <c r="B619" s="14" t="s">
        <v>1357</v>
      </c>
      <c r="C619" s="14" t="s">
        <v>47</v>
      </c>
      <c r="D619" s="169">
        <v>3042</v>
      </c>
      <c r="E619" s="170">
        <v>30042</v>
      </c>
      <c r="F619" s="14" t="s">
        <v>152</v>
      </c>
      <c r="G619" s="14" t="s">
        <v>1490</v>
      </c>
      <c r="H619" s="23">
        <v>182696</v>
      </c>
      <c r="I619" s="23">
        <v>10</v>
      </c>
      <c r="J619" s="14">
        <v>1</v>
      </c>
      <c r="L619" s="14">
        <v>0</v>
      </c>
      <c r="N619" s="24">
        <v>1</v>
      </c>
      <c r="P619" s="14">
        <v>0</v>
      </c>
      <c r="R619" s="14">
        <v>0</v>
      </c>
      <c r="T619" s="14" t="str">
        <f t="shared" si="9"/>
        <v>No</v>
      </c>
    </row>
    <row r="620" spans="1:20" s="14" customFormat="1" ht="11.25">
      <c r="A620" s="14" t="s">
        <v>335</v>
      </c>
      <c r="B620" s="14" t="s">
        <v>336</v>
      </c>
      <c r="C620" s="14" t="s">
        <v>67</v>
      </c>
      <c r="D620" s="169">
        <v>6100</v>
      </c>
      <c r="E620" s="170">
        <v>60100</v>
      </c>
      <c r="F620" s="14" t="s">
        <v>152</v>
      </c>
      <c r="G620" s="14" t="s">
        <v>1490</v>
      </c>
      <c r="H620" s="23">
        <v>53049</v>
      </c>
      <c r="I620" s="23">
        <v>10</v>
      </c>
      <c r="J620" s="14">
        <v>0</v>
      </c>
      <c r="L620" s="14">
        <v>0</v>
      </c>
      <c r="N620" s="24">
        <v>0</v>
      </c>
      <c r="P620" s="14">
        <v>0</v>
      </c>
      <c r="R620" s="14">
        <v>0</v>
      </c>
      <c r="T620" s="14" t="str">
        <f t="shared" si="9"/>
        <v>No</v>
      </c>
    </row>
    <row r="621" spans="1:20" s="14" customFormat="1" ht="11.25">
      <c r="A621" s="14" t="s">
        <v>737</v>
      </c>
      <c r="B621" s="14" t="s">
        <v>738</v>
      </c>
      <c r="C621" s="14" t="s">
        <v>44</v>
      </c>
      <c r="D621" s="169">
        <v>6025</v>
      </c>
      <c r="E621" s="170">
        <v>60025</v>
      </c>
      <c r="F621" s="14" t="s">
        <v>152</v>
      </c>
      <c r="G621" s="14" t="s">
        <v>1490</v>
      </c>
      <c r="H621" s="23">
        <v>82804</v>
      </c>
      <c r="I621" s="23">
        <v>10</v>
      </c>
      <c r="J621" s="14">
        <v>1</v>
      </c>
      <c r="L621" s="14">
        <v>0</v>
      </c>
      <c r="N621" s="24">
        <v>1</v>
      </c>
      <c r="P621" s="14">
        <v>0</v>
      </c>
      <c r="R621" s="14">
        <v>0</v>
      </c>
      <c r="T621" s="14" t="str">
        <f t="shared" si="9"/>
        <v>No</v>
      </c>
    </row>
    <row r="622" spans="1:20" s="14" customFormat="1" ht="11.25">
      <c r="A622" s="14" t="s">
        <v>303</v>
      </c>
      <c r="B622" s="14" t="s">
        <v>304</v>
      </c>
      <c r="C622" s="14" t="s">
        <v>19</v>
      </c>
      <c r="D622" s="169">
        <v>9201</v>
      </c>
      <c r="E622" s="170">
        <v>90201</v>
      </c>
      <c r="F622" s="14" t="s">
        <v>152</v>
      </c>
      <c r="G622" s="14" t="s">
        <v>149</v>
      </c>
      <c r="H622" s="23">
        <v>99904</v>
      </c>
      <c r="I622" s="23">
        <v>10</v>
      </c>
      <c r="J622" s="14">
        <v>1</v>
      </c>
      <c r="L622" s="14">
        <v>0</v>
      </c>
      <c r="N622" s="24">
        <v>1</v>
      </c>
      <c r="P622" s="14">
        <v>0</v>
      </c>
      <c r="R622" s="14">
        <v>0</v>
      </c>
      <c r="T622" s="14" t="str">
        <f t="shared" si="9"/>
        <v>No</v>
      </c>
    </row>
    <row r="623" spans="1:20" s="14" customFormat="1" ht="11.25">
      <c r="A623" s="14" t="s">
        <v>612</v>
      </c>
      <c r="B623" s="14" t="s">
        <v>613</v>
      </c>
      <c r="C623" s="14" t="s">
        <v>37</v>
      </c>
      <c r="D623" s="169">
        <v>7007</v>
      </c>
      <c r="E623" s="170">
        <v>70007</v>
      </c>
      <c r="F623" s="14" t="s">
        <v>152</v>
      </c>
      <c r="G623" s="14" t="s">
        <v>1490</v>
      </c>
      <c r="H623" s="23">
        <v>280051</v>
      </c>
      <c r="I623" s="23">
        <v>10</v>
      </c>
      <c r="J623" s="14">
        <v>0</v>
      </c>
      <c r="L623" s="14">
        <v>0</v>
      </c>
      <c r="N623" s="24">
        <v>0</v>
      </c>
      <c r="P623" s="14">
        <v>0</v>
      </c>
      <c r="R623" s="14">
        <v>0</v>
      </c>
      <c r="T623" s="14" t="str">
        <f t="shared" si="9"/>
        <v>No</v>
      </c>
    </row>
    <row r="624" spans="1:20" s="14" customFormat="1" ht="11.25">
      <c r="A624" s="14" t="s">
        <v>721</v>
      </c>
      <c r="B624" s="14" t="s">
        <v>722</v>
      </c>
      <c r="C624" s="14" t="s">
        <v>62</v>
      </c>
      <c r="D624" s="169">
        <v>2208</v>
      </c>
      <c r="E624" s="170">
        <v>20208</v>
      </c>
      <c r="F624" s="14" t="s">
        <v>152</v>
      </c>
      <c r="G624" s="14" t="s">
        <v>1490</v>
      </c>
      <c r="H624" s="23">
        <v>5441567</v>
      </c>
      <c r="I624" s="23">
        <v>10</v>
      </c>
      <c r="J624" s="14">
        <v>0</v>
      </c>
      <c r="L624" s="14">
        <v>0</v>
      </c>
      <c r="N624" s="24">
        <v>0</v>
      </c>
      <c r="P624" s="14">
        <v>0</v>
      </c>
      <c r="R624" s="14">
        <v>0</v>
      </c>
      <c r="T624" s="14" t="str">
        <f t="shared" si="9"/>
        <v>No</v>
      </c>
    </row>
    <row r="625" spans="1:20" s="14" customFormat="1" ht="11.25">
      <c r="A625" s="14" t="s">
        <v>1198</v>
      </c>
      <c r="B625" s="14" t="s">
        <v>1199</v>
      </c>
      <c r="C625" s="14" t="s">
        <v>84</v>
      </c>
      <c r="D625" s="169">
        <v>6013</v>
      </c>
      <c r="E625" s="170">
        <v>60013</v>
      </c>
      <c r="F625" s="14" t="s">
        <v>152</v>
      </c>
      <c r="G625" s="14" t="s">
        <v>1490</v>
      </c>
      <c r="H625" s="23">
        <v>153150</v>
      </c>
      <c r="I625" s="23">
        <v>10</v>
      </c>
      <c r="J625" s="14">
        <v>1</v>
      </c>
      <c r="L625" s="14">
        <v>0</v>
      </c>
      <c r="N625" s="24">
        <v>1</v>
      </c>
      <c r="P625" s="14">
        <v>0</v>
      </c>
      <c r="R625" s="14">
        <v>0</v>
      </c>
      <c r="T625" s="14" t="str">
        <f t="shared" si="9"/>
        <v>No</v>
      </c>
    </row>
    <row r="626" spans="1:20" s="14" customFormat="1" ht="11.25">
      <c r="A626" s="14" t="s">
        <v>1740</v>
      </c>
      <c r="B626" s="14" t="s">
        <v>1741</v>
      </c>
      <c r="C626" s="14" t="s">
        <v>32</v>
      </c>
      <c r="D626" s="169"/>
      <c r="E626" s="170">
        <v>40256</v>
      </c>
      <c r="F626" s="14" t="s">
        <v>152</v>
      </c>
      <c r="G626" s="14" t="s">
        <v>1490</v>
      </c>
      <c r="H626" s="23">
        <v>5502379</v>
      </c>
      <c r="I626" s="23">
        <v>10</v>
      </c>
      <c r="J626" s="14">
        <v>0</v>
      </c>
      <c r="L626" s="14">
        <v>0</v>
      </c>
      <c r="N626" s="24">
        <v>0</v>
      </c>
      <c r="P626" s="14">
        <v>0</v>
      </c>
      <c r="R626" s="14">
        <v>0</v>
      </c>
      <c r="T626" s="14" t="str">
        <f t="shared" si="9"/>
        <v>No</v>
      </c>
    </row>
    <row r="627" spans="1:20" s="14" customFormat="1" ht="11.25">
      <c r="A627" s="14" t="s">
        <v>985</v>
      </c>
      <c r="B627" s="14" t="s">
        <v>204</v>
      </c>
      <c r="C627" s="14" t="s">
        <v>10</v>
      </c>
      <c r="D627" s="169">
        <v>6086</v>
      </c>
      <c r="E627" s="170">
        <v>60086</v>
      </c>
      <c r="F627" s="14" t="s">
        <v>152</v>
      </c>
      <c r="G627" s="14" t="s">
        <v>1490</v>
      </c>
      <c r="H627" s="23">
        <v>122947</v>
      </c>
      <c r="I627" s="23">
        <v>10</v>
      </c>
      <c r="J627" s="14">
        <v>1</v>
      </c>
      <c r="L627" s="14">
        <v>0</v>
      </c>
      <c r="N627" s="24">
        <v>1</v>
      </c>
      <c r="P627" s="14">
        <v>0</v>
      </c>
      <c r="R627" s="14">
        <v>0</v>
      </c>
      <c r="T627" s="14" t="str">
        <f t="shared" si="9"/>
        <v>No</v>
      </c>
    </row>
    <row r="628" spans="1:20" s="14" customFormat="1" ht="11.25">
      <c r="A628" s="14" t="s">
        <v>961</v>
      </c>
      <c r="B628" s="14" t="s">
        <v>777</v>
      </c>
      <c r="C628" s="14" t="s">
        <v>51</v>
      </c>
      <c r="D628" s="169">
        <v>5141</v>
      </c>
      <c r="E628" s="170">
        <v>50141</v>
      </c>
      <c r="F628" s="14" t="s">
        <v>160</v>
      </c>
      <c r="G628" s="14" t="s">
        <v>149</v>
      </c>
      <c r="H628" s="23">
        <v>3734090</v>
      </c>
      <c r="I628" s="23">
        <v>10</v>
      </c>
      <c r="J628" s="14">
        <v>13</v>
      </c>
      <c r="L628" s="14">
        <v>0</v>
      </c>
      <c r="N628" s="24">
        <v>13</v>
      </c>
      <c r="P628" s="14">
        <v>12</v>
      </c>
      <c r="R628" s="14">
        <v>17</v>
      </c>
      <c r="T628" s="14" t="str">
        <f t="shared" si="9"/>
        <v>No</v>
      </c>
    </row>
    <row r="629" spans="1:20" s="14" customFormat="1" ht="11.25">
      <c r="A629" s="14" t="s">
        <v>1312</v>
      </c>
      <c r="B629" s="14" t="s">
        <v>276</v>
      </c>
      <c r="C629" s="14" t="s">
        <v>44</v>
      </c>
      <c r="D629" s="169">
        <v>6080</v>
      </c>
      <c r="E629" s="170">
        <v>60080</v>
      </c>
      <c r="F629" s="14" t="s">
        <v>152</v>
      </c>
      <c r="G629" s="14" t="s">
        <v>1490</v>
      </c>
      <c r="H629" s="23">
        <v>144875</v>
      </c>
      <c r="I629" s="23">
        <v>10</v>
      </c>
      <c r="J629" s="14">
        <v>1</v>
      </c>
      <c r="L629" s="14">
        <v>0</v>
      </c>
      <c r="N629" s="24">
        <v>1</v>
      </c>
      <c r="P629" s="14">
        <v>0</v>
      </c>
      <c r="R629" s="14">
        <v>0</v>
      </c>
      <c r="T629" s="14" t="str">
        <f t="shared" si="9"/>
        <v>No</v>
      </c>
    </row>
    <row r="630" spans="1:20" s="14" customFormat="1" ht="11.25">
      <c r="A630" s="14" t="s">
        <v>916</v>
      </c>
      <c r="B630" s="14" t="s">
        <v>917</v>
      </c>
      <c r="C630" s="14" t="s">
        <v>19</v>
      </c>
      <c r="D630" s="169">
        <v>9244</v>
      </c>
      <c r="E630" s="170">
        <v>90244</v>
      </c>
      <c r="F630" s="14" t="s">
        <v>152</v>
      </c>
      <c r="G630" s="14" t="s">
        <v>149</v>
      </c>
      <c r="H630" s="23">
        <v>219454</v>
      </c>
      <c r="I630" s="23">
        <v>10</v>
      </c>
      <c r="J630" s="14">
        <v>1</v>
      </c>
      <c r="L630" s="14">
        <v>0</v>
      </c>
      <c r="N630" s="24">
        <v>1</v>
      </c>
      <c r="P630" s="14">
        <v>0</v>
      </c>
      <c r="R630" s="14">
        <v>0</v>
      </c>
      <c r="T630" s="14" t="str">
        <f t="shared" si="9"/>
        <v>No</v>
      </c>
    </row>
    <row r="631" spans="1:20" s="14" customFormat="1" ht="11.25">
      <c r="A631" s="14" t="s">
        <v>1742</v>
      </c>
      <c r="B631" s="14" t="s">
        <v>1743</v>
      </c>
      <c r="C631" s="14" t="s">
        <v>19</v>
      </c>
      <c r="D631" s="169"/>
      <c r="E631" s="170">
        <v>90294</v>
      </c>
      <c r="F631" s="14" t="s">
        <v>152</v>
      </c>
      <c r="G631" s="14" t="s">
        <v>1490</v>
      </c>
      <c r="H631" s="23">
        <v>12150996</v>
      </c>
      <c r="I631" s="23">
        <v>10</v>
      </c>
      <c r="J631" s="14">
        <v>0</v>
      </c>
      <c r="L631" s="14">
        <v>0</v>
      </c>
      <c r="N631" s="24">
        <v>0</v>
      </c>
      <c r="P631" s="14">
        <v>0</v>
      </c>
      <c r="R631" s="14">
        <v>0</v>
      </c>
      <c r="T631" s="14" t="str">
        <f t="shared" si="9"/>
        <v>No</v>
      </c>
    </row>
    <row r="632" spans="1:20" s="14" customFormat="1" ht="11.25">
      <c r="A632" s="14" t="s">
        <v>753</v>
      </c>
      <c r="B632" s="14" t="s">
        <v>754</v>
      </c>
      <c r="C632" s="14" t="s">
        <v>52</v>
      </c>
      <c r="D632" s="169" t="s">
        <v>755</v>
      </c>
      <c r="E632" s="170">
        <v>55270</v>
      </c>
      <c r="F632" s="14" t="s">
        <v>397</v>
      </c>
      <c r="G632" s="14" t="s">
        <v>1490</v>
      </c>
      <c r="H632" s="23">
        <v>0</v>
      </c>
      <c r="I632" s="23">
        <v>10</v>
      </c>
      <c r="J632" s="14">
        <v>0</v>
      </c>
      <c r="L632" s="14">
        <v>0</v>
      </c>
      <c r="N632" s="24">
        <v>0</v>
      </c>
      <c r="P632" s="14">
        <v>0</v>
      </c>
      <c r="R632" s="14">
        <v>0</v>
      </c>
      <c r="T632" s="14" t="str">
        <f t="shared" si="9"/>
        <v>No</v>
      </c>
    </row>
    <row r="633" spans="1:20" s="14" customFormat="1" ht="11.25">
      <c r="A633" s="14" t="s">
        <v>1744</v>
      </c>
      <c r="B633" s="14" t="s">
        <v>1745</v>
      </c>
      <c r="C633" s="14" t="s">
        <v>19</v>
      </c>
      <c r="D633" s="169"/>
      <c r="E633" s="170">
        <v>90286</v>
      </c>
      <c r="F633" s="14" t="s">
        <v>152</v>
      </c>
      <c r="G633" s="14" t="s">
        <v>1490</v>
      </c>
      <c r="H633" s="23">
        <v>12150996</v>
      </c>
      <c r="I633" s="23">
        <v>10</v>
      </c>
      <c r="J633" s="14">
        <v>1</v>
      </c>
      <c r="L633" s="14">
        <v>0</v>
      </c>
      <c r="N633" s="24">
        <v>1</v>
      </c>
      <c r="P633" s="14">
        <v>0</v>
      </c>
      <c r="R633" s="14">
        <v>0</v>
      </c>
      <c r="T633" s="14" t="str">
        <f t="shared" si="9"/>
        <v>No</v>
      </c>
    </row>
    <row r="634" spans="1:20" s="14" customFormat="1" ht="11.25">
      <c r="A634" s="14" t="s">
        <v>882</v>
      </c>
      <c r="B634" s="14" t="s">
        <v>344</v>
      </c>
      <c r="C634" s="14" t="s">
        <v>19</v>
      </c>
      <c r="D634" s="169">
        <v>9156</v>
      </c>
      <c r="E634" s="170">
        <v>90156</v>
      </c>
      <c r="F634" s="14" t="s">
        <v>152</v>
      </c>
      <c r="G634" s="14" t="s">
        <v>149</v>
      </c>
      <c r="H634" s="23">
        <v>59219</v>
      </c>
      <c r="I634" s="23">
        <v>10</v>
      </c>
      <c r="J634" s="14">
        <v>0</v>
      </c>
      <c r="L634" s="14">
        <v>0</v>
      </c>
      <c r="N634" s="24">
        <v>0</v>
      </c>
      <c r="P634" s="14">
        <v>0</v>
      </c>
      <c r="R634" s="14">
        <v>0</v>
      </c>
      <c r="T634" s="14" t="str">
        <f t="shared" si="9"/>
        <v>No</v>
      </c>
    </row>
    <row r="635" spans="1:20" s="14" customFormat="1" ht="11.25">
      <c r="A635" s="14" t="s">
        <v>404</v>
      </c>
      <c r="B635" s="14" t="s">
        <v>405</v>
      </c>
      <c r="C635" s="14" t="s">
        <v>88</v>
      </c>
      <c r="D635" s="169" t="s">
        <v>406</v>
      </c>
      <c r="E635" s="170">
        <v>9</v>
      </c>
      <c r="F635" s="14" t="s">
        <v>397</v>
      </c>
      <c r="G635" s="14" t="s">
        <v>1490</v>
      </c>
      <c r="H635" s="23">
        <v>0</v>
      </c>
      <c r="I635" s="23">
        <v>10</v>
      </c>
      <c r="J635" s="14">
        <v>0</v>
      </c>
      <c r="L635" s="14">
        <v>0</v>
      </c>
      <c r="N635" s="24">
        <v>0</v>
      </c>
      <c r="P635" s="14">
        <v>0</v>
      </c>
      <c r="R635" s="14">
        <v>0</v>
      </c>
      <c r="T635" s="14" t="str">
        <f t="shared" si="9"/>
        <v>No</v>
      </c>
    </row>
    <row r="636" spans="1:20" s="14" customFormat="1" ht="11.25">
      <c r="A636" s="14" t="s">
        <v>1635</v>
      </c>
      <c r="B636" s="14" t="s">
        <v>1666</v>
      </c>
      <c r="C636" s="14" t="s">
        <v>62</v>
      </c>
      <c r="D636" s="169">
        <v>2220</v>
      </c>
      <c r="E636" s="170">
        <v>20220</v>
      </c>
      <c r="F636" s="14" t="s">
        <v>148</v>
      </c>
      <c r="G636" s="14" t="s">
        <v>1490</v>
      </c>
      <c r="H636" s="23">
        <v>18351295</v>
      </c>
      <c r="I636" s="23">
        <v>10</v>
      </c>
      <c r="J636" s="14">
        <v>0</v>
      </c>
      <c r="L636" s="14">
        <v>0</v>
      </c>
      <c r="N636" s="24">
        <v>0</v>
      </c>
      <c r="P636" s="14">
        <v>0</v>
      </c>
      <c r="R636" s="14">
        <v>0</v>
      </c>
      <c r="T636" s="14" t="str">
        <f t="shared" si="9"/>
        <v>No</v>
      </c>
    </row>
    <row r="637" spans="1:20" s="14" customFormat="1" ht="11.25">
      <c r="A637" s="14" t="s">
        <v>150</v>
      </c>
      <c r="B637" s="14" t="s">
        <v>151</v>
      </c>
      <c r="C637" s="14" t="s">
        <v>85</v>
      </c>
      <c r="D637" s="169">
        <v>8026</v>
      </c>
      <c r="E637" s="170">
        <v>80026</v>
      </c>
      <c r="F637" s="14" t="s">
        <v>152</v>
      </c>
      <c r="G637" s="14" t="s">
        <v>1490</v>
      </c>
      <c r="H637" s="23">
        <v>98370</v>
      </c>
      <c r="I637" s="23">
        <v>10</v>
      </c>
      <c r="J637" s="14">
        <v>1</v>
      </c>
      <c r="L637" s="14">
        <v>0</v>
      </c>
      <c r="N637" s="24">
        <v>1</v>
      </c>
      <c r="P637" s="14">
        <v>0</v>
      </c>
      <c r="R637" s="14">
        <v>0</v>
      </c>
      <c r="T637" s="14" t="str">
        <f t="shared" si="9"/>
        <v>No</v>
      </c>
    </row>
    <row r="638" spans="1:20" s="14" customFormat="1" ht="11.25">
      <c r="A638" s="14" t="s">
        <v>625</v>
      </c>
      <c r="B638" s="14" t="s">
        <v>626</v>
      </c>
      <c r="C638" s="14" t="s">
        <v>19</v>
      </c>
      <c r="D638" s="169">
        <v>9225</v>
      </c>
      <c r="E638" s="170">
        <v>90225</v>
      </c>
      <c r="F638" s="14" t="s">
        <v>160</v>
      </c>
      <c r="G638" s="14" t="s">
        <v>149</v>
      </c>
      <c r="H638" s="23">
        <v>3281212</v>
      </c>
      <c r="I638" s="23">
        <v>10</v>
      </c>
      <c r="J638" s="14">
        <v>10</v>
      </c>
      <c r="L638" s="14">
        <v>0</v>
      </c>
      <c r="N638" s="24">
        <v>10</v>
      </c>
      <c r="P638" s="14">
        <v>0</v>
      </c>
      <c r="R638" s="14">
        <v>0</v>
      </c>
      <c r="T638" s="14" t="str">
        <f t="shared" si="9"/>
        <v>No</v>
      </c>
    </row>
    <row r="639" spans="1:20" s="14" customFormat="1" ht="11.25">
      <c r="A639" s="14" t="s">
        <v>1865</v>
      </c>
      <c r="B639" s="14" t="s">
        <v>900</v>
      </c>
      <c r="C639" s="14" t="s">
        <v>57</v>
      </c>
      <c r="D639" s="169">
        <v>4231</v>
      </c>
      <c r="E639" s="170">
        <v>40231</v>
      </c>
      <c r="F639" s="14" t="s">
        <v>152</v>
      </c>
      <c r="G639" s="14" t="s">
        <v>1490</v>
      </c>
      <c r="H639" s="23">
        <v>347602</v>
      </c>
      <c r="I639" s="23">
        <v>10</v>
      </c>
      <c r="J639" s="14">
        <v>0</v>
      </c>
      <c r="L639" s="14">
        <v>0</v>
      </c>
      <c r="N639" s="24">
        <v>0</v>
      </c>
      <c r="P639" s="14">
        <v>0</v>
      </c>
      <c r="R639" s="14">
        <v>0</v>
      </c>
      <c r="T639" s="14" t="str">
        <f t="shared" si="9"/>
        <v>No</v>
      </c>
    </row>
    <row r="640" spans="1:20" s="14" customFormat="1" ht="11.25">
      <c r="A640" s="14" t="s">
        <v>580</v>
      </c>
      <c r="B640" s="14" t="s">
        <v>292</v>
      </c>
      <c r="C640" s="14" t="s">
        <v>43</v>
      </c>
      <c r="D640" s="169">
        <v>4016</v>
      </c>
      <c r="E640" s="170">
        <v>40016</v>
      </c>
      <c r="F640" s="14" t="s">
        <v>152</v>
      </c>
      <c r="G640" s="14" t="s">
        <v>1490</v>
      </c>
      <c r="H640" s="23">
        <v>202637</v>
      </c>
      <c r="I640" s="23">
        <v>10</v>
      </c>
      <c r="J640" s="14">
        <v>0</v>
      </c>
      <c r="L640" s="14">
        <v>0</v>
      </c>
      <c r="N640" s="24">
        <v>0</v>
      </c>
      <c r="P640" s="14">
        <v>0</v>
      </c>
      <c r="R640" s="14">
        <v>0</v>
      </c>
      <c r="T640" s="14" t="str">
        <f t="shared" si="9"/>
        <v>No</v>
      </c>
    </row>
    <row r="641" spans="1:20" s="14" customFormat="1" ht="11.25">
      <c r="A641" s="14" t="s">
        <v>834</v>
      </c>
      <c r="B641" s="14" t="s">
        <v>835</v>
      </c>
      <c r="C641" s="14" t="s">
        <v>54</v>
      </c>
      <c r="D641" s="169">
        <v>7040</v>
      </c>
      <c r="E641" s="170">
        <v>70040</v>
      </c>
      <c r="F641" s="14" t="s">
        <v>152</v>
      </c>
      <c r="G641" s="14" t="s">
        <v>1490</v>
      </c>
      <c r="H641" s="23">
        <v>82775</v>
      </c>
      <c r="I641" s="23">
        <v>9</v>
      </c>
      <c r="J641" s="14">
        <v>0</v>
      </c>
      <c r="L641" s="14">
        <v>0</v>
      </c>
      <c r="N641" s="24">
        <v>0</v>
      </c>
      <c r="P641" s="14">
        <v>0</v>
      </c>
      <c r="R641" s="14">
        <v>0</v>
      </c>
      <c r="T641" s="14" t="str">
        <f t="shared" si="9"/>
        <v>No</v>
      </c>
    </row>
    <row r="642" spans="1:20" s="14" customFormat="1" ht="11.25">
      <c r="A642" s="14" t="s">
        <v>132</v>
      </c>
      <c r="B642" s="14" t="s">
        <v>866</v>
      </c>
      <c r="C642" s="14" t="s">
        <v>57</v>
      </c>
      <c r="D642" s="169">
        <v>4010</v>
      </c>
      <c r="E642" s="170">
        <v>40010</v>
      </c>
      <c r="F642" s="14" t="s">
        <v>152</v>
      </c>
      <c r="G642" s="14" t="s">
        <v>1490</v>
      </c>
      <c r="H642" s="23">
        <v>169495</v>
      </c>
      <c r="I642" s="23">
        <v>9</v>
      </c>
      <c r="J642" s="14">
        <v>1</v>
      </c>
      <c r="L642" s="14">
        <v>0</v>
      </c>
      <c r="N642" s="24">
        <v>1</v>
      </c>
      <c r="P642" s="14">
        <v>0</v>
      </c>
      <c r="R642" s="14">
        <v>0</v>
      </c>
      <c r="T642" s="14" t="str">
        <f t="shared" si="9"/>
        <v>No</v>
      </c>
    </row>
    <row r="643" spans="1:20" s="14" customFormat="1" ht="11.25">
      <c r="A643" s="14" t="s">
        <v>158</v>
      </c>
      <c r="B643" s="14" t="s">
        <v>159</v>
      </c>
      <c r="C643" s="14" t="s">
        <v>84</v>
      </c>
      <c r="D643" s="169">
        <v>6093</v>
      </c>
      <c r="E643" s="170">
        <v>60093</v>
      </c>
      <c r="F643" s="14" t="s">
        <v>160</v>
      </c>
      <c r="G643" s="14" t="s">
        <v>1490</v>
      </c>
      <c r="H643" s="23">
        <v>78162</v>
      </c>
      <c r="I643" s="23">
        <v>9</v>
      </c>
      <c r="J643" s="14">
        <v>1</v>
      </c>
      <c r="L643" s="14">
        <v>0</v>
      </c>
      <c r="N643" s="24">
        <v>1</v>
      </c>
      <c r="P643" s="14">
        <v>0</v>
      </c>
      <c r="R643" s="14">
        <v>0</v>
      </c>
      <c r="T643" s="14" t="str">
        <f t="shared" ref="T643:T706" si="10">IF(S643&amp;Q643&amp;O643&amp;M643&amp;K643&lt;&gt;"","Yes","No")</f>
        <v>No</v>
      </c>
    </row>
    <row r="644" spans="1:20" s="14" customFormat="1" ht="11.25">
      <c r="A644" s="14" t="s">
        <v>1748</v>
      </c>
      <c r="B644" s="14" t="s">
        <v>1749</v>
      </c>
      <c r="C644" s="14" t="s">
        <v>19</v>
      </c>
      <c r="D644" s="169"/>
      <c r="E644" s="170">
        <v>90252</v>
      </c>
      <c r="F644" s="14" t="s">
        <v>152</v>
      </c>
      <c r="G644" s="14" t="s">
        <v>1490</v>
      </c>
      <c r="H644" s="23">
        <v>12150996</v>
      </c>
      <c r="I644" s="23">
        <v>9</v>
      </c>
      <c r="J644" s="14">
        <v>0</v>
      </c>
      <c r="L644" s="14">
        <v>0</v>
      </c>
      <c r="N644" s="24">
        <v>0</v>
      </c>
      <c r="P644" s="14">
        <v>0</v>
      </c>
      <c r="R644" s="14">
        <v>0</v>
      </c>
      <c r="T644" s="14" t="str">
        <f t="shared" si="10"/>
        <v>No</v>
      </c>
    </row>
    <row r="645" spans="1:20" s="14" customFormat="1" ht="11.25">
      <c r="A645" s="14" t="s">
        <v>699</v>
      </c>
      <c r="B645" s="14" t="s">
        <v>700</v>
      </c>
      <c r="C645" s="14" t="s">
        <v>88</v>
      </c>
      <c r="D645" s="169" t="s">
        <v>701</v>
      </c>
      <c r="E645" s="170">
        <v>207</v>
      </c>
      <c r="F645" s="14" t="s">
        <v>397</v>
      </c>
      <c r="G645" s="14" t="s">
        <v>1490</v>
      </c>
      <c r="H645" s="23">
        <v>0</v>
      </c>
      <c r="I645" s="23">
        <v>9</v>
      </c>
      <c r="J645" s="14">
        <v>0</v>
      </c>
      <c r="L645" s="14">
        <v>0</v>
      </c>
      <c r="N645" s="24">
        <v>0</v>
      </c>
      <c r="P645" s="14">
        <v>0</v>
      </c>
      <c r="R645" s="14">
        <v>0</v>
      </c>
      <c r="T645" s="14" t="str">
        <f t="shared" si="10"/>
        <v>No</v>
      </c>
    </row>
    <row r="646" spans="1:20" s="14" customFormat="1" ht="11.25">
      <c r="A646" s="14" t="s">
        <v>483</v>
      </c>
      <c r="B646" s="14" t="s">
        <v>484</v>
      </c>
      <c r="C646" s="14" t="s">
        <v>16</v>
      </c>
      <c r="D646" s="169" t="s">
        <v>485</v>
      </c>
      <c r="E646" s="170">
        <v>99286</v>
      </c>
      <c r="F646" s="14" t="s">
        <v>397</v>
      </c>
      <c r="G646" s="14" t="s">
        <v>1490</v>
      </c>
      <c r="H646" s="23">
        <v>0</v>
      </c>
      <c r="I646" s="23">
        <v>9</v>
      </c>
      <c r="J646" s="14">
        <v>0</v>
      </c>
      <c r="L646" s="14">
        <v>0</v>
      </c>
      <c r="N646" s="24">
        <v>0</v>
      </c>
      <c r="P646" s="14">
        <v>0</v>
      </c>
      <c r="R646" s="14">
        <v>0</v>
      </c>
      <c r="T646" s="14" t="str">
        <f t="shared" si="10"/>
        <v>No</v>
      </c>
    </row>
    <row r="647" spans="1:20" s="14" customFormat="1" ht="11.25">
      <c r="A647" s="14" t="s">
        <v>1746</v>
      </c>
      <c r="B647" s="14" t="s">
        <v>1747</v>
      </c>
      <c r="C647" s="14" t="s">
        <v>35</v>
      </c>
      <c r="D647" s="169"/>
      <c r="E647" s="170">
        <v>40246</v>
      </c>
      <c r="F647" s="14" t="s">
        <v>197</v>
      </c>
      <c r="G647" s="14" t="s">
        <v>1490</v>
      </c>
      <c r="H647" s="23">
        <v>4515419</v>
      </c>
      <c r="I647" s="23">
        <v>9</v>
      </c>
      <c r="J647" s="14">
        <v>0</v>
      </c>
      <c r="L647" s="14">
        <v>0</v>
      </c>
      <c r="N647" s="24">
        <v>0</v>
      </c>
      <c r="P647" s="14">
        <v>0</v>
      </c>
      <c r="R647" s="14">
        <v>0</v>
      </c>
      <c r="T647" s="14" t="str">
        <f t="shared" si="10"/>
        <v>No</v>
      </c>
    </row>
    <row r="648" spans="1:20" s="14" customFormat="1" ht="11.25">
      <c r="A648" s="14" t="s">
        <v>816</v>
      </c>
      <c r="B648" s="14" t="s">
        <v>817</v>
      </c>
      <c r="C648" s="14" t="s">
        <v>19</v>
      </c>
      <c r="D648" s="169">
        <v>9238</v>
      </c>
      <c r="E648" s="170">
        <v>90238</v>
      </c>
      <c r="F648" s="14" t="s">
        <v>152</v>
      </c>
      <c r="G648" s="14" t="s">
        <v>1490</v>
      </c>
      <c r="H648" s="23">
        <v>54372</v>
      </c>
      <c r="I648" s="23">
        <v>9</v>
      </c>
      <c r="J648" s="14">
        <v>2</v>
      </c>
      <c r="L648" s="14">
        <v>0</v>
      </c>
      <c r="N648" s="24">
        <v>2</v>
      </c>
      <c r="P648" s="14">
        <v>0</v>
      </c>
      <c r="R648" s="14">
        <v>0</v>
      </c>
      <c r="T648" s="14" t="str">
        <f t="shared" si="10"/>
        <v>No</v>
      </c>
    </row>
    <row r="649" spans="1:20" s="14" customFormat="1" ht="11.25">
      <c r="A649" s="14" t="s">
        <v>542</v>
      </c>
      <c r="B649" s="14" t="s">
        <v>543</v>
      </c>
      <c r="C649" s="14" t="s">
        <v>73</v>
      </c>
      <c r="D649" s="169">
        <v>6118</v>
      </c>
      <c r="E649" s="170">
        <v>60118</v>
      </c>
      <c r="F649" s="14" t="s">
        <v>152</v>
      </c>
      <c r="G649" s="14" t="s">
        <v>1490</v>
      </c>
      <c r="H649" s="23">
        <v>861505</v>
      </c>
      <c r="I649" s="23">
        <v>9</v>
      </c>
      <c r="J649" s="14">
        <v>0</v>
      </c>
      <c r="L649" s="14">
        <v>0</v>
      </c>
      <c r="N649" s="24">
        <v>0</v>
      </c>
      <c r="P649" s="14">
        <v>0</v>
      </c>
      <c r="R649" s="14">
        <v>0</v>
      </c>
      <c r="T649" s="14" t="str">
        <f t="shared" si="10"/>
        <v>No</v>
      </c>
    </row>
    <row r="650" spans="1:20" s="14" customFormat="1" ht="11.25">
      <c r="A650" s="14" t="s">
        <v>1180</v>
      </c>
      <c r="B650" s="14" t="s">
        <v>273</v>
      </c>
      <c r="C650" s="14" t="s">
        <v>43</v>
      </c>
      <c r="D650" s="169">
        <v>4020</v>
      </c>
      <c r="E650" s="170">
        <v>40020</v>
      </c>
      <c r="F650" s="14" t="s">
        <v>152</v>
      </c>
      <c r="G650" s="14" t="s">
        <v>1490</v>
      </c>
      <c r="H650" s="23">
        <v>70543</v>
      </c>
      <c r="I650" s="23">
        <v>9</v>
      </c>
      <c r="J650" s="14">
        <v>1</v>
      </c>
      <c r="L650" s="14">
        <v>0</v>
      </c>
      <c r="N650" s="24">
        <v>1</v>
      </c>
      <c r="P650" s="14">
        <v>0</v>
      </c>
      <c r="R650" s="14">
        <v>0</v>
      </c>
      <c r="T650" s="14" t="str">
        <f t="shared" si="10"/>
        <v>No</v>
      </c>
    </row>
    <row r="651" spans="1:20" s="14" customFormat="1" ht="11.25">
      <c r="A651" s="14" t="s">
        <v>125</v>
      </c>
      <c r="B651" s="14" t="s">
        <v>1376</v>
      </c>
      <c r="C651" s="14" t="s">
        <v>84</v>
      </c>
      <c r="D651" s="169">
        <v>6035</v>
      </c>
      <c r="E651" s="170">
        <v>60035</v>
      </c>
      <c r="F651" s="14" t="s">
        <v>152</v>
      </c>
      <c r="G651" s="14" t="s">
        <v>1490</v>
      </c>
      <c r="H651" s="23">
        <v>99437</v>
      </c>
      <c r="I651" s="23">
        <v>9</v>
      </c>
      <c r="J651" s="14">
        <v>1</v>
      </c>
      <c r="L651" s="14">
        <v>0</v>
      </c>
      <c r="N651" s="24">
        <v>1</v>
      </c>
      <c r="P651" s="14">
        <v>0</v>
      </c>
      <c r="R651" s="14">
        <v>0</v>
      </c>
      <c r="T651" s="14" t="str">
        <f t="shared" si="10"/>
        <v>No</v>
      </c>
    </row>
    <row r="652" spans="1:20" s="14" customFormat="1" ht="11.25">
      <c r="A652" s="14" t="s">
        <v>349</v>
      </c>
      <c r="B652" s="14" t="s">
        <v>268</v>
      </c>
      <c r="C652" s="14" t="s">
        <v>40</v>
      </c>
      <c r="D652" s="169">
        <v>5177</v>
      </c>
      <c r="E652" s="170">
        <v>50177</v>
      </c>
      <c r="F652" s="14" t="s">
        <v>152</v>
      </c>
      <c r="G652" s="14" t="s">
        <v>1490</v>
      </c>
      <c r="H652" s="23">
        <v>54933</v>
      </c>
      <c r="I652" s="23">
        <v>9</v>
      </c>
      <c r="J652" s="14">
        <v>1</v>
      </c>
      <c r="L652" s="14">
        <v>0</v>
      </c>
      <c r="N652" s="24">
        <v>1</v>
      </c>
      <c r="P652" s="14">
        <v>0</v>
      </c>
      <c r="R652" s="14">
        <v>0</v>
      </c>
      <c r="T652" s="14" t="str">
        <f t="shared" si="10"/>
        <v>No</v>
      </c>
    </row>
    <row r="653" spans="1:20" s="14" customFormat="1" ht="11.25">
      <c r="A653" s="14" t="s">
        <v>381</v>
      </c>
      <c r="B653" s="14" t="s">
        <v>382</v>
      </c>
      <c r="C653" s="14" t="s">
        <v>40</v>
      </c>
      <c r="D653" s="169">
        <v>5098</v>
      </c>
      <c r="E653" s="170">
        <v>50098</v>
      </c>
      <c r="F653" s="14" t="s">
        <v>152</v>
      </c>
      <c r="G653" s="14" t="s">
        <v>1490</v>
      </c>
      <c r="H653" s="23">
        <v>66025</v>
      </c>
      <c r="I653" s="23">
        <v>8</v>
      </c>
      <c r="J653" s="14">
        <v>0</v>
      </c>
      <c r="L653" s="14">
        <v>0</v>
      </c>
      <c r="N653" s="24">
        <v>0</v>
      </c>
      <c r="P653" s="14">
        <v>0</v>
      </c>
      <c r="R653" s="14">
        <v>0</v>
      </c>
      <c r="T653" s="14" t="str">
        <f t="shared" si="10"/>
        <v>No</v>
      </c>
    </row>
    <row r="654" spans="1:20" s="14" customFormat="1" ht="11.25">
      <c r="A654" s="14" t="s">
        <v>443</v>
      </c>
      <c r="B654" s="14" t="s">
        <v>444</v>
      </c>
      <c r="C654" s="14" t="s">
        <v>68</v>
      </c>
      <c r="D654" s="169">
        <v>9215</v>
      </c>
      <c r="E654" s="170">
        <v>90215</v>
      </c>
      <c r="F654" s="14" t="s">
        <v>188</v>
      </c>
      <c r="G654" s="14" t="s">
        <v>1490</v>
      </c>
      <c r="H654" s="23">
        <v>58079</v>
      </c>
      <c r="I654" s="23">
        <v>8</v>
      </c>
      <c r="J654" s="14">
        <v>0</v>
      </c>
      <c r="L654" s="14">
        <v>0</v>
      </c>
      <c r="N654" s="24">
        <v>0</v>
      </c>
      <c r="P654" s="14">
        <v>0</v>
      </c>
      <c r="R654" s="14">
        <v>0</v>
      </c>
      <c r="T654" s="14" t="str">
        <f t="shared" si="10"/>
        <v>No</v>
      </c>
    </row>
    <row r="655" spans="1:20" s="14" customFormat="1" ht="11.25">
      <c r="A655" s="14" t="s">
        <v>852</v>
      </c>
      <c r="B655" s="14" t="s">
        <v>853</v>
      </c>
      <c r="C655" s="14" t="s">
        <v>69</v>
      </c>
      <c r="D655" s="169">
        <v>2006</v>
      </c>
      <c r="E655" s="170">
        <v>20006</v>
      </c>
      <c r="F655" s="14" t="s">
        <v>152</v>
      </c>
      <c r="G655" s="14" t="s">
        <v>149</v>
      </c>
      <c r="H655" s="23">
        <v>18351295</v>
      </c>
      <c r="I655" s="23">
        <v>8</v>
      </c>
      <c r="J655" s="14">
        <v>1</v>
      </c>
      <c r="L655" s="14">
        <v>0</v>
      </c>
      <c r="N655" s="24">
        <v>1</v>
      </c>
      <c r="P655" s="14">
        <v>0</v>
      </c>
      <c r="R655" s="14">
        <v>0</v>
      </c>
      <c r="T655" s="14" t="str">
        <f t="shared" si="10"/>
        <v>No</v>
      </c>
    </row>
    <row r="656" spans="1:20" s="14" customFormat="1" ht="11.25">
      <c r="A656" s="14" t="s">
        <v>1306</v>
      </c>
      <c r="B656" s="14" t="s">
        <v>1307</v>
      </c>
      <c r="C656" s="14" t="s">
        <v>32</v>
      </c>
      <c r="D656" s="169">
        <v>4120</v>
      </c>
      <c r="E656" s="170">
        <v>40120</v>
      </c>
      <c r="F656" s="14" t="s">
        <v>152</v>
      </c>
      <c r="G656" s="14" t="s">
        <v>149</v>
      </c>
      <c r="H656" s="23">
        <v>156909</v>
      </c>
      <c r="I656" s="23">
        <v>8</v>
      </c>
      <c r="J656" s="14">
        <v>1</v>
      </c>
      <c r="L656" s="14">
        <v>0</v>
      </c>
      <c r="N656" s="24">
        <v>1</v>
      </c>
      <c r="P656" s="14">
        <v>0</v>
      </c>
      <c r="R656" s="14">
        <v>0</v>
      </c>
      <c r="T656" s="14" t="str">
        <f t="shared" si="10"/>
        <v>No</v>
      </c>
    </row>
    <row r="657" spans="1:20" s="14" customFormat="1" ht="11.25">
      <c r="A657" s="14" t="s">
        <v>472</v>
      </c>
      <c r="B657" s="14" t="s">
        <v>189</v>
      </c>
      <c r="C657" s="14" t="s">
        <v>50</v>
      </c>
      <c r="D657" s="169">
        <v>1015</v>
      </c>
      <c r="E657" s="170">
        <v>10015</v>
      </c>
      <c r="F657" s="14" t="s">
        <v>152</v>
      </c>
      <c r="G657" s="14" t="s">
        <v>1490</v>
      </c>
      <c r="H657" s="23">
        <v>59397</v>
      </c>
      <c r="I657" s="23">
        <v>8</v>
      </c>
      <c r="J657" s="14">
        <v>2</v>
      </c>
      <c r="L657" s="14">
        <v>0</v>
      </c>
      <c r="N657" s="24">
        <v>2</v>
      </c>
      <c r="P657" s="14">
        <v>0</v>
      </c>
      <c r="R657" s="14">
        <v>0</v>
      </c>
      <c r="T657" s="14" t="str">
        <f t="shared" si="10"/>
        <v>No</v>
      </c>
    </row>
    <row r="658" spans="1:20" s="14" customFormat="1" ht="11.25">
      <c r="A658" s="14" t="s">
        <v>1300</v>
      </c>
      <c r="B658" s="14" t="s">
        <v>1301</v>
      </c>
      <c r="C658" s="14" t="s">
        <v>71</v>
      </c>
      <c r="D658" s="169">
        <v>5142</v>
      </c>
      <c r="E658" s="170">
        <v>50142</v>
      </c>
      <c r="F658" s="14" t="s">
        <v>160</v>
      </c>
      <c r="G658" s="14" t="s">
        <v>1490</v>
      </c>
      <c r="H658" s="23">
        <v>70889</v>
      </c>
      <c r="I658" s="23">
        <v>8</v>
      </c>
      <c r="J658" s="14">
        <v>0</v>
      </c>
      <c r="L658" s="14">
        <v>0</v>
      </c>
      <c r="N658" s="24">
        <v>0</v>
      </c>
      <c r="P658" s="14">
        <v>0</v>
      </c>
      <c r="R658" s="14">
        <v>0</v>
      </c>
      <c r="T658" s="14" t="str">
        <f t="shared" si="10"/>
        <v>No</v>
      </c>
    </row>
    <row r="659" spans="1:20" s="14" customFormat="1" ht="11.25">
      <c r="A659" s="14" t="s">
        <v>1145</v>
      </c>
      <c r="B659" s="14" t="s">
        <v>1146</v>
      </c>
      <c r="C659" s="14" t="s">
        <v>86</v>
      </c>
      <c r="D659" s="169">
        <v>3113</v>
      </c>
      <c r="E659" s="170">
        <v>30989</v>
      </c>
      <c r="F659" s="14" t="s">
        <v>188</v>
      </c>
      <c r="G659" s="14" t="s">
        <v>1490</v>
      </c>
      <c r="H659" s="23">
        <v>56611</v>
      </c>
      <c r="I659" s="23">
        <v>8</v>
      </c>
      <c r="J659" s="14">
        <v>0</v>
      </c>
      <c r="L659" s="14">
        <v>0</v>
      </c>
      <c r="N659" s="24">
        <v>0</v>
      </c>
      <c r="P659" s="14">
        <v>0</v>
      </c>
      <c r="R659" s="14">
        <v>0</v>
      </c>
      <c r="T659" s="14" t="str">
        <f t="shared" si="10"/>
        <v>No</v>
      </c>
    </row>
    <row r="660" spans="1:20" s="14" customFormat="1" ht="11.25">
      <c r="A660" s="14" t="s">
        <v>854</v>
      </c>
      <c r="B660" s="14" t="s">
        <v>359</v>
      </c>
      <c r="C660" s="14" t="s">
        <v>84</v>
      </c>
      <c r="D660" s="169">
        <v>6081</v>
      </c>
      <c r="E660" s="170">
        <v>60081</v>
      </c>
      <c r="F660" s="14" t="s">
        <v>152</v>
      </c>
      <c r="G660" s="14" t="s">
        <v>1490</v>
      </c>
      <c r="H660" s="23">
        <v>98884</v>
      </c>
      <c r="I660" s="23">
        <v>8</v>
      </c>
      <c r="J660" s="14">
        <v>0</v>
      </c>
      <c r="L660" s="14">
        <v>0</v>
      </c>
      <c r="N660" s="24">
        <v>0</v>
      </c>
      <c r="P660" s="14">
        <v>0</v>
      </c>
      <c r="R660" s="14">
        <v>0</v>
      </c>
      <c r="T660" s="14" t="str">
        <f t="shared" si="10"/>
        <v>No</v>
      </c>
    </row>
    <row r="661" spans="1:20" s="14" customFormat="1" ht="11.25">
      <c r="A661" s="14" t="s">
        <v>888</v>
      </c>
      <c r="B661" s="14" t="s">
        <v>509</v>
      </c>
      <c r="C661" s="14" t="s">
        <v>88</v>
      </c>
      <c r="D661" s="169">
        <v>23</v>
      </c>
      <c r="E661" s="170">
        <v>23</v>
      </c>
      <c r="F661" s="14" t="s">
        <v>152</v>
      </c>
      <c r="G661" s="14" t="s">
        <v>149</v>
      </c>
      <c r="H661" s="23">
        <v>3059393</v>
      </c>
      <c r="I661" s="23">
        <v>8</v>
      </c>
      <c r="J661" s="14">
        <v>2</v>
      </c>
      <c r="L661" s="14">
        <v>0</v>
      </c>
      <c r="N661" s="24">
        <v>2</v>
      </c>
      <c r="P661" s="14">
        <v>1</v>
      </c>
      <c r="R661" s="14">
        <v>0</v>
      </c>
      <c r="T661" s="14" t="str">
        <f t="shared" si="10"/>
        <v>No</v>
      </c>
    </row>
    <row r="662" spans="1:20" s="14" customFormat="1" ht="11.25">
      <c r="A662" s="14" t="s">
        <v>541</v>
      </c>
      <c r="B662" s="14" t="s">
        <v>318</v>
      </c>
      <c r="C662" s="14" t="s">
        <v>61</v>
      </c>
      <c r="D662" s="169">
        <v>1123</v>
      </c>
      <c r="E662" s="170">
        <v>10123</v>
      </c>
      <c r="F662" s="14" t="s">
        <v>160</v>
      </c>
      <c r="G662" s="14" t="s">
        <v>1490</v>
      </c>
      <c r="H662" s="23">
        <v>4181019</v>
      </c>
      <c r="I662" s="23">
        <v>8</v>
      </c>
      <c r="J662" s="14">
        <v>0</v>
      </c>
      <c r="L662" s="14">
        <v>0</v>
      </c>
      <c r="N662" s="24">
        <v>0</v>
      </c>
      <c r="P662" s="14">
        <v>0</v>
      </c>
      <c r="R662" s="14">
        <v>0</v>
      </c>
      <c r="T662" s="14" t="str">
        <f t="shared" si="10"/>
        <v>No</v>
      </c>
    </row>
    <row r="663" spans="1:20" s="14" customFormat="1" ht="11.25">
      <c r="A663" s="14" t="s">
        <v>1754</v>
      </c>
      <c r="B663" s="14" t="s">
        <v>984</v>
      </c>
      <c r="C663" s="14" t="s">
        <v>19</v>
      </c>
      <c r="D663" s="169"/>
      <c r="E663" s="170">
        <v>90293</v>
      </c>
      <c r="F663" s="14" t="s">
        <v>152</v>
      </c>
      <c r="G663" s="14" t="s">
        <v>1490</v>
      </c>
      <c r="H663" s="23">
        <v>12150996</v>
      </c>
      <c r="I663" s="23">
        <v>8</v>
      </c>
      <c r="J663" s="14">
        <v>0</v>
      </c>
      <c r="L663" s="14">
        <v>0</v>
      </c>
      <c r="N663" s="24">
        <v>0</v>
      </c>
      <c r="P663" s="14">
        <v>0</v>
      </c>
      <c r="R663" s="14">
        <v>0</v>
      </c>
      <c r="T663" s="14" t="str">
        <f t="shared" si="10"/>
        <v>No</v>
      </c>
    </row>
    <row r="664" spans="1:20" s="14" customFormat="1" ht="11.25">
      <c r="A664" s="14" t="s">
        <v>1866</v>
      </c>
      <c r="B664" s="14" t="s">
        <v>1668</v>
      </c>
      <c r="C664" s="14" t="s">
        <v>86</v>
      </c>
      <c r="D664" s="169"/>
      <c r="E664" s="170">
        <v>30198</v>
      </c>
      <c r="F664" s="14" t="s">
        <v>152</v>
      </c>
      <c r="G664" s="14" t="s">
        <v>1490</v>
      </c>
      <c r="H664" s="23">
        <v>1439666</v>
      </c>
      <c r="I664" s="23">
        <v>8</v>
      </c>
      <c r="J664" s="14">
        <v>1</v>
      </c>
      <c r="L664" s="14">
        <v>0</v>
      </c>
      <c r="N664" s="24">
        <v>1</v>
      </c>
      <c r="P664" s="14">
        <v>0</v>
      </c>
      <c r="R664" s="14">
        <v>0</v>
      </c>
      <c r="T664" s="14" t="str">
        <f t="shared" si="10"/>
        <v>No</v>
      </c>
    </row>
    <row r="665" spans="1:20" s="14" customFormat="1" ht="11.25">
      <c r="A665" s="14" t="s">
        <v>1287</v>
      </c>
      <c r="B665" s="14" t="s">
        <v>1286</v>
      </c>
      <c r="C665" s="14" t="s">
        <v>81</v>
      </c>
      <c r="D665" s="169">
        <v>4101</v>
      </c>
      <c r="E665" s="170">
        <v>40101</v>
      </c>
      <c r="F665" s="14" t="s">
        <v>160</v>
      </c>
      <c r="G665" s="14" t="s">
        <v>1490</v>
      </c>
      <c r="H665" s="23">
        <v>180786</v>
      </c>
      <c r="I665" s="23">
        <v>8</v>
      </c>
      <c r="J665" s="14">
        <v>1</v>
      </c>
      <c r="L665" s="14">
        <v>0</v>
      </c>
      <c r="N665" s="24">
        <v>1</v>
      </c>
      <c r="P665" s="14">
        <v>1</v>
      </c>
      <c r="R665" s="14">
        <v>0</v>
      </c>
      <c r="T665" s="14" t="str">
        <f t="shared" si="10"/>
        <v>No</v>
      </c>
    </row>
    <row r="666" spans="1:20" s="14" customFormat="1" ht="11.25">
      <c r="A666" s="14" t="s">
        <v>475</v>
      </c>
      <c r="B666" s="14" t="s">
        <v>339</v>
      </c>
      <c r="C666" s="14" t="s">
        <v>74</v>
      </c>
      <c r="D666" s="169" t="s">
        <v>476</v>
      </c>
      <c r="E666" s="170">
        <v>119</v>
      </c>
      <c r="F666" s="14" t="s">
        <v>397</v>
      </c>
      <c r="G666" s="14" t="s">
        <v>1490</v>
      </c>
      <c r="H666" s="23">
        <v>0</v>
      </c>
      <c r="I666" s="23">
        <v>8</v>
      </c>
      <c r="J666" s="14">
        <v>0</v>
      </c>
      <c r="L666" s="14">
        <v>0</v>
      </c>
      <c r="N666" s="24">
        <v>0</v>
      </c>
      <c r="P666" s="14">
        <v>0</v>
      </c>
      <c r="R666" s="14">
        <v>0</v>
      </c>
      <c r="T666" s="14" t="str">
        <f t="shared" si="10"/>
        <v>No</v>
      </c>
    </row>
    <row r="667" spans="1:20" s="14" customFormat="1" ht="11.25">
      <c r="A667" s="14" t="s">
        <v>682</v>
      </c>
      <c r="B667" s="14" t="s">
        <v>683</v>
      </c>
      <c r="C667" s="14" t="s">
        <v>52</v>
      </c>
      <c r="D667" s="169" t="s">
        <v>684</v>
      </c>
      <c r="E667" s="170">
        <v>55252</v>
      </c>
      <c r="F667" s="14" t="s">
        <v>397</v>
      </c>
      <c r="G667" s="14" t="s">
        <v>1490</v>
      </c>
      <c r="H667" s="23">
        <v>0</v>
      </c>
      <c r="I667" s="23">
        <v>8</v>
      </c>
      <c r="J667" s="14">
        <v>0</v>
      </c>
      <c r="L667" s="14">
        <v>0</v>
      </c>
      <c r="N667" s="24">
        <v>0</v>
      </c>
      <c r="P667" s="14">
        <v>0</v>
      </c>
      <c r="R667" s="14">
        <v>0</v>
      </c>
      <c r="T667" s="14" t="str">
        <f t="shared" si="10"/>
        <v>No</v>
      </c>
    </row>
    <row r="668" spans="1:20" s="14" customFormat="1" ht="11.25">
      <c r="A668" s="14" t="s">
        <v>749</v>
      </c>
      <c r="B668" s="14" t="s">
        <v>270</v>
      </c>
      <c r="C668" s="14" t="s">
        <v>92</v>
      </c>
      <c r="D668" s="169">
        <v>5109</v>
      </c>
      <c r="E668" s="170">
        <v>50109</v>
      </c>
      <c r="F668" s="14" t="s">
        <v>152</v>
      </c>
      <c r="G668" s="14" t="s">
        <v>1490</v>
      </c>
      <c r="H668" s="23">
        <v>63835</v>
      </c>
      <c r="I668" s="23">
        <v>8</v>
      </c>
      <c r="J668" s="14">
        <v>1</v>
      </c>
      <c r="L668" s="14">
        <v>0</v>
      </c>
      <c r="N668" s="24">
        <v>1</v>
      </c>
      <c r="P668" s="14">
        <v>0</v>
      </c>
      <c r="R668" s="14">
        <v>0</v>
      </c>
      <c r="T668" s="14" t="str">
        <f t="shared" si="10"/>
        <v>No</v>
      </c>
    </row>
    <row r="669" spans="1:20" s="14" customFormat="1" ht="11.25">
      <c r="A669" s="14" t="s">
        <v>1867</v>
      </c>
      <c r="B669" s="14" t="s">
        <v>1868</v>
      </c>
      <c r="C669" s="14" t="s">
        <v>52</v>
      </c>
      <c r="D669" s="169" t="s">
        <v>1869</v>
      </c>
      <c r="E669" s="170">
        <v>55234</v>
      </c>
      <c r="F669" s="14" t="s">
        <v>397</v>
      </c>
      <c r="G669" s="14" t="s">
        <v>1490</v>
      </c>
      <c r="H669" s="23">
        <v>0</v>
      </c>
      <c r="I669" s="23">
        <v>8</v>
      </c>
      <c r="J669" s="14">
        <v>0</v>
      </c>
      <c r="L669" s="14">
        <v>0</v>
      </c>
      <c r="N669" s="24">
        <v>0</v>
      </c>
      <c r="P669" s="14">
        <v>0</v>
      </c>
      <c r="R669" s="14">
        <v>0</v>
      </c>
      <c r="T669" s="14" t="str">
        <f t="shared" si="10"/>
        <v>No</v>
      </c>
    </row>
    <row r="670" spans="1:20" s="14" customFormat="1" ht="11.25">
      <c r="A670" s="14" t="s">
        <v>490</v>
      </c>
      <c r="B670" s="14" t="s">
        <v>491</v>
      </c>
      <c r="C670" s="14" t="s">
        <v>77</v>
      </c>
      <c r="D670" s="169">
        <v>4183</v>
      </c>
      <c r="E670" s="170">
        <v>40183</v>
      </c>
      <c r="F670" s="14" t="s">
        <v>152</v>
      </c>
      <c r="G670" s="14" t="s">
        <v>1490</v>
      </c>
      <c r="H670" s="23">
        <v>306196</v>
      </c>
      <c r="I670" s="23">
        <v>8</v>
      </c>
      <c r="J670" s="14">
        <v>1</v>
      </c>
      <c r="L670" s="14">
        <v>0</v>
      </c>
      <c r="N670" s="24">
        <v>1</v>
      </c>
      <c r="P670" s="14">
        <v>0</v>
      </c>
      <c r="R670" s="14">
        <v>0</v>
      </c>
      <c r="T670" s="14" t="str">
        <f t="shared" si="10"/>
        <v>No</v>
      </c>
    </row>
    <row r="671" spans="1:20" s="14" customFormat="1" ht="11.25">
      <c r="A671" s="14" t="s">
        <v>124</v>
      </c>
      <c r="B671" s="14" t="s">
        <v>502</v>
      </c>
      <c r="C671" s="14" t="s">
        <v>77</v>
      </c>
      <c r="D671" s="169">
        <v>4182</v>
      </c>
      <c r="E671" s="170">
        <v>40182</v>
      </c>
      <c r="F671" s="14" t="s">
        <v>152</v>
      </c>
      <c r="G671" s="14" t="s">
        <v>1490</v>
      </c>
      <c r="H671" s="23">
        <v>2148346</v>
      </c>
      <c r="I671" s="23">
        <v>8</v>
      </c>
      <c r="J671" s="14">
        <v>1</v>
      </c>
      <c r="L671" s="14">
        <v>0</v>
      </c>
      <c r="N671" s="24">
        <v>1</v>
      </c>
      <c r="P671" s="14">
        <v>0</v>
      </c>
      <c r="R671" s="14">
        <v>0</v>
      </c>
      <c r="T671" s="14" t="str">
        <f t="shared" si="10"/>
        <v>No</v>
      </c>
    </row>
    <row r="672" spans="1:20" s="14" customFormat="1" ht="11.25">
      <c r="A672" s="14" t="s">
        <v>1637</v>
      </c>
      <c r="B672" s="14" t="s">
        <v>351</v>
      </c>
      <c r="C672" s="14" t="s">
        <v>69</v>
      </c>
      <c r="D672" s="169"/>
      <c r="E672" s="170">
        <v>22930</v>
      </c>
      <c r="F672" s="14" t="s">
        <v>197</v>
      </c>
      <c r="G672" s="14" t="s">
        <v>149</v>
      </c>
      <c r="H672" s="23">
        <v>18351295</v>
      </c>
      <c r="I672" s="23">
        <v>8</v>
      </c>
      <c r="J672" s="14">
        <v>14</v>
      </c>
      <c r="L672" s="14">
        <v>2</v>
      </c>
      <c r="N672" s="24">
        <v>16</v>
      </c>
      <c r="P672" s="14">
        <v>0</v>
      </c>
      <c r="R672" s="14">
        <v>0</v>
      </c>
      <c r="T672" s="14" t="str">
        <f t="shared" si="10"/>
        <v>No</v>
      </c>
    </row>
    <row r="673" spans="1:20" s="14" customFormat="1" ht="11.25">
      <c r="A673" s="14" t="s">
        <v>788</v>
      </c>
      <c r="B673" s="14" t="s">
        <v>789</v>
      </c>
      <c r="C673" s="14" t="s">
        <v>86</v>
      </c>
      <c r="D673" s="169">
        <v>3058</v>
      </c>
      <c r="E673" s="170">
        <v>30058</v>
      </c>
      <c r="F673" s="14" t="s">
        <v>152</v>
      </c>
      <c r="G673" s="14" t="s">
        <v>149</v>
      </c>
      <c r="H673" s="23">
        <v>4586770</v>
      </c>
      <c r="I673" s="23">
        <v>8</v>
      </c>
      <c r="J673" s="14">
        <v>0</v>
      </c>
      <c r="L673" s="14">
        <v>0</v>
      </c>
      <c r="N673" s="24">
        <v>0</v>
      </c>
      <c r="P673" s="14">
        <v>0</v>
      </c>
      <c r="R673" s="14">
        <v>0</v>
      </c>
      <c r="T673" s="14" t="str">
        <f t="shared" si="10"/>
        <v>No</v>
      </c>
    </row>
    <row r="674" spans="1:20" s="14" customFormat="1" ht="11.25">
      <c r="A674" s="14" t="s">
        <v>41</v>
      </c>
      <c r="B674" s="14" t="s">
        <v>361</v>
      </c>
      <c r="C674" s="14" t="s">
        <v>40</v>
      </c>
      <c r="D674" s="169">
        <v>5183</v>
      </c>
      <c r="E674" s="170">
        <v>50183</v>
      </c>
      <c r="F674" s="14" t="s">
        <v>152</v>
      </c>
      <c r="G674" s="14" t="s">
        <v>149</v>
      </c>
      <c r="H674" s="23">
        <v>8608208</v>
      </c>
      <c r="I674" s="23">
        <v>8</v>
      </c>
      <c r="J674" s="14">
        <v>0</v>
      </c>
      <c r="L674" s="14">
        <v>0</v>
      </c>
      <c r="N674" s="24">
        <v>0</v>
      </c>
      <c r="P674" s="14">
        <v>0</v>
      </c>
      <c r="R674" s="14">
        <v>0</v>
      </c>
      <c r="T674" s="14" t="str">
        <f t="shared" si="10"/>
        <v>No</v>
      </c>
    </row>
    <row r="675" spans="1:20" s="14" customFormat="1" ht="11.25">
      <c r="A675" s="14" t="s">
        <v>505</v>
      </c>
      <c r="B675" s="14" t="s">
        <v>506</v>
      </c>
      <c r="C675" s="14" t="s">
        <v>2</v>
      </c>
      <c r="D675" s="169">
        <v>53</v>
      </c>
      <c r="E675" s="170">
        <v>53</v>
      </c>
      <c r="F675" s="14" t="s">
        <v>397</v>
      </c>
      <c r="G675" s="14" t="s">
        <v>1490</v>
      </c>
      <c r="H675" s="23">
        <v>98378</v>
      </c>
      <c r="I675" s="23">
        <v>7</v>
      </c>
      <c r="J675" s="14">
        <v>0</v>
      </c>
      <c r="L675" s="14">
        <v>0</v>
      </c>
      <c r="N675" s="24">
        <v>0</v>
      </c>
      <c r="P675" s="14">
        <v>0</v>
      </c>
      <c r="R675" s="14">
        <v>0</v>
      </c>
      <c r="T675" s="14" t="str">
        <f t="shared" si="10"/>
        <v>No</v>
      </c>
    </row>
    <row r="676" spans="1:20" s="14" customFormat="1" ht="11.25">
      <c r="A676" s="14" t="s">
        <v>450</v>
      </c>
      <c r="B676" s="14" t="s">
        <v>451</v>
      </c>
      <c r="C676" s="14" t="s">
        <v>77</v>
      </c>
      <c r="D676" s="169">
        <v>4165</v>
      </c>
      <c r="E676" s="170">
        <v>40165</v>
      </c>
      <c r="F676" s="14" t="s">
        <v>152</v>
      </c>
      <c r="G676" s="14" t="s">
        <v>1490</v>
      </c>
      <c r="H676" s="23">
        <v>2148346</v>
      </c>
      <c r="I676" s="23">
        <v>7</v>
      </c>
      <c r="J676" s="14">
        <v>1</v>
      </c>
      <c r="L676" s="14">
        <v>0</v>
      </c>
      <c r="N676" s="24">
        <v>1</v>
      </c>
      <c r="P676" s="14">
        <v>0</v>
      </c>
      <c r="R676" s="14">
        <v>0</v>
      </c>
      <c r="T676" s="14" t="str">
        <f t="shared" si="10"/>
        <v>No</v>
      </c>
    </row>
    <row r="677" spans="1:20" s="14" customFormat="1" ht="11.25">
      <c r="A677" s="14" t="s">
        <v>129</v>
      </c>
      <c r="B677" s="14" t="s">
        <v>464</v>
      </c>
      <c r="C677" s="14" t="s">
        <v>19</v>
      </c>
      <c r="D677" s="169">
        <v>9217</v>
      </c>
      <c r="E677" s="170">
        <v>90217</v>
      </c>
      <c r="F677" s="14" t="s">
        <v>152</v>
      </c>
      <c r="G677" s="14" t="s">
        <v>1490</v>
      </c>
      <c r="H677" s="23">
        <v>83578</v>
      </c>
      <c r="I677" s="23">
        <v>7</v>
      </c>
      <c r="J677" s="14">
        <v>1</v>
      </c>
      <c r="L677" s="14">
        <v>0</v>
      </c>
      <c r="N677" s="24">
        <v>1</v>
      </c>
      <c r="P677" s="14">
        <v>0</v>
      </c>
      <c r="R677" s="14">
        <v>0</v>
      </c>
      <c r="T677" s="14" t="str">
        <f t="shared" si="10"/>
        <v>No</v>
      </c>
    </row>
    <row r="678" spans="1:20" s="14" customFormat="1" ht="11.25">
      <c r="A678" s="14" t="s">
        <v>352</v>
      </c>
      <c r="B678" s="14" t="s">
        <v>353</v>
      </c>
      <c r="C678" s="14" t="s">
        <v>86</v>
      </c>
      <c r="D678" s="169">
        <v>3099</v>
      </c>
      <c r="E678" s="170">
        <v>30099</v>
      </c>
      <c r="F678" s="14" t="s">
        <v>152</v>
      </c>
      <c r="G678" s="14" t="s">
        <v>1490</v>
      </c>
      <c r="H678" s="23">
        <v>69449</v>
      </c>
      <c r="I678" s="23">
        <v>7</v>
      </c>
      <c r="J678" s="14">
        <v>0</v>
      </c>
      <c r="L678" s="14">
        <v>0</v>
      </c>
      <c r="N678" s="24">
        <v>0</v>
      </c>
      <c r="P678" s="14">
        <v>0</v>
      </c>
      <c r="R678" s="14">
        <v>0</v>
      </c>
      <c r="T678" s="14" t="str">
        <f t="shared" si="10"/>
        <v>No</v>
      </c>
    </row>
    <row r="679" spans="1:20" s="14" customFormat="1" ht="11.25">
      <c r="A679" s="14" t="s">
        <v>1058</v>
      </c>
      <c r="B679" s="14" t="s">
        <v>274</v>
      </c>
      <c r="C679" s="14" t="s">
        <v>44</v>
      </c>
      <c r="D679" s="169">
        <v>6023</v>
      </c>
      <c r="E679" s="170">
        <v>60023</v>
      </c>
      <c r="F679" s="14" t="s">
        <v>152</v>
      </c>
      <c r="G679" s="14" t="s">
        <v>1490</v>
      </c>
      <c r="H679" s="23">
        <v>143440</v>
      </c>
      <c r="I679" s="23">
        <v>7</v>
      </c>
      <c r="J679" s="14">
        <v>1</v>
      </c>
      <c r="L679" s="14">
        <v>0</v>
      </c>
      <c r="N679" s="24">
        <v>1</v>
      </c>
      <c r="P679" s="14">
        <v>1</v>
      </c>
      <c r="R679" s="14">
        <v>0</v>
      </c>
      <c r="T679" s="14" t="str">
        <f t="shared" si="10"/>
        <v>No</v>
      </c>
    </row>
    <row r="680" spans="1:20" s="14" customFormat="1" ht="11.25">
      <c r="A680" s="14" t="s">
        <v>1413</v>
      </c>
      <c r="B680" s="14" t="s">
        <v>1414</v>
      </c>
      <c r="C680" s="14" t="s">
        <v>69</v>
      </c>
      <c r="D680" s="169">
        <v>2148</v>
      </c>
      <c r="E680" s="170">
        <v>20148</v>
      </c>
      <c r="F680" s="14" t="s">
        <v>323</v>
      </c>
      <c r="G680" s="14" t="s">
        <v>1490</v>
      </c>
      <c r="H680" s="23">
        <v>423566</v>
      </c>
      <c r="I680" s="23">
        <v>7</v>
      </c>
      <c r="J680" s="14">
        <v>0</v>
      </c>
      <c r="L680" s="14">
        <v>0</v>
      </c>
      <c r="N680" s="24">
        <v>0</v>
      </c>
      <c r="P680" s="14">
        <v>0</v>
      </c>
      <c r="R680" s="14">
        <v>0</v>
      </c>
      <c r="T680" s="14" t="str">
        <f t="shared" si="10"/>
        <v>No</v>
      </c>
    </row>
    <row r="681" spans="1:20" s="14" customFormat="1" ht="11.25">
      <c r="A681" s="14" t="s">
        <v>448</v>
      </c>
      <c r="B681" s="14" t="s">
        <v>224</v>
      </c>
      <c r="C681" s="14" t="s">
        <v>83</v>
      </c>
      <c r="D681" s="169">
        <v>4162</v>
      </c>
      <c r="E681" s="170">
        <v>40162</v>
      </c>
      <c r="F681" s="14" t="s">
        <v>152</v>
      </c>
      <c r="G681" s="14" t="s">
        <v>1490</v>
      </c>
      <c r="H681" s="23">
        <v>969587</v>
      </c>
      <c r="I681" s="23">
        <v>7</v>
      </c>
      <c r="J681" s="14">
        <v>1</v>
      </c>
      <c r="L681" s="14">
        <v>0</v>
      </c>
      <c r="N681" s="24">
        <v>1</v>
      </c>
      <c r="P681" s="14">
        <v>1</v>
      </c>
      <c r="R681" s="14">
        <v>0</v>
      </c>
      <c r="T681" s="14" t="str">
        <f t="shared" si="10"/>
        <v>No</v>
      </c>
    </row>
    <row r="682" spans="1:20" s="14" customFormat="1" ht="11.25">
      <c r="A682" s="14" t="s">
        <v>391</v>
      </c>
      <c r="B682" s="14" t="s">
        <v>392</v>
      </c>
      <c r="C682" s="14" t="s">
        <v>77</v>
      </c>
      <c r="D682" s="169">
        <v>4160</v>
      </c>
      <c r="E682" s="170">
        <v>40160</v>
      </c>
      <c r="F682" s="14" t="s">
        <v>152</v>
      </c>
      <c r="G682" s="14" t="s">
        <v>1490</v>
      </c>
      <c r="H682" s="23">
        <v>139171</v>
      </c>
      <c r="I682" s="23">
        <v>7</v>
      </c>
      <c r="J682" s="14">
        <v>1</v>
      </c>
      <c r="L682" s="14">
        <v>0</v>
      </c>
      <c r="N682" s="24">
        <v>1</v>
      </c>
      <c r="P682" s="14">
        <v>1</v>
      </c>
      <c r="R682" s="14">
        <v>0</v>
      </c>
      <c r="T682" s="14" t="str">
        <f t="shared" si="10"/>
        <v>No</v>
      </c>
    </row>
    <row r="683" spans="1:20" s="14" customFormat="1" ht="11.25">
      <c r="A683" s="14" t="s">
        <v>937</v>
      </c>
      <c r="B683" s="14" t="s">
        <v>938</v>
      </c>
      <c r="C683" s="14" t="s">
        <v>37</v>
      </c>
      <c r="D683" s="169">
        <v>7030</v>
      </c>
      <c r="E683" s="170">
        <v>70030</v>
      </c>
      <c r="F683" s="14" t="s">
        <v>152</v>
      </c>
      <c r="G683" s="14" t="s">
        <v>149</v>
      </c>
      <c r="H683" s="23">
        <v>106621</v>
      </c>
      <c r="I683" s="23">
        <v>7</v>
      </c>
      <c r="J683" s="14">
        <v>1</v>
      </c>
      <c r="L683" s="14">
        <v>0</v>
      </c>
      <c r="N683" s="24">
        <v>1</v>
      </c>
      <c r="P683" s="14">
        <v>2</v>
      </c>
      <c r="R683" s="14">
        <v>0</v>
      </c>
      <c r="T683" s="14" t="str">
        <f t="shared" si="10"/>
        <v>No</v>
      </c>
    </row>
    <row r="684" spans="1:20" s="14" customFormat="1" ht="11.25">
      <c r="A684" s="14" t="s">
        <v>1758</v>
      </c>
      <c r="B684" s="14" t="s">
        <v>1759</v>
      </c>
      <c r="C684" s="14" t="s">
        <v>19</v>
      </c>
      <c r="D684" s="169"/>
      <c r="E684" s="170">
        <v>90260</v>
      </c>
      <c r="F684" s="14" t="s">
        <v>152</v>
      </c>
      <c r="G684" s="14" t="s">
        <v>1490</v>
      </c>
      <c r="H684" s="23">
        <v>12150996</v>
      </c>
      <c r="I684" s="23">
        <v>7</v>
      </c>
      <c r="J684" s="14">
        <v>1</v>
      </c>
      <c r="L684" s="14">
        <v>0</v>
      </c>
      <c r="N684" s="24">
        <v>1</v>
      </c>
      <c r="P684" s="14">
        <v>0</v>
      </c>
      <c r="R684" s="14">
        <v>0</v>
      </c>
      <c r="T684" s="14" t="str">
        <f t="shared" si="10"/>
        <v>No</v>
      </c>
    </row>
    <row r="685" spans="1:20" s="14" customFormat="1" ht="11.25">
      <c r="A685" s="14" t="s">
        <v>1870</v>
      </c>
      <c r="B685" s="14" t="s">
        <v>1871</v>
      </c>
      <c r="C685" s="14" t="s">
        <v>2</v>
      </c>
      <c r="D685" s="169"/>
      <c r="E685" s="170">
        <v>416</v>
      </c>
      <c r="F685" s="14" t="s">
        <v>98</v>
      </c>
      <c r="G685" s="14" t="s">
        <v>1490</v>
      </c>
      <c r="H685" s="23">
        <v>349684</v>
      </c>
      <c r="I685" s="23">
        <v>7</v>
      </c>
      <c r="J685" s="14">
        <v>0</v>
      </c>
      <c r="L685" s="14">
        <v>0</v>
      </c>
      <c r="N685" s="24">
        <v>0</v>
      </c>
      <c r="P685" s="14">
        <v>0</v>
      </c>
      <c r="R685" s="14">
        <v>0</v>
      </c>
      <c r="T685" s="14" t="str">
        <f t="shared" si="10"/>
        <v>No</v>
      </c>
    </row>
    <row r="686" spans="1:20" s="14" customFormat="1" ht="11.25">
      <c r="A686" s="14" t="s">
        <v>1757</v>
      </c>
      <c r="B686" s="14" t="s">
        <v>883</v>
      </c>
      <c r="C686" s="14" t="s">
        <v>81</v>
      </c>
      <c r="D686" s="169">
        <v>4156</v>
      </c>
      <c r="E686" s="170">
        <v>40156</v>
      </c>
      <c r="F686" s="14" t="s">
        <v>188</v>
      </c>
      <c r="G686" s="14" t="s">
        <v>1490</v>
      </c>
      <c r="H686" s="23">
        <v>386787</v>
      </c>
      <c r="I686" s="23">
        <v>7</v>
      </c>
      <c r="J686" s="14">
        <v>1</v>
      </c>
      <c r="L686" s="14">
        <v>0</v>
      </c>
      <c r="N686" s="24">
        <v>1</v>
      </c>
      <c r="P686" s="14">
        <v>0</v>
      </c>
      <c r="R686" s="14">
        <v>0</v>
      </c>
      <c r="T686" s="14" t="str">
        <f t="shared" si="10"/>
        <v>No</v>
      </c>
    </row>
    <row r="687" spans="1:20" s="14" customFormat="1" ht="11.25">
      <c r="A687" s="14" t="s">
        <v>1872</v>
      </c>
      <c r="B687" s="14" t="s">
        <v>189</v>
      </c>
      <c r="C687" s="14" t="s">
        <v>88</v>
      </c>
      <c r="D687" s="169"/>
      <c r="E687" s="170">
        <v>407</v>
      </c>
      <c r="F687" s="14" t="s">
        <v>397</v>
      </c>
      <c r="G687" s="14" t="s">
        <v>1490</v>
      </c>
      <c r="H687" s="23">
        <v>3059393</v>
      </c>
      <c r="I687" s="23">
        <v>7</v>
      </c>
      <c r="J687" s="14">
        <v>1</v>
      </c>
      <c r="L687" s="14">
        <v>0</v>
      </c>
      <c r="N687" s="24">
        <v>1</v>
      </c>
      <c r="P687" s="14">
        <v>0</v>
      </c>
      <c r="R687" s="14">
        <v>0</v>
      </c>
      <c r="T687" s="14" t="str">
        <f t="shared" si="10"/>
        <v>No</v>
      </c>
    </row>
    <row r="688" spans="1:20" s="14" customFormat="1" ht="11.25">
      <c r="A688" s="14" t="s">
        <v>1020</v>
      </c>
      <c r="B688" s="14" t="s">
        <v>295</v>
      </c>
      <c r="C688" s="14" t="s">
        <v>55</v>
      </c>
      <c r="D688" s="169">
        <v>4060</v>
      </c>
      <c r="E688" s="170">
        <v>40060</v>
      </c>
      <c r="F688" s="14" t="s">
        <v>152</v>
      </c>
      <c r="G688" s="14" t="s">
        <v>1490</v>
      </c>
      <c r="H688" s="23">
        <v>80358</v>
      </c>
      <c r="I688" s="23">
        <v>7</v>
      </c>
      <c r="J688" s="14">
        <v>1</v>
      </c>
      <c r="L688" s="14">
        <v>0</v>
      </c>
      <c r="N688" s="24">
        <v>1</v>
      </c>
      <c r="P688" s="14">
        <v>0</v>
      </c>
      <c r="R688" s="14">
        <v>0</v>
      </c>
      <c r="T688" s="14" t="str">
        <f t="shared" si="10"/>
        <v>No</v>
      </c>
    </row>
    <row r="689" spans="1:20" s="14" customFormat="1" ht="11.25">
      <c r="A689" s="14" t="s">
        <v>79</v>
      </c>
      <c r="B689" s="14" t="s">
        <v>616</v>
      </c>
      <c r="C689" s="14" t="s">
        <v>77</v>
      </c>
      <c r="D689" s="169">
        <v>4198</v>
      </c>
      <c r="E689" s="170">
        <v>40198</v>
      </c>
      <c r="F689" s="14" t="s">
        <v>152</v>
      </c>
      <c r="G689" s="14" t="s">
        <v>1490</v>
      </c>
      <c r="H689" s="23">
        <v>2148346</v>
      </c>
      <c r="I689" s="23">
        <v>7</v>
      </c>
      <c r="J689" s="14">
        <v>1</v>
      </c>
      <c r="L689" s="14">
        <v>0</v>
      </c>
      <c r="N689" s="24">
        <v>1</v>
      </c>
      <c r="P689" s="14">
        <v>0</v>
      </c>
      <c r="R689" s="14">
        <v>0</v>
      </c>
      <c r="T689" s="14" t="str">
        <f t="shared" si="10"/>
        <v>No</v>
      </c>
    </row>
    <row r="690" spans="1:20" s="14" customFormat="1" ht="11.25">
      <c r="A690" s="14" t="s">
        <v>1755</v>
      </c>
      <c r="B690" s="14" t="s">
        <v>1756</v>
      </c>
      <c r="C690" s="14" t="s">
        <v>32</v>
      </c>
      <c r="D690" s="169"/>
      <c r="E690" s="170">
        <v>40254</v>
      </c>
      <c r="F690" s="14" t="s">
        <v>152</v>
      </c>
      <c r="G690" s="14" t="s">
        <v>1490</v>
      </c>
      <c r="H690" s="23">
        <v>5502379</v>
      </c>
      <c r="I690" s="23">
        <v>7</v>
      </c>
      <c r="J690" s="14">
        <v>1</v>
      </c>
      <c r="L690" s="14">
        <v>0</v>
      </c>
      <c r="N690" s="24">
        <v>1</v>
      </c>
      <c r="P690" s="14">
        <v>0</v>
      </c>
      <c r="R690" s="14">
        <v>0</v>
      </c>
      <c r="T690" s="14" t="str">
        <f t="shared" si="10"/>
        <v>No</v>
      </c>
    </row>
    <row r="691" spans="1:20" s="14" customFormat="1" ht="11.25">
      <c r="A691" s="14" t="s">
        <v>643</v>
      </c>
      <c r="B691" s="14" t="s">
        <v>221</v>
      </c>
      <c r="C691" s="14" t="s">
        <v>83</v>
      </c>
      <c r="D691" s="169">
        <v>4055</v>
      </c>
      <c r="E691" s="170">
        <v>40055</v>
      </c>
      <c r="F691" s="14" t="s">
        <v>152</v>
      </c>
      <c r="G691" s="14" t="s">
        <v>1490</v>
      </c>
      <c r="H691" s="23">
        <v>69501</v>
      </c>
      <c r="I691" s="23">
        <v>7</v>
      </c>
      <c r="J691" s="14">
        <v>1</v>
      </c>
      <c r="L691" s="14">
        <v>0</v>
      </c>
      <c r="N691" s="24">
        <v>1</v>
      </c>
      <c r="P691" s="14">
        <v>0</v>
      </c>
      <c r="R691" s="14">
        <v>0</v>
      </c>
      <c r="T691" s="14" t="str">
        <f t="shared" si="10"/>
        <v>No</v>
      </c>
    </row>
    <row r="692" spans="1:20" s="14" customFormat="1" ht="11.25">
      <c r="A692" s="14" t="s">
        <v>1762</v>
      </c>
      <c r="B692" s="14" t="s">
        <v>267</v>
      </c>
      <c r="C692" s="14" t="s">
        <v>57</v>
      </c>
      <c r="D692" s="169"/>
      <c r="E692" s="170">
        <v>40252</v>
      </c>
      <c r="F692" s="14" t="s">
        <v>152</v>
      </c>
      <c r="G692" s="14" t="s">
        <v>1490</v>
      </c>
      <c r="H692" s="23">
        <v>119911</v>
      </c>
      <c r="I692" s="23">
        <v>7</v>
      </c>
      <c r="J692" s="14">
        <v>0</v>
      </c>
      <c r="L692" s="14">
        <v>0</v>
      </c>
      <c r="N692" s="24">
        <v>0</v>
      </c>
      <c r="P692" s="14">
        <v>0</v>
      </c>
      <c r="R692" s="14">
        <v>0</v>
      </c>
      <c r="T692" s="14" t="str">
        <f t="shared" si="10"/>
        <v>No</v>
      </c>
    </row>
    <row r="693" spans="1:20" s="14" customFormat="1" ht="11.25">
      <c r="A693" s="14" t="s">
        <v>1760</v>
      </c>
      <c r="B693" s="14" t="s">
        <v>1761</v>
      </c>
      <c r="C693" s="14" t="s">
        <v>32</v>
      </c>
      <c r="D693" s="169"/>
      <c r="E693" s="170">
        <v>40251</v>
      </c>
      <c r="F693" s="14" t="s">
        <v>152</v>
      </c>
      <c r="G693" s="14" t="s">
        <v>1490</v>
      </c>
      <c r="H693" s="23">
        <v>5502379</v>
      </c>
      <c r="I693" s="23">
        <v>7</v>
      </c>
      <c r="J693" s="14">
        <v>0</v>
      </c>
      <c r="L693" s="14">
        <v>0</v>
      </c>
      <c r="N693" s="24">
        <v>0</v>
      </c>
      <c r="P693" s="14">
        <v>0</v>
      </c>
      <c r="R693" s="14">
        <v>0</v>
      </c>
      <c r="T693" s="14" t="str">
        <f t="shared" si="10"/>
        <v>No</v>
      </c>
    </row>
    <row r="694" spans="1:20" s="14" customFormat="1" ht="11.25">
      <c r="A694" s="14" t="s">
        <v>70</v>
      </c>
      <c r="B694" s="14" t="s">
        <v>351</v>
      </c>
      <c r="C694" s="14" t="s">
        <v>69</v>
      </c>
      <c r="D694" s="169">
        <v>2189</v>
      </c>
      <c r="E694" s="170">
        <v>20189</v>
      </c>
      <c r="F694" s="14" t="s">
        <v>148</v>
      </c>
      <c r="G694" s="14" t="s">
        <v>149</v>
      </c>
      <c r="H694" s="23">
        <v>18351295</v>
      </c>
      <c r="I694" s="23">
        <v>7</v>
      </c>
      <c r="J694" s="14">
        <v>7</v>
      </c>
      <c r="L694" s="14">
        <v>0</v>
      </c>
      <c r="N694" s="24">
        <v>7</v>
      </c>
      <c r="P694" s="14">
        <v>0</v>
      </c>
      <c r="R694" s="14">
        <v>0</v>
      </c>
      <c r="T694" s="14" t="str">
        <f t="shared" si="10"/>
        <v>No</v>
      </c>
    </row>
    <row r="695" spans="1:20" s="14" customFormat="1" ht="11.25">
      <c r="A695" s="14" t="s">
        <v>17</v>
      </c>
      <c r="B695" s="14" t="s">
        <v>818</v>
      </c>
      <c r="C695" s="14" t="s">
        <v>16</v>
      </c>
      <c r="D695" s="169">
        <v>9239</v>
      </c>
      <c r="E695" s="170">
        <v>90239</v>
      </c>
      <c r="F695" s="14" t="s">
        <v>152</v>
      </c>
      <c r="G695" s="14" t="s">
        <v>1490</v>
      </c>
      <c r="H695" s="23">
        <v>52745</v>
      </c>
      <c r="I695" s="23">
        <v>7</v>
      </c>
      <c r="J695" s="14">
        <v>1</v>
      </c>
      <c r="L695" s="14">
        <v>0</v>
      </c>
      <c r="N695" s="24">
        <v>1</v>
      </c>
      <c r="P695" s="14">
        <v>0</v>
      </c>
      <c r="R695" s="14">
        <v>0</v>
      </c>
      <c r="T695" s="14" t="str">
        <f t="shared" si="10"/>
        <v>No</v>
      </c>
    </row>
    <row r="696" spans="1:20" s="14" customFormat="1" ht="11.25">
      <c r="A696" s="14" t="s">
        <v>507</v>
      </c>
      <c r="B696" s="14" t="s">
        <v>508</v>
      </c>
      <c r="C696" s="14" t="s">
        <v>83</v>
      </c>
      <c r="D696" s="169">
        <v>4186</v>
      </c>
      <c r="E696" s="170">
        <v>40186</v>
      </c>
      <c r="F696" s="14" t="s">
        <v>152</v>
      </c>
      <c r="G696" s="14" t="s">
        <v>1490</v>
      </c>
      <c r="H696" s="23">
        <v>133228</v>
      </c>
      <c r="I696" s="23">
        <v>7</v>
      </c>
      <c r="J696" s="14">
        <v>0</v>
      </c>
      <c r="L696" s="14">
        <v>0</v>
      </c>
      <c r="N696" s="24">
        <v>0</v>
      </c>
      <c r="P696" s="14">
        <v>0</v>
      </c>
      <c r="R696" s="14">
        <v>0</v>
      </c>
      <c r="T696" s="14" t="str">
        <f t="shared" si="10"/>
        <v>No</v>
      </c>
    </row>
    <row r="697" spans="1:20" s="14" customFormat="1" ht="11.25">
      <c r="A697" s="14" t="s">
        <v>1647</v>
      </c>
      <c r="B697" s="14" t="s">
        <v>1674</v>
      </c>
      <c r="C697" s="14" t="s">
        <v>32</v>
      </c>
      <c r="D697" s="169"/>
      <c r="E697" s="170">
        <v>40241</v>
      </c>
      <c r="F697" s="14" t="s">
        <v>152</v>
      </c>
      <c r="G697" s="14" t="s">
        <v>1490</v>
      </c>
      <c r="H697" s="23">
        <v>5502379</v>
      </c>
      <c r="I697" s="23">
        <v>7</v>
      </c>
      <c r="J697" s="14">
        <v>1</v>
      </c>
      <c r="L697" s="14">
        <v>0</v>
      </c>
      <c r="N697" s="24">
        <v>1</v>
      </c>
      <c r="P697" s="14">
        <v>0</v>
      </c>
      <c r="R697" s="14">
        <v>0</v>
      </c>
      <c r="T697" s="14" t="str">
        <f t="shared" si="10"/>
        <v>No</v>
      </c>
    </row>
    <row r="698" spans="1:20" s="14" customFormat="1" ht="11.25">
      <c r="A698" s="14" t="s">
        <v>174</v>
      </c>
      <c r="B698" s="14" t="s">
        <v>175</v>
      </c>
      <c r="C698" s="14" t="s">
        <v>50</v>
      </c>
      <c r="D698" s="169">
        <v>1112</v>
      </c>
      <c r="E698" s="170">
        <v>10112</v>
      </c>
      <c r="F698" s="14" t="s">
        <v>152</v>
      </c>
      <c r="G698" s="14" t="s">
        <v>1490</v>
      </c>
      <c r="H698" s="23">
        <v>203914</v>
      </c>
      <c r="I698" s="23">
        <v>7</v>
      </c>
      <c r="J698" s="14">
        <v>1</v>
      </c>
      <c r="L698" s="14">
        <v>0</v>
      </c>
      <c r="N698" s="24">
        <v>1</v>
      </c>
      <c r="P698" s="14">
        <v>0</v>
      </c>
      <c r="R698" s="14">
        <v>0</v>
      </c>
      <c r="T698" s="14" t="str">
        <f t="shared" si="10"/>
        <v>No</v>
      </c>
    </row>
    <row r="699" spans="1:20" s="14" customFormat="1" ht="11.25">
      <c r="A699" s="14" t="s">
        <v>1645</v>
      </c>
      <c r="B699" s="14" t="s">
        <v>1672</v>
      </c>
      <c r="C699" s="14" t="s">
        <v>32</v>
      </c>
      <c r="D699" s="169"/>
      <c r="E699" s="170">
        <v>40239</v>
      </c>
      <c r="F699" s="14" t="s">
        <v>152</v>
      </c>
      <c r="G699" s="14" t="s">
        <v>1490</v>
      </c>
      <c r="H699" s="23">
        <v>5502379</v>
      </c>
      <c r="I699" s="23">
        <v>7</v>
      </c>
      <c r="J699" s="14">
        <v>0</v>
      </c>
      <c r="L699" s="14">
        <v>0</v>
      </c>
      <c r="N699" s="24">
        <v>0</v>
      </c>
      <c r="P699" s="14">
        <v>0</v>
      </c>
      <c r="R699" s="14">
        <v>0</v>
      </c>
      <c r="T699" s="14" t="str">
        <f t="shared" si="10"/>
        <v>No</v>
      </c>
    </row>
    <row r="700" spans="1:20" s="14" customFormat="1" ht="11.25">
      <c r="A700" s="14" t="s">
        <v>1873</v>
      </c>
      <c r="B700" s="14" t="s">
        <v>1874</v>
      </c>
      <c r="C700" s="14" t="s">
        <v>51</v>
      </c>
      <c r="D700" s="169"/>
      <c r="E700" s="170">
        <v>50523</v>
      </c>
      <c r="F700" s="14" t="s">
        <v>397</v>
      </c>
      <c r="G700" s="14" t="s">
        <v>1490</v>
      </c>
      <c r="H700" s="23">
        <v>0</v>
      </c>
      <c r="I700" s="23">
        <v>7</v>
      </c>
      <c r="J700" s="14">
        <v>1</v>
      </c>
      <c r="L700" s="14">
        <v>0</v>
      </c>
      <c r="N700" s="24">
        <v>1</v>
      </c>
      <c r="P700" s="14">
        <v>0</v>
      </c>
      <c r="R700" s="14">
        <v>0</v>
      </c>
      <c r="T700" s="14" t="str">
        <f t="shared" si="10"/>
        <v>No</v>
      </c>
    </row>
    <row r="701" spans="1:20" s="14" customFormat="1" ht="11.25">
      <c r="A701" s="14" t="s">
        <v>1636</v>
      </c>
      <c r="B701" s="14" t="s">
        <v>1667</v>
      </c>
      <c r="C701" s="14" t="s">
        <v>62</v>
      </c>
      <c r="D701" s="169">
        <v>2222</v>
      </c>
      <c r="E701" s="170">
        <v>20222</v>
      </c>
      <c r="F701" s="14" t="s">
        <v>148</v>
      </c>
      <c r="G701" s="14" t="s">
        <v>1490</v>
      </c>
      <c r="H701" s="23">
        <v>18351295</v>
      </c>
      <c r="I701" s="23">
        <v>7</v>
      </c>
      <c r="J701" s="14">
        <v>0</v>
      </c>
      <c r="L701" s="14">
        <v>0</v>
      </c>
      <c r="N701" s="24">
        <v>0</v>
      </c>
      <c r="P701" s="14">
        <v>0</v>
      </c>
      <c r="R701" s="14">
        <v>0</v>
      </c>
      <c r="T701" s="14" t="str">
        <f t="shared" si="10"/>
        <v>No</v>
      </c>
    </row>
    <row r="702" spans="1:20" s="14" customFormat="1" ht="11.25">
      <c r="A702" s="14" t="s">
        <v>500</v>
      </c>
      <c r="B702" s="14" t="s">
        <v>501</v>
      </c>
      <c r="C702" s="14" t="s">
        <v>19</v>
      </c>
      <c r="D702" s="169">
        <v>9220</v>
      </c>
      <c r="E702" s="170">
        <v>90220</v>
      </c>
      <c r="F702" s="14" t="s">
        <v>152</v>
      </c>
      <c r="G702" s="14" t="s">
        <v>1490</v>
      </c>
      <c r="H702" s="23">
        <v>1723634</v>
      </c>
      <c r="I702" s="23">
        <v>7</v>
      </c>
      <c r="J702" s="14">
        <v>0</v>
      </c>
      <c r="L702" s="14">
        <v>0</v>
      </c>
      <c r="N702" s="24">
        <v>0</v>
      </c>
      <c r="P702" s="14">
        <v>0</v>
      </c>
      <c r="R702" s="14">
        <v>0</v>
      </c>
      <c r="T702" s="14" t="str">
        <f t="shared" si="10"/>
        <v>No</v>
      </c>
    </row>
    <row r="703" spans="1:20" s="14" customFormat="1" ht="11.25">
      <c r="A703" s="14" t="s">
        <v>1651</v>
      </c>
      <c r="B703" s="14" t="s">
        <v>1677</v>
      </c>
      <c r="C703" s="14" t="s">
        <v>52</v>
      </c>
      <c r="D703" s="169">
        <v>5220</v>
      </c>
      <c r="E703" s="170">
        <v>50517</v>
      </c>
      <c r="F703" s="14" t="s">
        <v>152</v>
      </c>
      <c r="G703" s="14" t="s">
        <v>149</v>
      </c>
      <c r="H703" s="23">
        <v>2650890</v>
      </c>
      <c r="I703" s="23">
        <v>7</v>
      </c>
      <c r="J703" s="14">
        <v>2</v>
      </c>
      <c r="L703" s="14">
        <v>0</v>
      </c>
      <c r="N703" s="24">
        <v>2</v>
      </c>
      <c r="P703" s="14">
        <v>1</v>
      </c>
      <c r="R703" s="14">
        <v>0</v>
      </c>
      <c r="T703" s="14" t="str">
        <f t="shared" si="10"/>
        <v>No</v>
      </c>
    </row>
    <row r="704" spans="1:20" s="14" customFormat="1" ht="11.25">
      <c r="A704" s="14" t="s">
        <v>368</v>
      </c>
      <c r="B704" s="14" t="s">
        <v>297</v>
      </c>
      <c r="C704" s="14" t="s">
        <v>10</v>
      </c>
      <c r="D704" s="169">
        <v>6105</v>
      </c>
      <c r="E704" s="170">
        <v>60105</v>
      </c>
      <c r="F704" s="14" t="s">
        <v>152</v>
      </c>
      <c r="G704" s="14" t="s">
        <v>1490</v>
      </c>
      <c r="H704" s="23">
        <v>55121</v>
      </c>
      <c r="I704" s="23">
        <v>6</v>
      </c>
      <c r="J704" s="14">
        <v>1</v>
      </c>
      <c r="L704" s="14">
        <v>0</v>
      </c>
      <c r="N704" s="24">
        <v>1</v>
      </c>
      <c r="P704" s="14">
        <v>0</v>
      </c>
      <c r="R704" s="14">
        <v>0</v>
      </c>
      <c r="T704" s="14" t="str">
        <f t="shared" si="10"/>
        <v>No</v>
      </c>
    </row>
    <row r="705" spans="1:20" s="14" customFormat="1" ht="11.25">
      <c r="A705" s="14" t="s">
        <v>1875</v>
      </c>
      <c r="B705" s="14" t="s">
        <v>758</v>
      </c>
      <c r="C705" s="14" t="s">
        <v>56</v>
      </c>
      <c r="D705" s="169" t="s">
        <v>759</v>
      </c>
      <c r="E705" s="170">
        <v>80018</v>
      </c>
      <c r="F705" s="14" t="s">
        <v>397</v>
      </c>
      <c r="G705" s="14" t="s">
        <v>1490</v>
      </c>
      <c r="H705" s="23">
        <v>0</v>
      </c>
      <c r="I705" s="23">
        <v>6</v>
      </c>
      <c r="J705" s="14">
        <v>0</v>
      </c>
      <c r="L705" s="14">
        <v>0</v>
      </c>
      <c r="N705" s="24">
        <v>0</v>
      </c>
      <c r="P705" s="14">
        <v>0</v>
      </c>
      <c r="R705" s="14">
        <v>0</v>
      </c>
      <c r="T705" s="14" t="str">
        <f t="shared" si="10"/>
        <v>No</v>
      </c>
    </row>
    <row r="706" spans="1:20" s="14" customFormat="1" ht="11.25">
      <c r="A706" s="14" t="s">
        <v>1767</v>
      </c>
      <c r="B706" s="14" t="s">
        <v>1768</v>
      </c>
      <c r="C706" s="14" t="s">
        <v>19</v>
      </c>
      <c r="D706" s="169"/>
      <c r="E706" s="170">
        <v>90262</v>
      </c>
      <c r="F706" s="14" t="s">
        <v>152</v>
      </c>
      <c r="G706" s="14" t="s">
        <v>1490</v>
      </c>
      <c r="H706" s="23">
        <v>12150996</v>
      </c>
      <c r="I706" s="23">
        <v>6</v>
      </c>
      <c r="J706" s="14">
        <v>0</v>
      </c>
      <c r="L706" s="14">
        <v>0</v>
      </c>
      <c r="N706" s="24">
        <v>0</v>
      </c>
      <c r="P706" s="14">
        <v>0</v>
      </c>
      <c r="R706" s="14">
        <v>0</v>
      </c>
      <c r="T706" s="14" t="str">
        <f t="shared" si="10"/>
        <v>No</v>
      </c>
    </row>
    <row r="707" spans="1:20" s="14" customFormat="1" ht="11.25">
      <c r="A707" s="14" t="s">
        <v>619</v>
      </c>
      <c r="B707" s="14" t="s">
        <v>620</v>
      </c>
      <c r="C707" s="14" t="s">
        <v>77</v>
      </c>
      <c r="D707" s="169">
        <v>4199</v>
      </c>
      <c r="E707" s="170">
        <v>40199</v>
      </c>
      <c r="F707" s="14" t="s">
        <v>152</v>
      </c>
      <c r="G707" s="14" t="s">
        <v>1490</v>
      </c>
      <c r="H707" s="23">
        <v>2148346</v>
      </c>
      <c r="I707" s="23">
        <v>6</v>
      </c>
      <c r="J707" s="14">
        <v>1</v>
      </c>
      <c r="L707" s="14">
        <v>0</v>
      </c>
      <c r="N707" s="24">
        <v>1</v>
      </c>
      <c r="P707" s="14">
        <v>0</v>
      </c>
      <c r="R707" s="14">
        <v>0</v>
      </c>
      <c r="T707" s="14" t="str">
        <f t="shared" ref="T707:T770" si="11">IF(S707&amp;Q707&amp;O707&amp;M707&amp;K707&lt;&gt;"","Yes","No")</f>
        <v>No</v>
      </c>
    </row>
    <row r="708" spans="1:20" s="14" customFormat="1" ht="11.25">
      <c r="A708" s="14" t="s">
        <v>384</v>
      </c>
      <c r="B708" s="14" t="s">
        <v>385</v>
      </c>
      <c r="C708" s="14" t="s">
        <v>77</v>
      </c>
      <c r="D708" s="169">
        <v>4122</v>
      </c>
      <c r="E708" s="170">
        <v>40122</v>
      </c>
      <c r="F708" s="14" t="s">
        <v>152</v>
      </c>
      <c r="G708" s="14" t="s">
        <v>1490</v>
      </c>
      <c r="H708" s="23">
        <v>2148346</v>
      </c>
      <c r="I708" s="23">
        <v>6</v>
      </c>
      <c r="J708" s="14">
        <v>2</v>
      </c>
      <c r="L708" s="14">
        <v>0</v>
      </c>
      <c r="N708" s="24">
        <v>2</v>
      </c>
      <c r="P708" s="14">
        <v>0</v>
      </c>
      <c r="R708" s="14">
        <v>0</v>
      </c>
      <c r="T708" s="14" t="str">
        <f t="shared" si="11"/>
        <v>No</v>
      </c>
    </row>
    <row r="709" spans="1:20" s="14" customFormat="1" ht="11.25">
      <c r="A709" s="14" t="s">
        <v>1763</v>
      </c>
      <c r="B709" s="14" t="s">
        <v>1764</v>
      </c>
      <c r="C709" s="14" t="s">
        <v>19</v>
      </c>
      <c r="D709" s="169"/>
      <c r="E709" s="170">
        <v>90253</v>
      </c>
      <c r="F709" s="14" t="s">
        <v>152</v>
      </c>
      <c r="G709" s="14" t="s">
        <v>1490</v>
      </c>
      <c r="H709" s="23">
        <v>12150996</v>
      </c>
      <c r="I709" s="23">
        <v>6</v>
      </c>
      <c r="J709" s="14">
        <v>0</v>
      </c>
      <c r="L709" s="14">
        <v>0</v>
      </c>
      <c r="N709" s="24">
        <v>0</v>
      </c>
      <c r="P709" s="14">
        <v>0</v>
      </c>
      <c r="R709" s="14">
        <v>0</v>
      </c>
      <c r="T709" s="14" t="str">
        <f t="shared" si="11"/>
        <v>No</v>
      </c>
    </row>
    <row r="710" spans="1:20" s="14" customFormat="1" ht="11.25">
      <c r="A710" s="14" t="s">
        <v>1752</v>
      </c>
      <c r="B710" s="14" t="s">
        <v>1753</v>
      </c>
      <c r="C710" s="14" t="s">
        <v>19</v>
      </c>
      <c r="D710" s="169"/>
      <c r="E710" s="170">
        <v>90251</v>
      </c>
      <c r="F710" s="14" t="s">
        <v>152</v>
      </c>
      <c r="G710" s="14" t="s">
        <v>1490</v>
      </c>
      <c r="H710" s="23">
        <v>12150996</v>
      </c>
      <c r="I710" s="23">
        <v>6</v>
      </c>
      <c r="J710" s="14">
        <v>1</v>
      </c>
      <c r="L710" s="14">
        <v>0</v>
      </c>
      <c r="N710" s="24">
        <v>1</v>
      </c>
      <c r="P710" s="14">
        <v>3</v>
      </c>
      <c r="R710" s="14">
        <v>0</v>
      </c>
      <c r="T710" s="14" t="str">
        <f t="shared" si="11"/>
        <v>No</v>
      </c>
    </row>
    <row r="711" spans="1:20" s="14" customFormat="1" ht="11.25">
      <c r="A711" s="14" t="s">
        <v>1876</v>
      </c>
      <c r="B711" s="14" t="s">
        <v>603</v>
      </c>
      <c r="C711" s="14" t="s">
        <v>73</v>
      </c>
      <c r="D711" s="169" t="s">
        <v>604</v>
      </c>
      <c r="E711" s="170">
        <v>66194</v>
      </c>
      <c r="F711" s="14" t="s">
        <v>397</v>
      </c>
      <c r="G711" s="14" t="s">
        <v>1490</v>
      </c>
      <c r="H711" s="23">
        <v>0</v>
      </c>
      <c r="I711" s="23">
        <v>6</v>
      </c>
      <c r="J711" s="14">
        <v>0</v>
      </c>
      <c r="L711" s="14">
        <v>0</v>
      </c>
      <c r="N711" s="24">
        <v>0</v>
      </c>
      <c r="P711" s="14">
        <v>0</v>
      </c>
      <c r="R711" s="14">
        <v>0</v>
      </c>
      <c r="T711" s="14" t="str">
        <f t="shared" si="11"/>
        <v>No</v>
      </c>
    </row>
    <row r="712" spans="1:20" s="14" customFormat="1" ht="11.25">
      <c r="A712" s="14" t="s">
        <v>639</v>
      </c>
      <c r="B712" s="14" t="s">
        <v>640</v>
      </c>
      <c r="C712" s="14" t="s">
        <v>75</v>
      </c>
      <c r="D712" s="169">
        <v>3077</v>
      </c>
      <c r="E712" s="170">
        <v>30077</v>
      </c>
      <c r="F712" s="14" t="s">
        <v>152</v>
      </c>
      <c r="G712" s="14" t="s">
        <v>149</v>
      </c>
      <c r="H712" s="23">
        <v>107682</v>
      </c>
      <c r="I712" s="23">
        <v>6</v>
      </c>
      <c r="J712" s="14">
        <v>1</v>
      </c>
      <c r="L712" s="14">
        <v>0</v>
      </c>
      <c r="N712" s="24">
        <v>1</v>
      </c>
      <c r="P712" s="14">
        <v>0</v>
      </c>
      <c r="R712" s="14">
        <v>0</v>
      </c>
      <c r="T712" s="14" t="str">
        <f t="shared" si="11"/>
        <v>No</v>
      </c>
    </row>
    <row r="713" spans="1:20" s="14" customFormat="1" ht="11.25">
      <c r="A713" s="14" t="s">
        <v>419</v>
      </c>
      <c r="B713" s="14" t="s">
        <v>420</v>
      </c>
      <c r="C713" s="14" t="s">
        <v>67</v>
      </c>
      <c r="D713" s="169" t="s">
        <v>421</v>
      </c>
      <c r="E713" s="170">
        <v>66152</v>
      </c>
      <c r="F713" s="14" t="s">
        <v>397</v>
      </c>
      <c r="G713" s="14" t="s">
        <v>1490</v>
      </c>
      <c r="H713" s="23">
        <v>0</v>
      </c>
      <c r="I713" s="23">
        <v>6</v>
      </c>
      <c r="J713" s="14">
        <v>0</v>
      </c>
      <c r="L713" s="14">
        <v>0</v>
      </c>
      <c r="N713" s="24">
        <v>0</v>
      </c>
      <c r="P713" s="14">
        <v>0</v>
      </c>
      <c r="R713" s="14">
        <v>0</v>
      </c>
      <c r="T713" s="14" t="str">
        <f t="shared" si="11"/>
        <v>No</v>
      </c>
    </row>
    <row r="714" spans="1:20" s="14" customFormat="1" ht="11.25">
      <c r="A714" s="14" t="s">
        <v>605</v>
      </c>
      <c r="B714" s="14" t="s">
        <v>606</v>
      </c>
      <c r="C714" s="14" t="s">
        <v>67</v>
      </c>
      <c r="D714" s="169" t="s">
        <v>607</v>
      </c>
      <c r="E714" s="170">
        <v>60620</v>
      </c>
      <c r="F714" s="14" t="s">
        <v>397</v>
      </c>
      <c r="G714" s="14" t="s">
        <v>1490</v>
      </c>
      <c r="H714" s="23">
        <v>0</v>
      </c>
      <c r="I714" s="23">
        <v>6</v>
      </c>
      <c r="J714" s="14">
        <v>0</v>
      </c>
      <c r="L714" s="14">
        <v>0</v>
      </c>
      <c r="N714" s="24">
        <v>0</v>
      </c>
      <c r="P714" s="14">
        <v>0</v>
      </c>
      <c r="R714" s="14">
        <v>0</v>
      </c>
      <c r="T714" s="14" t="str">
        <f t="shared" si="11"/>
        <v>No</v>
      </c>
    </row>
    <row r="715" spans="1:20" s="14" customFormat="1" ht="11.25">
      <c r="A715" s="14" t="s">
        <v>688</v>
      </c>
      <c r="B715" s="14" t="s">
        <v>689</v>
      </c>
      <c r="C715" s="14" t="s">
        <v>56</v>
      </c>
      <c r="D715" s="169" t="s">
        <v>690</v>
      </c>
      <c r="E715" s="170">
        <v>88188</v>
      </c>
      <c r="F715" s="14" t="s">
        <v>397</v>
      </c>
      <c r="G715" s="14" t="s">
        <v>1490</v>
      </c>
      <c r="H715" s="23">
        <v>0</v>
      </c>
      <c r="I715" s="23">
        <v>6</v>
      </c>
      <c r="J715" s="14">
        <v>0</v>
      </c>
      <c r="L715" s="14">
        <v>0</v>
      </c>
      <c r="N715" s="24">
        <v>0</v>
      </c>
      <c r="P715" s="14">
        <v>0</v>
      </c>
      <c r="R715" s="14">
        <v>0</v>
      </c>
      <c r="T715" s="14" t="str">
        <f t="shared" si="11"/>
        <v>No</v>
      </c>
    </row>
    <row r="716" spans="1:20" s="14" customFormat="1" ht="11.25">
      <c r="A716" s="14" t="s">
        <v>1766</v>
      </c>
      <c r="B716" s="14" t="s">
        <v>1327</v>
      </c>
      <c r="C716" s="14" t="s">
        <v>69</v>
      </c>
      <c r="D716" s="169">
        <v>2179</v>
      </c>
      <c r="E716" s="170">
        <v>20179</v>
      </c>
      <c r="F716" s="14" t="s">
        <v>323</v>
      </c>
      <c r="G716" s="14" t="s">
        <v>1490</v>
      </c>
      <c r="H716" s="23">
        <v>423566</v>
      </c>
      <c r="I716" s="23">
        <v>6</v>
      </c>
      <c r="J716" s="14">
        <v>0</v>
      </c>
      <c r="L716" s="14">
        <v>0</v>
      </c>
      <c r="N716" s="24">
        <v>0</v>
      </c>
      <c r="P716" s="14">
        <v>0</v>
      </c>
      <c r="R716" s="14">
        <v>0</v>
      </c>
      <c r="T716" s="14" t="str">
        <f t="shared" si="11"/>
        <v>No</v>
      </c>
    </row>
    <row r="717" spans="1:20" s="14" customFormat="1" ht="11.25">
      <c r="A717" s="14" t="s">
        <v>1003</v>
      </c>
      <c r="B717" s="14" t="s">
        <v>1004</v>
      </c>
      <c r="C717" s="14" t="s">
        <v>69</v>
      </c>
      <c r="D717" s="169">
        <v>2120</v>
      </c>
      <c r="E717" s="170">
        <v>20120</v>
      </c>
      <c r="F717" s="14" t="s">
        <v>152</v>
      </c>
      <c r="G717" s="14" t="s">
        <v>1490</v>
      </c>
      <c r="H717" s="23">
        <v>65443</v>
      </c>
      <c r="I717" s="23">
        <v>6</v>
      </c>
      <c r="J717" s="14">
        <v>0</v>
      </c>
      <c r="L717" s="14">
        <v>0</v>
      </c>
      <c r="N717" s="24">
        <v>0</v>
      </c>
      <c r="P717" s="14">
        <v>0</v>
      </c>
      <c r="R717" s="14">
        <v>0</v>
      </c>
      <c r="T717" s="14" t="str">
        <f t="shared" si="11"/>
        <v>No</v>
      </c>
    </row>
    <row r="718" spans="1:20" s="14" customFormat="1" ht="11.25">
      <c r="A718" s="14" t="s">
        <v>725</v>
      </c>
      <c r="B718" s="14" t="s">
        <v>726</v>
      </c>
      <c r="C718" s="14" t="s">
        <v>44</v>
      </c>
      <c r="D718" s="169">
        <v>6127</v>
      </c>
      <c r="E718" s="170">
        <v>60127</v>
      </c>
      <c r="F718" s="14" t="s">
        <v>152</v>
      </c>
      <c r="G718" s="14" t="s">
        <v>149</v>
      </c>
      <c r="H718" s="23">
        <v>899703</v>
      </c>
      <c r="I718" s="23">
        <v>6</v>
      </c>
      <c r="J718" s="14">
        <v>4</v>
      </c>
      <c r="L718" s="14">
        <v>0</v>
      </c>
      <c r="N718" s="24">
        <v>4</v>
      </c>
      <c r="P718" s="14">
        <v>0</v>
      </c>
      <c r="R718" s="14">
        <v>0</v>
      </c>
      <c r="T718" s="14" t="str">
        <f t="shared" si="11"/>
        <v>No</v>
      </c>
    </row>
    <row r="719" spans="1:20" s="14" customFormat="1" ht="11.25">
      <c r="A719" s="14" t="s">
        <v>1364</v>
      </c>
      <c r="B719" s="14" t="s">
        <v>1365</v>
      </c>
      <c r="C719" s="14" t="s">
        <v>95</v>
      </c>
      <c r="D719" s="169">
        <v>3066</v>
      </c>
      <c r="E719" s="170">
        <v>30066</v>
      </c>
      <c r="F719" s="14" t="s">
        <v>348</v>
      </c>
      <c r="G719" s="14" t="s">
        <v>1490</v>
      </c>
      <c r="H719" s="23">
        <v>70889</v>
      </c>
      <c r="I719" s="23">
        <v>6</v>
      </c>
      <c r="J719" s="14">
        <v>1</v>
      </c>
      <c r="L719" s="14">
        <v>0</v>
      </c>
      <c r="N719" s="24">
        <v>1</v>
      </c>
      <c r="P719" s="14">
        <v>1</v>
      </c>
      <c r="R719" s="14">
        <v>0</v>
      </c>
      <c r="T719" s="14" t="str">
        <f t="shared" si="11"/>
        <v>No</v>
      </c>
    </row>
    <row r="720" spans="1:20" s="14" customFormat="1" ht="11.25">
      <c r="A720" s="14" t="s">
        <v>477</v>
      </c>
      <c r="B720" s="14" t="s">
        <v>478</v>
      </c>
      <c r="C720" s="14" t="s">
        <v>74</v>
      </c>
      <c r="D720" s="169" t="s">
        <v>479</v>
      </c>
      <c r="E720" s="170">
        <v>10</v>
      </c>
      <c r="F720" s="14" t="s">
        <v>397</v>
      </c>
      <c r="G720" s="14" t="s">
        <v>1490</v>
      </c>
      <c r="H720" s="23">
        <v>0</v>
      </c>
      <c r="I720" s="23">
        <v>6</v>
      </c>
      <c r="J720" s="14">
        <v>0</v>
      </c>
      <c r="L720" s="14">
        <v>0</v>
      </c>
      <c r="N720" s="24">
        <v>0</v>
      </c>
      <c r="P720" s="14">
        <v>0</v>
      </c>
      <c r="R720" s="14">
        <v>0</v>
      </c>
      <c r="T720" s="14" t="str">
        <f t="shared" si="11"/>
        <v>No</v>
      </c>
    </row>
    <row r="721" spans="1:20" s="14" customFormat="1" ht="11.25">
      <c r="A721" s="14" t="s">
        <v>1434</v>
      </c>
      <c r="B721" s="14" t="s">
        <v>147</v>
      </c>
      <c r="C721" s="14" t="s">
        <v>69</v>
      </c>
      <c r="D721" s="169">
        <v>2175</v>
      </c>
      <c r="E721" s="170">
        <v>20175</v>
      </c>
      <c r="F721" s="14" t="s">
        <v>148</v>
      </c>
      <c r="G721" s="14" t="s">
        <v>149</v>
      </c>
      <c r="H721" s="23">
        <v>18351295</v>
      </c>
      <c r="I721" s="23">
        <v>6</v>
      </c>
      <c r="J721" s="14">
        <v>0</v>
      </c>
      <c r="L721" s="14">
        <v>0</v>
      </c>
      <c r="N721" s="24">
        <v>0</v>
      </c>
      <c r="P721" s="14">
        <v>0</v>
      </c>
      <c r="R721" s="14">
        <v>0</v>
      </c>
      <c r="T721" s="14" t="str">
        <f t="shared" si="11"/>
        <v>No</v>
      </c>
    </row>
    <row r="722" spans="1:20" s="14" customFormat="1" ht="11.25">
      <c r="A722" s="14" t="s">
        <v>1194</v>
      </c>
      <c r="B722" s="14" t="s">
        <v>202</v>
      </c>
      <c r="C722" s="14" t="s">
        <v>10</v>
      </c>
      <c r="D722" s="169">
        <v>6034</v>
      </c>
      <c r="E722" s="170">
        <v>60034</v>
      </c>
      <c r="F722" s="14" t="s">
        <v>152</v>
      </c>
      <c r="G722" s="14" t="s">
        <v>1490</v>
      </c>
      <c r="H722" s="23">
        <v>53495</v>
      </c>
      <c r="I722" s="23">
        <v>6</v>
      </c>
      <c r="J722" s="14">
        <v>1</v>
      </c>
      <c r="L722" s="14">
        <v>0</v>
      </c>
      <c r="N722" s="24">
        <v>1</v>
      </c>
      <c r="P722" s="14">
        <v>0</v>
      </c>
      <c r="R722" s="14">
        <v>0</v>
      </c>
      <c r="T722" s="14" t="str">
        <f t="shared" si="11"/>
        <v>No</v>
      </c>
    </row>
    <row r="723" spans="1:20" s="14" customFormat="1" ht="11.25">
      <c r="A723" s="14" t="s">
        <v>825</v>
      </c>
      <c r="B723" s="14" t="s">
        <v>345</v>
      </c>
      <c r="C723" s="14" t="s">
        <v>69</v>
      </c>
      <c r="D723" s="169">
        <v>2215</v>
      </c>
      <c r="E723" s="170">
        <v>20215</v>
      </c>
      <c r="F723" s="14" t="s">
        <v>152</v>
      </c>
      <c r="G723" s="14" t="s">
        <v>1490</v>
      </c>
      <c r="H723" s="23">
        <v>57840</v>
      </c>
      <c r="I723" s="23">
        <v>5</v>
      </c>
      <c r="J723" s="14">
        <v>0</v>
      </c>
      <c r="L723" s="14">
        <v>0</v>
      </c>
      <c r="N723" s="24">
        <v>0</v>
      </c>
      <c r="P723" s="14">
        <v>0</v>
      </c>
      <c r="R723" s="14">
        <v>0</v>
      </c>
      <c r="T723" s="14" t="str">
        <f t="shared" si="11"/>
        <v>No</v>
      </c>
    </row>
    <row r="724" spans="1:20" s="14" customFormat="1" ht="11.25">
      <c r="A724" s="14" t="s">
        <v>823</v>
      </c>
      <c r="B724" s="14" t="s">
        <v>824</v>
      </c>
      <c r="C724" s="14" t="s">
        <v>69</v>
      </c>
      <c r="D724" s="169">
        <v>2214</v>
      </c>
      <c r="E724" s="170">
        <v>20214</v>
      </c>
      <c r="F724" s="14" t="s">
        <v>152</v>
      </c>
      <c r="G724" s="14" t="s">
        <v>1490</v>
      </c>
      <c r="H724" s="23">
        <v>423566</v>
      </c>
      <c r="I724" s="23">
        <v>5</v>
      </c>
      <c r="J724" s="14">
        <v>0</v>
      </c>
      <c r="L724" s="14">
        <v>0</v>
      </c>
      <c r="N724" s="24">
        <v>0</v>
      </c>
      <c r="P724" s="14">
        <v>0</v>
      </c>
      <c r="R724" s="14">
        <v>0</v>
      </c>
      <c r="T724" s="14" t="str">
        <f t="shared" si="11"/>
        <v>No</v>
      </c>
    </row>
    <row r="725" spans="1:20" s="14" customFormat="1" ht="11.25">
      <c r="A725" s="14" t="s">
        <v>1769</v>
      </c>
      <c r="B725" s="14" t="s">
        <v>1770</v>
      </c>
      <c r="C725" s="14" t="s">
        <v>32</v>
      </c>
      <c r="D725" s="169"/>
      <c r="E725" s="170">
        <v>40262</v>
      </c>
      <c r="F725" s="14" t="s">
        <v>152</v>
      </c>
      <c r="G725" s="14" t="s">
        <v>1490</v>
      </c>
      <c r="H725" s="23">
        <v>5502379</v>
      </c>
      <c r="I725" s="23">
        <v>5</v>
      </c>
      <c r="J725" s="14">
        <v>1</v>
      </c>
      <c r="L725" s="14">
        <v>0</v>
      </c>
      <c r="N725" s="24">
        <v>1</v>
      </c>
      <c r="P725" s="14">
        <v>0</v>
      </c>
      <c r="R725" s="14">
        <v>0</v>
      </c>
      <c r="T725" s="14" t="str">
        <f t="shared" si="11"/>
        <v>No</v>
      </c>
    </row>
    <row r="726" spans="1:20" s="14" customFormat="1" ht="11.25">
      <c r="A726" s="14" t="s">
        <v>1877</v>
      </c>
      <c r="B726" s="14" t="s">
        <v>777</v>
      </c>
      <c r="C726" s="14" t="s">
        <v>51</v>
      </c>
      <c r="D726" s="169">
        <v>5213</v>
      </c>
      <c r="E726" s="170">
        <v>50213</v>
      </c>
      <c r="F726" s="14" t="s">
        <v>197</v>
      </c>
      <c r="G726" s="14" t="s">
        <v>149</v>
      </c>
      <c r="H726" s="23">
        <v>3734090</v>
      </c>
      <c r="I726" s="23">
        <v>5</v>
      </c>
      <c r="J726" s="14">
        <v>0</v>
      </c>
      <c r="L726" s="14">
        <v>0</v>
      </c>
      <c r="N726" s="24">
        <v>0</v>
      </c>
      <c r="P726" s="14">
        <v>0</v>
      </c>
      <c r="R726" s="14">
        <v>0</v>
      </c>
      <c r="T726" s="14" t="str">
        <f t="shared" si="11"/>
        <v>No</v>
      </c>
    </row>
    <row r="727" spans="1:20" s="14" customFormat="1" ht="11.25">
      <c r="A727" s="14" t="s">
        <v>316</v>
      </c>
      <c r="B727" s="14" t="s">
        <v>317</v>
      </c>
      <c r="C727" s="14" t="s">
        <v>77</v>
      </c>
      <c r="D727" s="169">
        <v>4151</v>
      </c>
      <c r="E727" s="170">
        <v>40151</v>
      </c>
      <c r="F727" s="14" t="s">
        <v>152</v>
      </c>
      <c r="G727" s="14" t="s">
        <v>1490</v>
      </c>
      <c r="H727" s="23">
        <v>139171</v>
      </c>
      <c r="I727" s="23">
        <v>5</v>
      </c>
      <c r="J727" s="14">
        <v>2</v>
      </c>
      <c r="L727" s="14">
        <v>0</v>
      </c>
      <c r="N727" s="24">
        <v>2</v>
      </c>
      <c r="P727" s="14">
        <v>0</v>
      </c>
      <c r="R727" s="14">
        <v>0</v>
      </c>
      <c r="T727" s="14" t="str">
        <f t="shared" si="11"/>
        <v>No</v>
      </c>
    </row>
    <row r="728" spans="1:20" s="14" customFormat="1" ht="11.25">
      <c r="A728" s="14" t="s">
        <v>1391</v>
      </c>
      <c r="B728" s="14" t="s">
        <v>1392</v>
      </c>
      <c r="C728" s="14" t="s">
        <v>77</v>
      </c>
      <c r="D728" s="169">
        <v>4121</v>
      </c>
      <c r="E728" s="170">
        <v>40121</v>
      </c>
      <c r="F728" s="14" t="s">
        <v>152</v>
      </c>
      <c r="G728" s="14" t="s">
        <v>1490</v>
      </c>
      <c r="H728" s="23">
        <v>109572</v>
      </c>
      <c r="I728" s="23">
        <v>5</v>
      </c>
      <c r="J728" s="14">
        <v>0</v>
      </c>
      <c r="L728" s="14">
        <v>0</v>
      </c>
      <c r="N728" s="24">
        <v>0</v>
      </c>
      <c r="P728" s="14">
        <v>0</v>
      </c>
      <c r="R728" s="14">
        <v>0</v>
      </c>
      <c r="T728" s="14" t="str">
        <f t="shared" si="11"/>
        <v>No</v>
      </c>
    </row>
    <row r="729" spans="1:20" s="14" customFormat="1" ht="11.25">
      <c r="A729" s="14" t="s">
        <v>859</v>
      </c>
      <c r="B729" s="14" t="s">
        <v>860</v>
      </c>
      <c r="C729" s="14" t="s">
        <v>71</v>
      </c>
      <c r="D729" s="169">
        <v>5019</v>
      </c>
      <c r="E729" s="170">
        <v>50019</v>
      </c>
      <c r="F729" s="14" t="s">
        <v>152</v>
      </c>
      <c r="G729" s="14" t="s">
        <v>1490</v>
      </c>
      <c r="H729" s="23">
        <v>97503</v>
      </c>
      <c r="I729" s="23">
        <v>5</v>
      </c>
      <c r="J729" s="14">
        <v>1</v>
      </c>
      <c r="L729" s="14">
        <v>0</v>
      </c>
      <c r="N729" s="24">
        <v>1</v>
      </c>
      <c r="P729" s="14">
        <v>0</v>
      </c>
      <c r="R729" s="14">
        <v>0</v>
      </c>
      <c r="T729" s="14" t="str">
        <f t="shared" si="11"/>
        <v>No</v>
      </c>
    </row>
    <row r="730" spans="1:20" s="14" customFormat="1" ht="11.25">
      <c r="A730" s="14" t="s">
        <v>1878</v>
      </c>
      <c r="B730" s="14" t="s">
        <v>1001</v>
      </c>
      <c r="C730" s="14" t="s">
        <v>45</v>
      </c>
      <c r="D730" s="169"/>
      <c r="E730" s="170">
        <v>11159</v>
      </c>
      <c r="F730" s="14" t="s">
        <v>148</v>
      </c>
      <c r="G730" s="14" t="s">
        <v>1490</v>
      </c>
      <c r="H730" s="23">
        <v>4181019</v>
      </c>
      <c r="I730" s="23">
        <v>5</v>
      </c>
      <c r="J730" s="14">
        <v>1</v>
      </c>
      <c r="L730" s="14">
        <v>0</v>
      </c>
      <c r="N730" s="24">
        <v>1</v>
      </c>
      <c r="P730" s="14">
        <v>0</v>
      </c>
      <c r="R730" s="14">
        <v>0</v>
      </c>
      <c r="T730" s="14" t="str">
        <f t="shared" si="11"/>
        <v>No</v>
      </c>
    </row>
    <row r="731" spans="1:20" s="14" customFormat="1" ht="11.25">
      <c r="A731" s="14" t="s">
        <v>538</v>
      </c>
      <c r="B731" s="14" t="s">
        <v>539</v>
      </c>
      <c r="C731" s="14" t="s">
        <v>69</v>
      </c>
      <c r="D731" s="169">
        <v>2191</v>
      </c>
      <c r="E731" s="170">
        <v>20191</v>
      </c>
      <c r="F731" s="14" t="s">
        <v>152</v>
      </c>
      <c r="G731" s="14" t="s">
        <v>1490</v>
      </c>
      <c r="H731" s="23">
        <v>57442</v>
      </c>
      <c r="I731" s="23">
        <v>5</v>
      </c>
      <c r="J731" s="14">
        <v>0</v>
      </c>
      <c r="L731" s="14">
        <v>0</v>
      </c>
      <c r="N731" s="24">
        <v>0</v>
      </c>
      <c r="P731" s="14">
        <v>0</v>
      </c>
      <c r="R731" s="14">
        <v>0</v>
      </c>
      <c r="T731" s="14" t="str">
        <f t="shared" si="11"/>
        <v>No</v>
      </c>
    </row>
    <row r="732" spans="1:20" s="14" customFormat="1" ht="11.25">
      <c r="A732" s="14" t="s">
        <v>1632</v>
      </c>
      <c r="B732" s="14" t="s">
        <v>1664</v>
      </c>
      <c r="C732" s="14" t="s">
        <v>29</v>
      </c>
      <c r="D732" s="169" t="s">
        <v>1631</v>
      </c>
      <c r="E732" s="170">
        <v>11152</v>
      </c>
      <c r="F732" s="14" t="s">
        <v>397</v>
      </c>
      <c r="G732" s="14" t="s">
        <v>1490</v>
      </c>
      <c r="H732" s="23">
        <v>0</v>
      </c>
      <c r="I732" s="23">
        <v>5</v>
      </c>
      <c r="J732" s="14">
        <v>0</v>
      </c>
      <c r="L732" s="14">
        <v>0</v>
      </c>
      <c r="N732" s="24">
        <v>0</v>
      </c>
      <c r="P732" s="14">
        <v>0</v>
      </c>
      <c r="R732" s="14">
        <v>0</v>
      </c>
      <c r="T732" s="14" t="str">
        <f t="shared" si="11"/>
        <v>No</v>
      </c>
    </row>
    <row r="733" spans="1:20" s="14" customFormat="1" ht="11.25">
      <c r="A733" s="14" t="s">
        <v>1779</v>
      </c>
      <c r="B733" s="14" t="s">
        <v>1780</v>
      </c>
      <c r="C733" s="14" t="s">
        <v>32</v>
      </c>
      <c r="D733" s="169"/>
      <c r="E733" s="170">
        <v>40249</v>
      </c>
      <c r="F733" s="14" t="s">
        <v>152</v>
      </c>
      <c r="G733" s="14" t="s">
        <v>1490</v>
      </c>
      <c r="H733" s="23">
        <v>5502379</v>
      </c>
      <c r="I733" s="23">
        <v>5</v>
      </c>
      <c r="J733" s="14">
        <v>0</v>
      </c>
      <c r="L733" s="14">
        <v>0</v>
      </c>
      <c r="N733" s="24">
        <v>0</v>
      </c>
      <c r="P733" s="14">
        <v>0</v>
      </c>
      <c r="R733" s="14">
        <v>0</v>
      </c>
      <c r="T733" s="14" t="str">
        <f t="shared" si="11"/>
        <v>No</v>
      </c>
    </row>
    <row r="734" spans="1:20" s="14" customFormat="1" ht="11.25">
      <c r="A734" s="14" t="s">
        <v>436</v>
      </c>
      <c r="B734" s="14" t="s">
        <v>437</v>
      </c>
      <c r="C734" s="14" t="s">
        <v>88</v>
      </c>
      <c r="D734" s="169" t="s">
        <v>438</v>
      </c>
      <c r="E734" s="170">
        <v>111</v>
      </c>
      <c r="F734" s="14" t="s">
        <v>397</v>
      </c>
      <c r="G734" s="14" t="s">
        <v>1490</v>
      </c>
      <c r="H734" s="23">
        <v>0</v>
      </c>
      <c r="I734" s="23">
        <v>5</v>
      </c>
      <c r="J734" s="14">
        <v>0</v>
      </c>
      <c r="L734" s="14">
        <v>0</v>
      </c>
      <c r="N734" s="24">
        <v>0</v>
      </c>
      <c r="P734" s="14">
        <v>0</v>
      </c>
      <c r="R734" s="14">
        <v>0</v>
      </c>
      <c r="T734" s="14" t="str">
        <f t="shared" si="11"/>
        <v>No</v>
      </c>
    </row>
    <row r="735" spans="1:20" s="14" customFormat="1" ht="11.25">
      <c r="A735" s="14" t="s">
        <v>1771</v>
      </c>
      <c r="B735" s="14" t="s">
        <v>1772</v>
      </c>
      <c r="C735" s="14" t="s">
        <v>19</v>
      </c>
      <c r="D735" s="169"/>
      <c r="E735" s="170">
        <v>90289</v>
      </c>
      <c r="F735" s="14" t="s">
        <v>152</v>
      </c>
      <c r="G735" s="14" t="s">
        <v>1490</v>
      </c>
      <c r="H735" s="23">
        <v>12150996</v>
      </c>
      <c r="I735" s="23">
        <v>5</v>
      </c>
      <c r="J735" s="14">
        <v>0</v>
      </c>
      <c r="L735" s="14">
        <v>0</v>
      </c>
      <c r="N735" s="24">
        <v>0</v>
      </c>
      <c r="P735" s="14">
        <v>0</v>
      </c>
      <c r="R735" s="14">
        <v>0</v>
      </c>
      <c r="T735" s="14" t="str">
        <f t="shared" si="11"/>
        <v>No</v>
      </c>
    </row>
    <row r="736" spans="1:20" s="14" customFormat="1" ht="11.25">
      <c r="A736" s="14" t="s">
        <v>1292</v>
      </c>
      <c r="B736" s="14" t="s">
        <v>1293</v>
      </c>
      <c r="C736" s="14" t="s">
        <v>44</v>
      </c>
      <c r="D736" s="169">
        <v>6058</v>
      </c>
      <c r="E736" s="170">
        <v>60058</v>
      </c>
      <c r="F736" s="14" t="s">
        <v>152</v>
      </c>
      <c r="G736" s="14" t="s">
        <v>1490</v>
      </c>
      <c r="H736" s="23">
        <v>899703</v>
      </c>
      <c r="I736" s="23">
        <v>5</v>
      </c>
      <c r="J736" s="14">
        <v>0</v>
      </c>
      <c r="L736" s="14">
        <v>0</v>
      </c>
      <c r="N736" s="24">
        <v>0</v>
      </c>
      <c r="P736" s="14">
        <v>0</v>
      </c>
      <c r="R736" s="14">
        <v>0</v>
      </c>
      <c r="T736" s="14" t="str">
        <f t="shared" si="11"/>
        <v>No</v>
      </c>
    </row>
    <row r="737" spans="1:20" s="14" customFormat="1" ht="11.25">
      <c r="A737" s="14" t="s">
        <v>600</v>
      </c>
      <c r="B737" s="14" t="s">
        <v>601</v>
      </c>
      <c r="C737" s="14" t="s">
        <v>52</v>
      </c>
      <c r="D737" s="169" t="s">
        <v>602</v>
      </c>
      <c r="E737" s="170">
        <v>55246</v>
      </c>
      <c r="F737" s="14" t="s">
        <v>397</v>
      </c>
      <c r="G737" s="14" t="s">
        <v>1490</v>
      </c>
      <c r="H737" s="23">
        <v>0</v>
      </c>
      <c r="I737" s="23">
        <v>5</v>
      </c>
      <c r="J737" s="14">
        <v>0</v>
      </c>
      <c r="L737" s="14">
        <v>0</v>
      </c>
      <c r="N737" s="24">
        <v>0</v>
      </c>
      <c r="P737" s="14">
        <v>0</v>
      </c>
      <c r="R737" s="14">
        <v>0</v>
      </c>
      <c r="T737" s="14" t="str">
        <f t="shared" si="11"/>
        <v>No</v>
      </c>
    </row>
    <row r="738" spans="1:20" s="14" customFormat="1" ht="11.25">
      <c r="A738" s="14" t="s">
        <v>1023</v>
      </c>
      <c r="B738" s="14" t="s">
        <v>305</v>
      </c>
      <c r="C738" s="14" t="s">
        <v>43</v>
      </c>
      <c r="D738" s="169">
        <v>5107</v>
      </c>
      <c r="E738" s="170">
        <v>50107</v>
      </c>
      <c r="F738" s="14" t="s">
        <v>152</v>
      </c>
      <c r="G738" s="14" t="s">
        <v>1490</v>
      </c>
      <c r="H738" s="23">
        <v>229351</v>
      </c>
      <c r="I738" s="23">
        <v>5</v>
      </c>
      <c r="J738" s="14">
        <v>0</v>
      </c>
      <c r="L738" s="14">
        <v>0</v>
      </c>
      <c r="N738" s="24">
        <v>0</v>
      </c>
      <c r="P738" s="14">
        <v>0</v>
      </c>
      <c r="R738" s="14">
        <v>0</v>
      </c>
      <c r="T738" s="14" t="str">
        <f t="shared" si="11"/>
        <v>No</v>
      </c>
    </row>
    <row r="739" spans="1:20" s="14" customFormat="1" ht="11.25">
      <c r="A739" s="14" t="s">
        <v>401</v>
      </c>
      <c r="B739" s="14" t="s">
        <v>402</v>
      </c>
      <c r="C739" s="14" t="s">
        <v>9</v>
      </c>
      <c r="D739" s="169" t="s">
        <v>403</v>
      </c>
      <c r="E739" s="170">
        <v>85</v>
      </c>
      <c r="F739" s="14" t="s">
        <v>397</v>
      </c>
      <c r="G739" s="14" t="s">
        <v>1490</v>
      </c>
      <c r="H739" s="23">
        <v>0</v>
      </c>
      <c r="I739" s="23">
        <v>5</v>
      </c>
      <c r="J739" s="14">
        <v>0</v>
      </c>
      <c r="L739" s="14">
        <v>0</v>
      </c>
      <c r="N739" s="24">
        <v>0</v>
      </c>
      <c r="P739" s="14">
        <v>0</v>
      </c>
      <c r="R739" s="14">
        <v>0</v>
      </c>
      <c r="T739" s="14" t="str">
        <f t="shared" si="11"/>
        <v>No</v>
      </c>
    </row>
    <row r="740" spans="1:20" s="14" customFormat="1" ht="11.25">
      <c r="A740" s="14" t="s">
        <v>136</v>
      </c>
      <c r="B740" s="14" t="s">
        <v>803</v>
      </c>
      <c r="C740" s="14" t="s">
        <v>54</v>
      </c>
      <c r="D740" s="169">
        <v>7050</v>
      </c>
      <c r="E740" s="170">
        <v>70050</v>
      </c>
      <c r="F740" s="14" t="s">
        <v>98</v>
      </c>
      <c r="G740" s="14" t="s">
        <v>1490</v>
      </c>
      <c r="H740" s="23">
        <v>52900</v>
      </c>
      <c r="I740" s="23">
        <v>5</v>
      </c>
      <c r="J740" s="14">
        <v>1</v>
      </c>
      <c r="L740" s="14">
        <v>0</v>
      </c>
      <c r="N740" s="24">
        <v>1</v>
      </c>
      <c r="P740" s="14">
        <v>0</v>
      </c>
      <c r="R740" s="14">
        <v>0</v>
      </c>
      <c r="T740" s="14" t="str">
        <f t="shared" si="11"/>
        <v>No</v>
      </c>
    </row>
    <row r="741" spans="1:20" s="14" customFormat="1" ht="11.25">
      <c r="A741" s="14" t="s">
        <v>499</v>
      </c>
      <c r="B741" s="14" t="s">
        <v>298</v>
      </c>
      <c r="C741" s="14" t="s">
        <v>56</v>
      </c>
      <c r="D741" s="169">
        <v>8107</v>
      </c>
      <c r="E741" s="170">
        <v>80107</v>
      </c>
      <c r="F741" s="14" t="s">
        <v>98</v>
      </c>
      <c r="G741" s="14" t="s">
        <v>149</v>
      </c>
      <c r="H741" s="23">
        <v>82157</v>
      </c>
      <c r="I741" s="23">
        <v>5</v>
      </c>
      <c r="J741" s="14">
        <v>0</v>
      </c>
      <c r="L741" s="14">
        <v>0</v>
      </c>
      <c r="N741" s="24">
        <v>0</v>
      </c>
      <c r="P741" s="14">
        <v>0</v>
      </c>
      <c r="R741" s="14">
        <v>0</v>
      </c>
      <c r="T741" s="14" t="str">
        <f t="shared" si="11"/>
        <v>No</v>
      </c>
    </row>
    <row r="742" spans="1:20" s="14" customFormat="1" ht="11.25">
      <c r="A742" s="14" t="s">
        <v>1879</v>
      </c>
      <c r="B742" s="14" t="s">
        <v>1163</v>
      </c>
      <c r="C742" s="14" t="s">
        <v>51</v>
      </c>
      <c r="D742" s="169">
        <v>5038</v>
      </c>
      <c r="E742" s="170">
        <v>50038</v>
      </c>
      <c r="F742" s="14" t="s">
        <v>152</v>
      </c>
      <c r="G742" s="14" t="s">
        <v>1490</v>
      </c>
      <c r="H742" s="23">
        <v>278165</v>
      </c>
      <c r="I742" s="23">
        <v>5</v>
      </c>
      <c r="J742" s="14">
        <v>1</v>
      </c>
      <c r="L742" s="14">
        <v>0</v>
      </c>
      <c r="N742" s="24">
        <v>1</v>
      </c>
      <c r="P742" s="14">
        <v>0</v>
      </c>
      <c r="R742" s="14">
        <v>0</v>
      </c>
      <c r="T742" s="14" t="str">
        <f t="shared" si="11"/>
        <v>No</v>
      </c>
    </row>
    <row r="743" spans="1:20" s="14" customFormat="1" ht="11.25">
      <c r="A743" s="14" t="s">
        <v>567</v>
      </c>
      <c r="B743" s="14" t="s">
        <v>255</v>
      </c>
      <c r="C743" s="14" t="s">
        <v>81</v>
      </c>
      <c r="D743" s="169">
        <v>4081</v>
      </c>
      <c r="E743" s="170">
        <v>40081</v>
      </c>
      <c r="F743" s="14" t="s">
        <v>152</v>
      </c>
      <c r="G743" s="14" t="s">
        <v>1490</v>
      </c>
      <c r="H743" s="23">
        <v>75702</v>
      </c>
      <c r="I743" s="23">
        <v>5</v>
      </c>
      <c r="J743" s="14">
        <v>0</v>
      </c>
      <c r="L743" s="14">
        <v>0</v>
      </c>
      <c r="N743" s="24">
        <v>0</v>
      </c>
      <c r="P743" s="14">
        <v>0</v>
      </c>
      <c r="R743" s="14">
        <v>0</v>
      </c>
      <c r="T743" s="14" t="str">
        <f t="shared" si="11"/>
        <v>No</v>
      </c>
    </row>
    <row r="744" spans="1:20" s="14" customFormat="1" ht="11.25">
      <c r="A744" s="14" t="s">
        <v>172</v>
      </c>
      <c r="B744" s="14" t="s">
        <v>173</v>
      </c>
      <c r="C744" s="14" t="s">
        <v>28</v>
      </c>
      <c r="D744" s="169">
        <v>8025</v>
      </c>
      <c r="E744" s="170">
        <v>80025</v>
      </c>
      <c r="F744" s="14" t="s">
        <v>152</v>
      </c>
      <c r="G744" s="14" t="s">
        <v>149</v>
      </c>
      <c r="H744" s="23">
        <v>264465</v>
      </c>
      <c r="I744" s="23">
        <v>5</v>
      </c>
      <c r="J744" s="14">
        <v>0</v>
      </c>
      <c r="L744" s="14">
        <v>0</v>
      </c>
      <c r="N744" s="24">
        <v>0</v>
      </c>
      <c r="P744" s="14">
        <v>0</v>
      </c>
      <c r="R744" s="14">
        <v>0</v>
      </c>
      <c r="T744" s="14" t="str">
        <f t="shared" si="11"/>
        <v>No</v>
      </c>
    </row>
    <row r="745" spans="1:20" s="14" customFormat="1" ht="11.25">
      <c r="A745" s="14" t="s">
        <v>871</v>
      </c>
      <c r="B745" s="14" t="s">
        <v>872</v>
      </c>
      <c r="C745" s="14" t="s">
        <v>57</v>
      </c>
      <c r="D745" s="169">
        <v>4229</v>
      </c>
      <c r="E745" s="170">
        <v>40229</v>
      </c>
      <c r="F745" s="14" t="s">
        <v>152</v>
      </c>
      <c r="G745" s="14" t="s">
        <v>1490</v>
      </c>
      <c r="H745" s="23">
        <v>280648</v>
      </c>
      <c r="I745" s="23">
        <v>5</v>
      </c>
      <c r="J745" s="14">
        <v>0</v>
      </c>
      <c r="L745" s="14">
        <v>0</v>
      </c>
      <c r="N745" s="24">
        <v>0</v>
      </c>
      <c r="P745" s="14">
        <v>0</v>
      </c>
      <c r="R745" s="14">
        <v>0</v>
      </c>
      <c r="T745" s="14" t="str">
        <f t="shared" si="11"/>
        <v>No</v>
      </c>
    </row>
    <row r="746" spans="1:20" s="14" customFormat="1" ht="11.25">
      <c r="A746" s="14" t="s">
        <v>281</v>
      </c>
      <c r="B746" s="14" t="s">
        <v>243</v>
      </c>
      <c r="C746" s="14" t="s">
        <v>2</v>
      </c>
      <c r="D746" s="169">
        <v>48</v>
      </c>
      <c r="E746" s="170">
        <v>48</v>
      </c>
      <c r="F746" s="14" t="s">
        <v>152</v>
      </c>
      <c r="G746" s="14" t="s">
        <v>1490</v>
      </c>
      <c r="H746" s="23">
        <v>51924</v>
      </c>
      <c r="I746" s="23">
        <v>4</v>
      </c>
      <c r="J746" s="14">
        <v>0</v>
      </c>
      <c r="L746" s="14">
        <v>0</v>
      </c>
      <c r="N746" s="24">
        <v>0</v>
      </c>
      <c r="P746" s="14">
        <v>0</v>
      </c>
      <c r="R746" s="14">
        <v>0</v>
      </c>
      <c r="T746" s="14" t="str">
        <f t="shared" si="11"/>
        <v>No</v>
      </c>
    </row>
    <row r="747" spans="1:20" s="14" customFormat="1" ht="11.25">
      <c r="A747" s="14" t="s">
        <v>766</v>
      </c>
      <c r="B747" s="14" t="s">
        <v>767</v>
      </c>
      <c r="C747" s="14" t="s">
        <v>16</v>
      </c>
      <c r="D747" s="169" t="s">
        <v>768</v>
      </c>
      <c r="E747" s="170">
        <v>99382</v>
      </c>
      <c r="F747" s="14" t="s">
        <v>397</v>
      </c>
      <c r="G747" s="14" t="s">
        <v>1490</v>
      </c>
      <c r="H747" s="23">
        <v>0</v>
      </c>
      <c r="I747" s="23">
        <v>4</v>
      </c>
      <c r="J747" s="14">
        <v>0</v>
      </c>
      <c r="L747" s="14">
        <v>0</v>
      </c>
      <c r="N747" s="24">
        <v>0</v>
      </c>
      <c r="P747" s="14">
        <v>0</v>
      </c>
      <c r="R747" s="14">
        <v>0</v>
      </c>
      <c r="T747" s="14" t="str">
        <f t="shared" si="11"/>
        <v>No</v>
      </c>
    </row>
    <row r="748" spans="1:20" s="14" customFormat="1" ht="11.25">
      <c r="A748" s="14" t="s">
        <v>456</v>
      </c>
      <c r="B748" s="14" t="s">
        <v>457</v>
      </c>
      <c r="C748" s="14" t="s">
        <v>59</v>
      </c>
      <c r="D748" s="169" t="s">
        <v>458</v>
      </c>
      <c r="E748" s="170">
        <v>70004</v>
      </c>
      <c r="F748" s="14" t="s">
        <v>397</v>
      </c>
      <c r="G748" s="14" t="s">
        <v>1490</v>
      </c>
      <c r="H748" s="23">
        <v>0</v>
      </c>
      <c r="I748" s="23">
        <v>4</v>
      </c>
      <c r="J748" s="14">
        <v>0</v>
      </c>
      <c r="L748" s="14">
        <v>0</v>
      </c>
      <c r="N748" s="24">
        <v>0</v>
      </c>
      <c r="P748" s="14">
        <v>0</v>
      </c>
      <c r="R748" s="14">
        <v>0</v>
      </c>
      <c r="T748" s="14" t="str">
        <f t="shared" si="11"/>
        <v>No</v>
      </c>
    </row>
    <row r="749" spans="1:20" s="14" customFormat="1" ht="11.25">
      <c r="A749" s="14" t="s">
        <v>1782</v>
      </c>
      <c r="B749" s="14" t="s">
        <v>1338</v>
      </c>
      <c r="C749" s="14" t="s">
        <v>32</v>
      </c>
      <c r="D749" s="169"/>
      <c r="E749" s="170">
        <v>40257</v>
      </c>
      <c r="F749" s="14" t="s">
        <v>152</v>
      </c>
      <c r="G749" s="14" t="s">
        <v>1490</v>
      </c>
      <c r="H749" s="23">
        <v>5502379</v>
      </c>
      <c r="I749" s="23">
        <v>4</v>
      </c>
      <c r="J749" s="14">
        <v>1</v>
      </c>
      <c r="L749" s="14">
        <v>0</v>
      </c>
      <c r="N749" s="24">
        <v>1</v>
      </c>
      <c r="P749" s="14">
        <v>0</v>
      </c>
      <c r="R749" s="14">
        <v>0</v>
      </c>
      <c r="T749" s="14" t="str">
        <f t="shared" si="11"/>
        <v>No</v>
      </c>
    </row>
    <row r="750" spans="1:20" s="14" customFormat="1" ht="11.25">
      <c r="A750" s="14" t="s">
        <v>1777</v>
      </c>
      <c r="B750" s="14" t="s">
        <v>1778</v>
      </c>
      <c r="C750" s="14" t="s">
        <v>19</v>
      </c>
      <c r="D750" s="169"/>
      <c r="E750" s="170">
        <v>90254</v>
      </c>
      <c r="F750" s="14" t="s">
        <v>152</v>
      </c>
      <c r="G750" s="14" t="s">
        <v>1490</v>
      </c>
      <c r="H750" s="23">
        <v>12150996</v>
      </c>
      <c r="I750" s="23">
        <v>4</v>
      </c>
      <c r="J750" s="14">
        <v>0</v>
      </c>
      <c r="L750" s="14">
        <v>0</v>
      </c>
      <c r="N750" s="24">
        <v>0</v>
      </c>
      <c r="P750" s="14">
        <v>0</v>
      </c>
      <c r="R750" s="14">
        <v>0</v>
      </c>
      <c r="T750" s="14" t="str">
        <f t="shared" si="11"/>
        <v>No</v>
      </c>
    </row>
    <row r="751" spans="1:20" s="14" customFormat="1" ht="11.25">
      <c r="A751" s="14" t="s">
        <v>205</v>
      </c>
      <c r="B751" s="14" t="s">
        <v>206</v>
      </c>
      <c r="C751" s="14" t="s">
        <v>77</v>
      </c>
      <c r="D751" s="169">
        <v>4145</v>
      </c>
      <c r="E751" s="170">
        <v>40145</v>
      </c>
      <c r="F751" s="14" t="s">
        <v>152</v>
      </c>
      <c r="G751" s="14" t="s">
        <v>1490</v>
      </c>
      <c r="H751" s="23">
        <v>2148346</v>
      </c>
      <c r="I751" s="23">
        <v>4</v>
      </c>
      <c r="J751" s="14">
        <v>2</v>
      </c>
      <c r="L751" s="14">
        <v>0</v>
      </c>
      <c r="N751" s="24">
        <v>2</v>
      </c>
      <c r="P751" s="14">
        <v>1</v>
      </c>
      <c r="R751" s="14">
        <v>0</v>
      </c>
      <c r="T751" s="14" t="str">
        <f t="shared" si="11"/>
        <v>No</v>
      </c>
    </row>
    <row r="752" spans="1:20" s="14" customFormat="1" ht="11.25">
      <c r="A752" s="14" t="s">
        <v>427</v>
      </c>
      <c r="B752" s="14" t="s">
        <v>428</v>
      </c>
      <c r="C752" s="14" t="s">
        <v>19</v>
      </c>
      <c r="D752" s="169" t="s">
        <v>429</v>
      </c>
      <c r="E752" s="170">
        <v>99256</v>
      </c>
      <c r="F752" s="14" t="s">
        <v>397</v>
      </c>
      <c r="G752" s="14" t="s">
        <v>1490</v>
      </c>
      <c r="H752" s="23">
        <v>0</v>
      </c>
      <c r="I752" s="23">
        <v>4</v>
      </c>
      <c r="J752" s="14">
        <v>0</v>
      </c>
      <c r="L752" s="14">
        <v>0</v>
      </c>
      <c r="N752" s="24">
        <v>0</v>
      </c>
      <c r="P752" s="14">
        <v>0</v>
      </c>
      <c r="R752" s="14">
        <v>0</v>
      </c>
      <c r="T752" s="14" t="str">
        <f t="shared" si="11"/>
        <v>No</v>
      </c>
    </row>
    <row r="753" spans="1:20" s="14" customFormat="1" ht="11.25">
      <c r="A753" s="14" t="s">
        <v>1714</v>
      </c>
      <c r="B753" s="14" t="s">
        <v>1715</v>
      </c>
      <c r="C753" s="14" t="s">
        <v>19</v>
      </c>
      <c r="D753" s="169"/>
      <c r="E753" s="170">
        <v>90249</v>
      </c>
      <c r="F753" s="14" t="s">
        <v>152</v>
      </c>
      <c r="G753" s="14" t="s">
        <v>1490</v>
      </c>
      <c r="H753" s="23">
        <v>12150996</v>
      </c>
      <c r="I753" s="23">
        <v>4</v>
      </c>
      <c r="J753" s="14">
        <v>1</v>
      </c>
      <c r="L753" s="14">
        <v>0</v>
      </c>
      <c r="N753" s="24">
        <v>1</v>
      </c>
      <c r="P753" s="14">
        <v>0</v>
      </c>
      <c r="R753" s="14">
        <v>0</v>
      </c>
      <c r="T753" s="14" t="str">
        <f t="shared" si="11"/>
        <v>No</v>
      </c>
    </row>
    <row r="754" spans="1:20" s="14" customFormat="1" ht="11.25">
      <c r="A754" s="14" t="s">
        <v>1765</v>
      </c>
      <c r="B754" s="14" t="s">
        <v>1350</v>
      </c>
      <c r="C754" s="14" t="s">
        <v>19</v>
      </c>
      <c r="D754" s="169"/>
      <c r="E754" s="170">
        <v>90298</v>
      </c>
      <c r="F754" s="14" t="s">
        <v>152</v>
      </c>
      <c r="G754" s="14" t="s">
        <v>1490</v>
      </c>
      <c r="H754" s="23">
        <v>214811</v>
      </c>
      <c r="I754" s="23">
        <v>4</v>
      </c>
      <c r="J754" s="14">
        <v>0</v>
      </c>
      <c r="L754" s="14">
        <v>0</v>
      </c>
      <c r="N754" s="24">
        <v>0</v>
      </c>
      <c r="P754" s="14">
        <v>0</v>
      </c>
      <c r="R754" s="14">
        <v>0</v>
      </c>
      <c r="T754" s="14" t="str">
        <f t="shared" si="11"/>
        <v>No</v>
      </c>
    </row>
    <row r="755" spans="1:20" s="14" customFormat="1" ht="11.25">
      <c r="A755" s="14" t="s">
        <v>480</v>
      </c>
      <c r="B755" s="14" t="s">
        <v>481</v>
      </c>
      <c r="C755" s="14" t="s">
        <v>2</v>
      </c>
      <c r="D755" s="169" t="s">
        <v>482</v>
      </c>
      <c r="E755" s="170">
        <v>135</v>
      </c>
      <c r="F755" s="14" t="s">
        <v>397</v>
      </c>
      <c r="G755" s="14" t="s">
        <v>1490</v>
      </c>
      <c r="H755" s="23">
        <v>0</v>
      </c>
      <c r="I755" s="23">
        <v>4</v>
      </c>
      <c r="J755" s="14">
        <v>0</v>
      </c>
      <c r="L755" s="14">
        <v>0</v>
      </c>
      <c r="N755" s="24">
        <v>0</v>
      </c>
      <c r="P755" s="14">
        <v>0</v>
      </c>
      <c r="R755" s="14">
        <v>0</v>
      </c>
      <c r="T755" s="14" t="str">
        <f t="shared" si="11"/>
        <v>No</v>
      </c>
    </row>
    <row r="756" spans="1:20" s="14" customFormat="1" ht="11.25">
      <c r="A756" s="14" t="s">
        <v>346</v>
      </c>
      <c r="B756" s="14" t="s">
        <v>192</v>
      </c>
      <c r="C756" s="14" t="s">
        <v>69</v>
      </c>
      <c r="D756" s="169">
        <v>2187</v>
      </c>
      <c r="E756" s="170">
        <v>20187</v>
      </c>
      <c r="F756" s="14" t="s">
        <v>152</v>
      </c>
      <c r="G756" s="14" t="s">
        <v>1490</v>
      </c>
      <c r="H756" s="23">
        <v>423566</v>
      </c>
      <c r="I756" s="23">
        <v>4</v>
      </c>
      <c r="J756" s="14">
        <v>0</v>
      </c>
      <c r="L756" s="14">
        <v>0</v>
      </c>
      <c r="N756" s="24">
        <v>0</v>
      </c>
      <c r="P756" s="14">
        <v>0</v>
      </c>
      <c r="R756" s="14">
        <v>0</v>
      </c>
      <c r="T756" s="14" t="str">
        <f t="shared" si="11"/>
        <v>No</v>
      </c>
    </row>
    <row r="757" spans="1:20" s="14" customFormat="1" ht="11.25">
      <c r="A757" s="14" t="s">
        <v>514</v>
      </c>
      <c r="B757" s="14" t="s">
        <v>515</v>
      </c>
      <c r="C757" s="14" t="s">
        <v>56</v>
      </c>
      <c r="D757" s="169" t="s">
        <v>516</v>
      </c>
      <c r="E757" s="170">
        <v>88164</v>
      </c>
      <c r="F757" s="14" t="s">
        <v>397</v>
      </c>
      <c r="G757" s="14" t="s">
        <v>1490</v>
      </c>
      <c r="H757" s="23">
        <v>0</v>
      </c>
      <c r="I757" s="23">
        <v>4</v>
      </c>
      <c r="J757" s="14">
        <v>0</v>
      </c>
      <c r="L757" s="14">
        <v>0</v>
      </c>
      <c r="N757" s="24">
        <v>0</v>
      </c>
      <c r="P757" s="14">
        <v>0</v>
      </c>
      <c r="R757" s="14">
        <v>0</v>
      </c>
      <c r="T757" s="14" t="str">
        <f t="shared" si="11"/>
        <v>No</v>
      </c>
    </row>
    <row r="758" spans="1:20" s="14" customFormat="1" ht="11.25">
      <c r="A758" s="14" t="s">
        <v>1775</v>
      </c>
      <c r="B758" s="14" t="s">
        <v>1776</v>
      </c>
      <c r="C758" s="14" t="s">
        <v>19</v>
      </c>
      <c r="D758" s="169"/>
      <c r="E758" s="170">
        <v>90284</v>
      </c>
      <c r="F758" s="14" t="s">
        <v>152</v>
      </c>
      <c r="G758" s="14" t="s">
        <v>1490</v>
      </c>
      <c r="H758" s="23">
        <v>12150996</v>
      </c>
      <c r="I758" s="23">
        <v>4</v>
      </c>
      <c r="J758" s="14">
        <v>0</v>
      </c>
      <c r="L758" s="14">
        <v>0</v>
      </c>
      <c r="N758" s="24">
        <v>0</v>
      </c>
      <c r="P758" s="14">
        <v>0</v>
      </c>
      <c r="R758" s="14">
        <v>0</v>
      </c>
      <c r="T758" s="14" t="str">
        <f t="shared" si="11"/>
        <v>No</v>
      </c>
    </row>
    <row r="759" spans="1:20" s="14" customFormat="1" ht="11.25">
      <c r="A759" s="14" t="s">
        <v>1654</v>
      </c>
      <c r="B759" s="14" t="s">
        <v>1680</v>
      </c>
      <c r="C759" s="14" t="s">
        <v>84</v>
      </c>
      <c r="D759" s="169">
        <v>6129</v>
      </c>
      <c r="E759" s="170">
        <v>60129</v>
      </c>
      <c r="F759" s="14" t="s">
        <v>152</v>
      </c>
      <c r="G759" s="14" t="s">
        <v>1490</v>
      </c>
      <c r="H759" s="23">
        <v>239938</v>
      </c>
      <c r="I759" s="23">
        <v>4</v>
      </c>
      <c r="J759" s="14">
        <v>0</v>
      </c>
      <c r="L759" s="14">
        <v>0</v>
      </c>
      <c r="N759" s="24">
        <v>0</v>
      </c>
      <c r="P759" s="14">
        <v>0</v>
      </c>
      <c r="R759" s="14">
        <v>0</v>
      </c>
      <c r="T759" s="14" t="str">
        <f t="shared" si="11"/>
        <v>No</v>
      </c>
    </row>
    <row r="760" spans="1:20" s="14" customFormat="1" ht="11.25">
      <c r="A760" s="14" t="s">
        <v>1880</v>
      </c>
      <c r="B760" s="14" t="s">
        <v>526</v>
      </c>
      <c r="C760" s="14" t="s">
        <v>54</v>
      </c>
      <c r="D760" s="169"/>
      <c r="E760" s="170">
        <v>70271</v>
      </c>
      <c r="F760" s="14" t="s">
        <v>152</v>
      </c>
      <c r="G760" s="14" t="s">
        <v>149</v>
      </c>
      <c r="H760" s="23">
        <v>1519417</v>
      </c>
      <c r="I760" s="23">
        <v>4</v>
      </c>
      <c r="J760" s="14">
        <v>0</v>
      </c>
      <c r="L760" s="14">
        <v>0</v>
      </c>
      <c r="N760" s="24">
        <v>0</v>
      </c>
      <c r="P760" s="14">
        <v>0</v>
      </c>
      <c r="R760" s="14">
        <v>0</v>
      </c>
      <c r="T760" s="14" t="str">
        <f t="shared" si="11"/>
        <v>No</v>
      </c>
    </row>
    <row r="761" spans="1:20" s="14" customFormat="1" ht="11.25">
      <c r="A761" s="14" t="s">
        <v>1773</v>
      </c>
      <c r="B761" s="14" t="s">
        <v>1774</v>
      </c>
      <c r="C761" s="14" t="s">
        <v>19</v>
      </c>
      <c r="D761" s="169"/>
      <c r="E761" s="170">
        <v>90281</v>
      </c>
      <c r="F761" s="14" t="s">
        <v>152</v>
      </c>
      <c r="G761" s="14" t="s">
        <v>1490</v>
      </c>
      <c r="H761" s="23">
        <v>12150996</v>
      </c>
      <c r="I761" s="23">
        <v>4</v>
      </c>
      <c r="J761" s="14">
        <v>0</v>
      </c>
      <c r="L761" s="14">
        <v>0</v>
      </c>
      <c r="N761" s="24">
        <v>0</v>
      </c>
      <c r="P761" s="14">
        <v>0</v>
      </c>
      <c r="R761" s="14">
        <v>0</v>
      </c>
      <c r="T761" s="14" t="str">
        <f t="shared" si="11"/>
        <v>No</v>
      </c>
    </row>
    <row r="762" spans="1:20" s="14" customFormat="1" ht="11.25">
      <c r="A762" s="14" t="s">
        <v>1644</v>
      </c>
      <c r="B762" s="14" t="s">
        <v>1671</v>
      </c>
      <c r="C762" s="14" t="s">
        <v>32</v>
      </c>
      <c r="D762" s="169"/>
      <c r="E762" s="170">
        <v>40238</v>
      </c>
      <c r="F762" s="14" t="s">
        <v>152</v>
      </c>
      <c r="G762" s="14" t="s">
        <v>1490</v>
      </c>
      <c r="H762" s="23">
        <v>5502379</v>
      </c>
      <c r="I762" s="23">
        <v>4</v>
      </c>
      <c r="J762" s="14">
        <v>0</v>
      </c>
      <c r="L762" s="14">
        <v>0</v>
      </c>
      <c r="N762" s="24">
        <v>0</v>
      </c>
      <c r="P762" s="14">
        <v>0</v>
      </c>
      <c r="R762" s="14">
        <v>0</v>
      </c>
      <c r="T762" s="14" t="str">
        <f t="shared" si="11"/>
        <v>No</v>
      </c>
    </row>
    <row r="763" spans="1:20" s="14" customFormat="1" ht="11.25">
      <c r="A763" s="14" t="s">
        <v>851</v>
      </c>
      <c r="B763" s="14" t="s">
        <v>218</v>
      </c>
      <c r="C763" s="14" t="s">
        <v>29</v>
      </c>
      <c r="D763" s="169">
        <v>1132</v>
      </c>
      <c r="E763" s="170">
        <v>10132</v>
      </c>
      <c r="F763" s="14" t="s">
        <v>148</v>
      </c>
      <c r="G763" s="14" t="s">
        <v>1490</v>
      </c>
      <c r="H763" s="23">
        <v>924859</v>
      </c>
      <c r="I763" s="23">
        <v>4</v>
      </c>
      <c r="J763" s="14">
        <v>0</v>
      </c>
      <c r="L763" s="14">
        <v>0</v>
      </c>
      <c r="N763" s="24">
        <v>0</v>
      </c>
      <c r="P763" s="14">
        <v>0</v>
      </c>
      <c r="R763" s="14">
        <v>0</v>
      </c>
      <c r="T763" s="14" t="str">
        <f t="shared" si="11"/>
        <v>No</v>
      </c>
    </row>
    <row r="764" spans="1:20" s="14" customFormat="1" ht="11.25">
      <c r="A764" s="14" t="s">
        <v>967</v>
      </c>
      <c r="B764" s="14" t="s">
        <v>968</v>
      </c>
      <c r="C764" s="14" t="s">
        <v>40</v>
      </c>
      <c r="D764" s="169">
        <v>5042</v>
      </c>
      <c r="E764" s="170">
        <v>50042</v>
      </c>
      <c r="F764" s="14" t="s">
        <v>152</v>
      </c>
      <c r="G764" s="14" t="s">
        <v>149</v>
      </c>
      <c r="H764" s="23">
        <v>8608208</v>
      </c>
      <c r="I764" s="23">
        <v>4</v>
      </c>
      <c r="J764" s="14">
        <v>0</v>
      </c>
      <c r="L764" s="14">
        <v>0</v>
      </c>
      <c r="N764" s="24">
        <v>0</v>
      </c>
      <c r="P764" s="14">
        <v>0</v>
      </c>
      <c r="R764" s="14">
        <v>0</v>
      </c>
      <c r="T764" s="14" t="str">
        <f t="shared" si="11"/>
        <v>No</v>
      </c>
    </row>
    <row r="765" spans="1:20" s="14" customFormat="1" ht="11.25">
      <c r="A765" s="14" t="s">
        <v>1881</v>
      </c>
      <c r="B765" s="14" t="s">
        <v>720</v>
      </c>
      <c r="C765" s="14" t="s">
        <v>39</v>
      </c>
      <c r="D765" s="169"/>
      <c r="E765" s="170">
        <v>50521</v>
      </c>
      <c r="F765" s="14" t="s">
        <v>148</v>
      </c>
      <c r="G765" s="14" t="s">
        <v>149</v>
      </c>
      <c r="H765" s="23">
        <v>8608208</v>
      </c>
      <c r="I765" s="23">
        <v>4</v>
      </c>
      <c r="J765" s="14">
        <v>4</v>
      </c>
      <c r="L765" s="14">
        <v>3</v>
      </c>
      <c r="N765" s="24">
        <v>7</v>
      </c>
      <c r="P765" s="14">
        <v>0</v>
      </c>
      <c r="R765" s="14">
        <v>0</v>
      </c>
      <c r="T765" s="14" t="str">
        <f t="shared" si="11"/>
        <v>No</v>
      </c>
    </row>
    <row r="766" spans="1:20" s="14" customFormat="1" ht="11.25">
      <c r="A766" s="14" t="s">
        <v>1781</v>
      </c>
      <c r="B766" s="14" t="s">
        <v>1713</v>
      </c>
      <c r="C766" s="14" t="s">
        <v>19</v>
      </c>
      <c r="D766" s="169"/>
      <c r="E766" s="170">
        <v>90276</v>
      </c>
      <c r="F766" s="14" t="s">
        <v>152</v>
      </c>
      <c r="G766" s="14" t="s">
        <v>1490</v>
      </c>
      <c r="H766" s="23">
        <v>12150996</v>
      </c>
      <c r="I766" s="23">
        <v>4</v>
      </c>
      <c r="J766" s="14">
        <v>1</v>
      </c>
      <c r="L766" s="14">
        <v>0</v>
      </c>
      <c r="N766" s="24">
        <v>1</v>
      </c>
      <c r="P766" s="14">
        <v>0</v>
      </c>
      <c r="R766" s="14">
        <v>0</v>
      </c>
      <c r="T766" s="14" t="str">
        <f t="shared" si="11"/>
        <v>No</v>
      </c>
    </row>
    <row r="767" spans="1:20" s="14" customFormat="1" ht="11.25">
      <c r="A767" s="14" t="s">
        <v>675</v>
      </c>
      <c r="B767" s="14" t="s">
        <v>291</v>
      </c>
      <c r="C767" s="14" t="s">
        <v>50</v>
      </c>
      <c r="D767" s="169">
        <v>1088</v>
      </c>
      <c r="E767" s="170">
        <v>10088</v>
      </c>
      <c r="F767" s="14" t="s">
        <v>160</v>
      </c>
      <c r="G767" s="14" t="s">
        <v>149</v>
      </c>
      <c r="H767" s="23">
        <v>203914</v>
      </c>
      <c r="I767" s="23">
        <v>4</v>
      </c>
      <c r="J767" s="14">
        <v>1</v>
      </c>
      <c r="L767" s="14">
        <v>0</v>
      </c>
      <c r="N767" s="24">
        <v>1</v>
      </c>
      <c r="P767" s="14">
        <v>0</v>
      </c>
      <c r="R767" s="14">
        <v>0</v>
      </c>
      <c r="T767" s="14" t="str">
        <f t="shared" si="11"/>
        <v>No</v>
      </c>
    </row>
    <row r="768" spans="1:20" s="14" customFormat="1" ht="11.25">
      <c r="A768" s="14" t="s">
        <v>646</v>
      </c>
      <c r="B768" s="14" t="s">
        <v>221</v>
      </c>
      <c r="C768" s="14" t="s">
        <v>86</v>
      </c>
      <c r="D768" s="169">
        <v>3053</v>
      </c>
      <c r="E768" s="170">
        <v>30053</v>
      </c>
      <c r="F768" s="14" t="s">
        <v>152</v>
      </c>
      <c r="G768" s="14" t="s">
        <v>1490</v>
      </c>
      <c r="H768" s="23">
        <v>69501</v>
      </c>
      <c r="I768" s="23">
        <v>4</v>
      </c>
      <c r="J768" s="14">
        <v>1</v>
      </c>
      <c r="L768" s="14">
        <v>0</v>
      </c>
      <c r="N768" s="24">
        <v>1</v>
      </c>
      <c r="P768" s="14">
        <v>0</v>
      </c>
      <c r="R768" s="14">
        <v>0</v>
      </c>
      <c r="T768" s="14" t="str">
        <f t="shared" si="11"/>
        <v>No</v>
      </c>
    </row>
    <row r="769" spans="1:20" s="14" customFormat="1" ht="11.25">
      <c r="A769" s="14" t="s">
        <v>433</v>
      </c>
      <c r="B769" s="14" t="s">
        <v>434</v>
      </c>
      <c r="C769" s="14" t="s">
        <v>88</v>
      </c>
      <c r="D769" s="169" t="s">
        <v>435</v>
      </c>
      <c r="E769" s="170">
        <v>4</v>
      </c>
      <c r="F769" s="14" t="s">
        <v>397</v>
      </c>
      <c r="G769" s="14" t="s">
        <v>1490</v>
      </c>
      <c r="H769" s="23">
        <v>0</v>
      </c>
      <c r="I769" s="23">
        <v>4</v>
      </c>
      <c r="J769" s="14">
        <v>0</v>
      </c>
      <c r="L769" s="14">
        <v>2</v>
      </c>
      <c r="N769" s="24">
        <v>2</v>
      </c>
      <c r="P769" s="14">
        <v>0</v>
      </c>
      <c r="R769" s="14">
        <v>0</v>
      </c>
      <c r="T769" s="14" t="str">
        <f t="shared" si="11"/>
        <v>No</v>
      </c>
    </row>
    <row r="770" spans="1:20" s="14" customFormat="1" ht="11.25">
      <c r="A770" s="14" t="s">
        <v>422</v>
      </c>
      <c r="B770" s="14" t="s">
        <v>423</v>
      </c>
      <c r="C770" s="14" t="s">
        <v>9</v>
      </c>
      <c r="D770" s="169" t="s">
        <v>424</v>
      </c>
      <c r="E770" s="170">
        <v>14</v>
      </c>
      <c r="F770" s="14" t="s">
        <v>397</v>
      </c>
      <c r="G770" s="14" t="s">
        <v>1490</v>
      </c>
      <c r="H770" s="23">
        <v>0</v>
      </c>
      <c r="I770" s="23">
        <v>3</v>
      </c>
      <c r="J770" s="14">
        <v>0</v>
      </c>
      <c r="L770" s="14">
        <v>0</v>
      </c>
      <c r="N770" s="24">
        <v>0</v>
      </c>
      <c r="P770" s="14">
        <v>0</v>
      </c>
      <c r="R770" s="14">
        <v>0</v>
      </c>
      <c r="T770" s="14" t="str">
        <f t="shared" si="11"/>
        <v>No</v>
      </c>
    </row>
    <row r="771" spans="1:20" s="14" customFormat="1" ht="11.25">
      <c r="A771" s="14" t="s">
        <v>694</v>
      </c>
      <c r="B771" s="14" t="s">
        <v>320</v>
      </c>
      <c r="C771" s="14" t="s">
        <v>68</v>
      </c>
      <c r="D771" s="169" t="s">
        <v>695</v>
      </c>
      <c r="E771" s="170">
        <v>90011</v>
      </c>
      <c r="F771" s="14" t="s">
        <v>397</v>
      </c>
      <c r="G771" s="14" t="s">
        <v>1490</v>
      </c>
      <c r="H771" s="23">
        <v>0</v>
      </c>
      <c r="I771" s="23">
        <v>3</v>
      </c>
      <c r="J771" s="14">
        <v>0</v>
      </c>
      <c r="L771" s="14">
        <v>0</v>
      </c>
      <c r="N771" s="24">
        <v>0</v>
      </c>
      <c r="P771" s="14">
        <v>0</v>
      </c>
      <c r="R771" s="14">
        <v>0</v>
      </c>
      <c r="T771" s="14" t="str">
        <f t="shared" ref="T771:T834" si="12">IF(S771&amp;Q771&amp;O771&amp;M771&amp;K771&lt;&gt;"","Yes","No")</f>
        <v>No</v>
      </c>
    </row>
    <row r="772" spans="1:20" s="14" customFormat="1" ht="11.25">
      <c r="A772" s="14" t="s">
        <v>1785</v>
      </c>
      <c r="B772" s="14" t="s">
        <v>1786</v>
      </c>
      <c r="C772" s="14" t="s">
        <v>32</v>
      </c>
      <c r="D772" s="169"/>
      <c r="E772" s="170">
        <v>40255</v>
      </c>
      <c r="F772" s="14" t="s">
        <v>152</v>
      </c>
      <c r="G772" s="14" t="s">
        <v>1490</v>
      </c>
      <c r="H772" s="23">
        <v>5502379</v>
      </c>
      <c r="I772" s="23">
        <v>3</v>
      </c>
      <c r="J772" s="14">
        <v>0</v>
      </c>
      <c r="L772" s="14">
        <v>0</v>
      </c>
      <c r="N772" s="24">
        <v>0</v>
      </c>
      <c r="P772" s="14">
        <v>0</v>
      </c>
      <c r="R772" s="14">
        <v>0</v>
      </c>
      <c r="T772" s="14" t="str">
        <f t="shared" si="12"/>
        <v>No</v>
      </c>
    </row>
    <row r="773" spans="1:20" s="14" customFormat="1" ht="11.25">
      <c r="A773" s="14" t="s">
        <v>1787</v>
      </c>
      <c r="B773" s="14" t="s">
        <v>1788</v>
      </c>
      <c r="C773" s="14" t="s">
        <v>67</v>
      </c>
      <c r="D773" s="169" t="s">
        <v>1789</v>
      </c>
      <c r="E773" s="170">
        <v>66242</v>
      </c>
      <c r="F773" s="14" t="s">
        <v>397</v>
      </c>
      <c r="G773" s="14" t="s">
        <v>1490</v>
      </c>
      <c r="H773" s="23">
        <v>0</v>
      </c>
      <c r="I773" s="23">
        <v>3</v>
      </c>
      <c r="J773" s="14">
        <v>0</v>
      </c>
      <c r="L773" s="14">
        <v>0</v>
      </c>
      <c r="N773" s="24">
        <v>0</v>
      </c>
      <c r="P773" s="14">
        <v>0</v>
      </c>
      <c r="R773" s="14">
        <v>0</v>
      </c>
      <c r="T773" s="14" t="str">
        <f t="shared" si="12"/>
        <v>No</v>
      </c>
    </row>
    <row r="774" spans="1:20" s="14" customFormat="1" ht="11.25">
      <c r="A774" s="14" t="s">
        <v>554</v>
      </c>
      <c r="B774" s="14" t="s">
        <v>555</v>
      </c>
      <c r="C774" s="14" t="s">
        <v>35</v>
      </c>
      <c r="D774" s="169">
        <v>4193</v>
      </c>
      <c r="E774" s="170">
        <v>40193</v>
      </c>
      <c r="F774" s="14" t="s">
        <v>152</v>
      </c>
      <c r="G774" s="14" t="s">
        <v>1490</v>
      </c>
      <c r="H774" s="23">
        <v>51456</v>
      </c>
      <c r="I774" s="23">
        <v>3</v>
      </c>
      <c r="J774" s="14">
        <v>0</v>
      </c>
      <c r="L774" s="14">
        <v>0</v>
      </c>
      <c r="N774" s="24">
        <v>0</v>
      </c>
      <c r="P774" s="14">
        <v>0</v>
      </c>
      <c r="R774" s="14">
        <v>0</v>
      </c>
      <c r="T774" s="14" t="str">
        <f t="shared" si="12"/>
        <v>No</v>
      </c>
    </row>
    <row r="775" spans="1:20" s="14" customFormat="1" ht="11.25">
      <c r="A775" s="14" t="s">
        <v>782</v>
      </c>
      <c r="B775" s="14" t="s">
        <v>783</v>
      </c>
      <c r="C775" s="14" t="s">
        <v>85</v>
      </c>
      <c r="D775" s="169" t="s">
        <v>784</v>
      </c>
      <c r="E775" s="170">
        <v>88200</v>
      </c>
      <c r="F775" s="14" t="s">
        <v>397</v>
      </c>
      <c r="G775" s="14" t="s">
        <v>1490</v>
      </c>
      <c r="H775" s="23">
        <v>0</v>
      </c>
      <c r="I775" s="23">
        <v>3</v>
      </c>
      <c r="J775" s="14">
        <v>0</v>
      </c>
      <c r="L775" s="14">
        <v>0</v>
      </c>
      <c r="N775" s="24">
        <v>0</v>
      </c>
      <c r="P775" s="14">
        <v>0</v>
      </c>
      <c r="R775" s="14">
        <v>0</v>
      </c>
      <c r="T775" s="14" t="str">
        <f t="shared" si="12"/>
        <v>No</v>
      </c>
    </row>
    <row r="776" spans="1:20" s="14" customFormat="1" ht="11.25">
      <c r="A776" s="14" t="s">
        <v>930</v>
      </c>
      <c r="B776" s="14" t="s">
        <v>931</v>
      </c>
      <c r="C776" s="14" t="s">
        <v>92</v>
      </c>
      <c r="D776" s="169" t="s">
        <v>932</v>
      </c>
      <c r="E776" s="170">
        <v>55300</v>
      </c>
      <c r="F776" s="14" t="s">
        <v>397</v>
      </c>
      <c r="G776" s="14" t="s">
        <v>1490</v>
      </c>
      <c r="H776" s="23">
        <v>0</v>
      </c>
      <c r="I776" s="23">
        <v>3</v>
      </c>
      <c r="J776" s="14">
        <v>0</v>
      </c>
      <c r="L776" s="14">
        <v>0</v>
      </c>
      <c r="N776" s="24">
        <v>0</v>
      </c>
      <c r="P776" s="14">
        <v>0</v>
      </c>
      <c r="R776" s="14">
        <v>0</v>
      </c>
      <c r="T776" s="14" t="str">
        <f t="shared" si="12"/>
        <v>No</v>
      </c>
    </row>
    <row r="777" spans="1:20" s="14" customFormat="1" ht="11.25">
      <c r="A777" s="14" t="s">
        <v>691</v>
      </c>
      <c r="B777" s="14" t="s">
        <v>692</v>
      </c>
      <c r="C777" s="14" t="s">
        <v>82</v>
      </c>
      <c r="D777" s="169" t="s">
        <v>693</v>
      </c>
      <c r="E777" s="170">
        <v>88194</v>
      </c>
      <c r="F777" s="14" t="s">
        <v>397</v>
      </c>
      <c r="G777" s="14" t="s">
        <v>1490</v>
      </c>
      <c r="H777" s="23">
        <v>0</v>
      </c>
      <c r="I777" s="23">
        <v>3</v>
      </c>
      <c r="J777" s="14">
        <v>0</v>
      </c>
      <c r="L777" s="14">
        <v>0</v>
      </c>
      <c r="N777" s="24">
        <v>0</v>
      </c>
      <c r="P777" s="14">
        <v>0</v>
      </c>
      <c r="R777" s="14">
        <v>0</v>
      </c>
      <c r="T777" s="14" t="str">
        <f t="shared" si="12"/>
        <v>No</v>
      </c>
    </row>
    <row r="778" spans="1:20" s="14" customFormat="1" ht="11.25">
      <c r="A778" s="14" t="s">
        <v>425</v>
      </c>
      <c r="B778" s="14" t="s">
        <v>358</v>
      </c>
      <c r="C778" s="14" t="s">
        <v>88</v>
      </c>
      <c r="D778" s="169" t="s">
        <v>426</v>
      </c>
      <c r="E778" s="170">
        <v>103</v>
      </c>
      <c r="F778" s="14" t="s">
        <v>397</v>
      </c>
      <c r="G778" s="14" t="s">
        <v>1490</v>
      </c>
      <c r="H778" s="23">
        <v>0</v>
      </c>
      <c r="I778" s="23">
        <v>3</v>
      </c>
      <c r="J778" s="14">
        <v>0</v>
      </c>
      <c r="L778" s="14">
        <v>0</v>
      </c>
      <c r="N778" s="24">
        <v>0</v>
      </c>
      <c r="P778" s="14">
        <v>0</v>
      </c>
      <c r="R778" s="14">
        <v>0</v>
      </c>
      <c r="T778" s="14" t="str">
        <f t="shared" si="12"/>
        <v>No</v>
      </c>
    </row>
    <row r="779" spans="1:20" s="14" customFormat="1" ht="11.25">
      <c r="A779" s="14" t="s">
        <v>1628</v>
      </c>
      <c r="B779" s="14" t="s">
        <v>272</v>
      </c>
      <c r="C779" s="14" t="s">
        <v>45</v>
      </c>
      <c r="D779" s="169">
        <v>1159</v>
      </c>
      <c r="E779" s="170">
        <v>10181</v>
      </c>
      <c r="F779" s="14" t="s">
        <v>152</v>
      </c>
      <c r="G779" s="14" t="s">
        <v>1490</v>
      </c>
      <c r="H779" s="23">
        <v>4181019</v>
      </c>
      <c r="I779" s="23">
        <v>3</v>
      </c>
      <c r="J779" s="14">
        <v>0</v>
      </c>
      <c r="L779" s="14">
        <v>0</v>
      </c>
      <c r="N779" s="24">
        <v>0</v>
      </c>
      <c r="P779" s="14">
        <v>0</v>
      </c>
      <c r="R779" s="14">
        <v>0</v>
      </c>
      <c r="T779" s="14" t="str">
        <f t="shared" si="12"/>
        <v>No</v>
      </c>
    </row>
    <row r="780" spans="1:20" s="14" customFormat="1" ht="11.25">
      <c r="A780" s="14" t="s">
        <v>887</v>
      </c>
      <c r="B780" s="14" t="s">
        <v>230</v>
      </c>
      <c r="C780" s="14" t="s">
        <v>84</v>
      </c>
      <c r="D780" s="169">
        <v>6133</v>
      </c>
      <c r="E780" s="170">
        <v>60133</v>
      </c>
      <c r="F780" s="14" t="s">
        <v>197</v>
      </c>
      <c r="G780" s="14" t="s">
        <v>149</v>
      </c>
      <c r="H780" s="23">
        <v>5121892</v>
      </c>
      <c r="I780" s="23">
        <v>3</v>
      </c>
      <c r="J780" s="14">
        <v>0</v>
      </c>
      <c r="L780" s="14">
        <v>0</v>
      </c>
      <c r="N780" s="24">
        <v>0</v>
      </c>
      <c r="P780" s="14">
        <v>0</v>
      </c>
      <c r="R780" s="14">
        <v>0</v>
      </c>
      <c r="T780" s="14" t="str">
        <f t="shared" si="12"/>
        <v>No</v>
      </c>
    </row>
    <row r="781" spans="1:20" s="14" customFormat="1" ht="11.25">
      <c r="A781" s="14" t="s">
        <v>407</v>
      </c>
      <c r="B781" s="14" t="s">
        <v>408</v>
      </c>
      <c r="C781" s="14" t="s">
        <v>88</v>
      </c>
      <c r="D781" s="169" t="s">
        <v>409</v>
      </c>
      <c r="E781" s="170">
        <v>95</v>
      </c>
      <c r="F781" s="14" t="s">
        <v>397</v>
      </c>
      <c r="G781" s="14" t="s">
        <v>1490</v>
      </c>
      <c r="H781" s="23">
        <v>0</v>
      </c>
      <c r="I781" s="23">
        <v>3</v>
      </c>
      <c r="J781" s="14">
        <v>0</v>
      </c>
      <c r="L781" s="14">
        <v>0</v>
      </c>
      <c r="N781" s="24">
        <v>0</v>
      </c>
      <c r="P781" s="14">
        <v>0</v>
      </c>
      <c r="R781" s="14">
        <v>0</v>
      </c>
      <c r="T781" s="14" t="str">
        <f t="shared" si="12"/>
        <v>No</v>
      </c>
    </row>
    <row r="782" spans="1:20" s="14" customFormat="1" ht="11.25">
      <c r="A782" s="14" t="s">
        <v>487</v>
      </c>
      <c r="B782" s="14" t="s">
        <v>488</v>
      </c>
      <c r="C782" s="14" t="s">
        <v>58</v>
      </c>
      <c r="D782" s="169" t="s">
        <v>489</v>
      </c>
      <c r="E782" s="170">
        <v>88146</v>
      </c>
      <c r="F782" s="14" t="s">
        <v>397</v>
      </c>
      <c r="G782" s="14" t="s">
        <v>1490</v>
      </c>
      <c r="H782" s="23">
        <v>0</v>
      </c>
      <c r="I782" s="23">
        <v>3</v>
      </c>
      <c r="J782" s="14">
        <v>0</v>
      </c>
      <c r="L782" s="14">
        <v>0</v>
      </c>
      <c r="N782" s="24">
        <v>0</v>
      </c>
      <c r="P782" s="14">
        <v>0</v>
      </c>
      <c r="R782" s="14">
        <v>0</v>
      </c>
      <c r="T782" s="14" t="str">
        <f t="shared" si="12"/>
        <v>No</v>
      </c>
    </row>
    <row r="783" spans="1:20" s="14" customFormat="1" ht="11.25">
      <c r="A783" s="14" t="s">
        <v>413</v>
      </c>
      <c r="B783" s="14" t="s">
        <v>414</v>
      </c>
      <c r="C783" s="14" t="s">
        <v>56</v>
      </c>
      <c r="D783" s="169" t="s">
        <v>415</v>
      </c>
      <c r="E783" s="170">
        <v>88116</v>
      </c>
      <c r="F783" s="14" t="s">
        <v>397</v>
      </c>
      <c r="G783" s="14" t="s">
        <v>1490</v>
      </c>
      <c r="H783" s="23">
        <v>0</v>
      </c>
      <c r="I783" s="23">
        <v>3</v>
      </c>
      <c r="J783" s="14">
        <v>0</v>
      </c>
      <c r="L783" s="14">
        <v>0</v>
      </c>
      <c r="N783" s="24">
        <v>0</v>
      </c>
      <c r="P783" s="14">
        <v>0</v>
      </c>
      <c r="R783" s="14">
        <v>0</v>
      </c>
      <c r="T783" s="14" t="str">
        <f t="shared" si="12"/>
        <v>No</v>
      </c>
    </row>
    <row r="784" spans="1:20" s="14" customFormat="1" ht="11.25">
      <c r="A784" s="14" t="s">
        <v>909</v>
      </c>
      <c r="B784" s="14" t="s">
        <v>300</v>
      </c>
      <c r="C784" s="14" t="s">
        <v>57</v>
      </c>
      <c r="D784" s="169">
        <v>4233</v>
      </c>
      <c r="E784" s="170">
        <v>40233</v>
      </c>
      <c r="F784" s="14" t="s">
        <v>152</v>
      </c>
      <c r="G784" s="14" t="s">
        <v>1490</v>
      </c>
      <c r="H784" s="23">
        <v>214881</v>
      </c>
      <c r="I784" s="23">
        <v>3</v>
      </c>
      <c r="J784" s="14">
        <v>0</v>
      </c>
      <c r="L784" s="14">
        <v>0</v>
      </c>
      <c r="N784" s="24">
        <v>0</v>
      </c>
      <c r="P784" s="14">
        <v>0</v>
      </c>
      <c r="R784" s="14">
        <v>0</v>
      </c>
      <c r="T784" s="14" t="str">
        <f t="shared" si="12"/>
        <v>No</v>
      </c>
    </row>
    <row r="785" spans="1:20" s="14" customFormat="1" ht="11.25">
      <c r="A785" s="14" t="s">
        <v>1643</v>
      </c>
      <c r="B785" s="14" t="s">
        <v>324</v>
      </c>
      <c r="C785" s="14" t="s">
        <v>35</v>
      </c>
      <c r="D785" s="169">
        <v>4230</v>
      </c>
      <c r="E785" s="170">
        <v>40230</v>
      </c>
      <c r="F785" s="14" t="s">
        <v>152</v>
      </c>
      <c r="G785" s="14" t="s">
        <v>149</v>
      </c>
      <c r="H785" s="23">
        <v>4515419</v>
      </c>
      <c r="I785" s="23">
        <v>3</v>
      </c>
      <c r="J785" s="14">
        <v>0</v>
      </c>
      <c r="L785" s="14">
        <v>0</v>
      </c>
      <c r="N785" s="24">
        <v>0</v>
      </c>
      <c r="P785" s="14">
        <v>0</v>
      </c>
      <c r="R785" s="14">
        <v>0</v>
      </c>
      <c r="T785" s="14" t="str">
        <f t="shared" si="12"/>
        <v>No</v>
      </c>
    </row>
    <row r="786" spans="1:20" s="14" customFormat="1" ht="11.25">
      <c r="A786" s="14" t="s">
        <v>1783</v>
      </c>
      <c r="B786" s="14" t="s">
        <v>1784</v>
      </c>
      <c r="C786" s="14" t="s">
        <v>77</v>
      </c>
      <c r="D786" s="169">
        <v>4163</v>
      </c>
      <c r="E786" s="170">
        <v>40163</v>
      </c>
      <c r="F786" s="14" t="s">
        <v>152</v>
      </c>
      <c r="G786" s="14" t="s">
        <v>1490</v>
      </c>
      <c r="H786" s="23">
        <v>2148346</v>
      </c>
      <c r="I786" s="23">
        <v>2</v>
      </c>
      <c r="J786" s="14">
        <v>1</v>
      </c>
      <c r="L786" s="14">
        <v>0</v>
      </c>
      <c r="N786" s="24">
        <v>1</v>
      </c>
      <c r="P786" s="14">
        <v>1</v>
      </c>
      <c r="R786" s="14">
        <v>0</v>
      </c>
      <c r="T786" s="14" t="str">
        <f t="shared" si="12"/>
        <v>No</v>
      </c>
    </row>
    <row r="787" spans="1:20" s="14" customFormat="1" ht="11.25">
      <c r="A787" s="14" t="s">
        <v>1797</v>
      </c>
      <c r="B787" s="14" t="s">
        <v>1798</v>
      </c>
      <c r="C787" s="14" t="s">
        <v>32</v>
      </c>
      <c r="D787" s="169"/>
      <c r="E787" s="170">
        <v>40261</v>
      </c>
      <c r="F787" s="14" t="s">
        <v>152</v>
      </c>
      <c r="G787" s="14" t="s">
        <v>1490</v>
      </c>
      <c r="H787" s="23">
        <v>5502379</v>
      </c>
      <c r="I787" s="23">
        <v>2</v>
      </c>
      <c r="J787" s="14">
        <v>0</v>
      </c>
      <c r="L787" s="14">
        <v>0</v>
      </c>
      <c r="N787" s="24">
        <v>0</v>
      </c>
      <c r="P787" s="14">
        <v>0</v>
      </c>
      <c r="R787" s="14">
        <v>0</v>
      </c>
      <c r="T787" s="14" t="str">
        <f t="shared" si="12"/>
        <v>No</v>
      </c>
    </row>
    <row r="788" spans="1:20" s="14" customFormat="1" ht="11.25">
      <c r="A788" s="14" t="s">
        <v>864</v>
      </c>
      <c r="B788" s="14" t="s">
        <v>226</v>
      </c>
      <c r="C788" s="14" t="s">
        <v>43</v>
      </c>
      <c r="D788" s="169">
        <v>4218</v>
      </c>
      <c r="E788" s="170">
        <v>40218</v>
      </c>
      <c r="F788" s="14" t="s">
        <v>152</v>
      </c>
      <c r="G788" s="14" t="s">
        <v>1490</v>
      </c>
      <c r="H788" s="23">
        <v>972546</v>
      </c>
      <c r="I788" s="23">
        <v>2</v>
      </c>
      <c r="J788" s="14">
        <v>0</v>
      </c>
      <c r="L788" s="14">
        <v>0</v>
      </c>
      <c r="N788" s="24">
        <v>0</v>
      </c>
      <c r="P788" s="14">
        <v>0</v>
      </c>
      <c r="R788" s="14">
        <v>0</v>
      </c>
      <c r="T788" s="14" t="str">
        <f t="shared" si="12"/>
        <v>No</v>
      </c>
    </row>
    <row r="789" spans="1:20" s="14" customFormat="1" ht="11.25">
      <c r="A789" s="14" t="s">
        <v>1793</v>
      </c>
      <c r="B789" s="14" t="s">
        <v>1794</v>
      </c>
      <c r="C789" s="14" t="s">
        <v>19</v>
      </c>
      <c r="D789" s="169"/>
      <c r="E789" s="170">
        <v>90264</v>
      </c>
      <c r="F789" s="14" t="s">
        <v>152</v>
      </c>
      <c r="G789" s="14" t="s">
        <v>1490</v>
      </c>
      <c r="H789" s="23">
        <v>12150996</v>
      </c>
      <c r="I789" s="23">
        <v>2</v>
      </c>
      <c r="J789" s="14">
        <v>0</v>
      </c>
      <c r="L789" s="14">
        <v>0</v>
      </c>
      <c r="N789" s="24">
        <v>0</v>
      </c>
      <c r="P789" s="14">
        <v>0</v>
      </c>
      <c r="R789" s="14">
        <v>0</v>
      </c>
      <c r="T789" s="14" t="str">
        <f t="shared" si="12"/>
        <v>No</v>
      </c>
    </row>
    <row r="790" spans="1:20" s="14" customFormat="1" ht="11.25">
      <c r="A790" s="14" t="s">
        <v>1660</v>
      </c>
      <c r="B790" s="14" t="s">
        <v>1682</v>
      </c>
      <c r="C790" s="14" t="s">
        <v>68</v>
      </c>
      <c r="D790" s="169" t="s">
        <v>1659</v>
      </c>
      <c r="E790" s="170">
        <v>99406</v>
      </c>
      <c r="F790" s="14" t="s">
        <v>397</v>
      </c>
      <c r="G790" s="14" t="s">
        <v>1490</v>
      </c>
      <c r="H790" s="23">
        <v>0</v>
      </c>
      <c r="I790" s="23">
        <v>2</v>
      </c>
      <c r="J790" s="14">
        <v>0</v>
      </c>
      <c r="L790" s="14">
        <v>0</v>
      </c>
      <c r="N790" s="24">
        <v>0</v>
      </c>
      <c r="P790" s="14">
        <v>0</v>
      </c>
      <c r="R790" s="14">
        <v>0</v>
      </c>
      <c r="T790" s="14" t="str">
        <f t="shared" si="12"/>
        <v>No</v>
      </c>
    </row>
    <row r="791" spans="1:20" s="14" customFormat="1" ht="11.25">
      <c r="A791" s="14" t="s">
        <v>1882</v>
      </c>
      <c r="B791" s="14" t="s">
        <v>1883</v>
      </c>
      <c r="C791" s="14" t="s">
        <v>9</v>
      </c>
      <c r="D791" s="169"/>
      <c r="E791" s="170">
        <v>414</v>
      </c>
      <c r="F791" s="14" t="s">
        <v>397</v>
      </c>
      <c r="G791" s="14" t="s">
        <v>1490</v>
      </c>
      <c r="H791" s="23">
        <v>0</v>
      </c>
      <c r="I791" s="23">
        <v>2</v>
      </c>
      <c r="J791" s="14">
        <v>1</v>
      </c>
      <c r="L791" s="14">
        <v>0</v>
      </c>
      <c r="N791" s="24">
        <v>1</v>
      </c>
      <c r="P791" s="14">
        <v>0</v>
      </c>
      <c r="R791" s="14">
        <v>0</v>
      </c>
      <c r="T791" s="14" t="str">
        <f t="shared" si="12"/>
        <v>No</v>
      </c>
    </row>
    <row r="792" spans="1:20" s="14" customFormat="1" ht="11.25">
      <c r="A792" s="14" t="s">
        <v>1805</v>
      </c>
      <c r="B792" s="14" t="s">
        <v>1196</v>
      </c>
      <c r="C792" s="14" t="s">
        <v>32</v>
      </c>
      <c r="D792" s="169"/>
      <c r="E792" s="170">
        <v>40258</v>
      </c>
      <c r="F792" s="14" t="s">
        <v>197</v>
      </c>
      <c r="G792" s="14" t="s">
        <v>149</v>
      </c>
      <c r="H792" s="23">
        <v>2441770</v>
      </c>
      <c r="I792" s="23">
        <v>2</v>
      </c>
      <c r="J792" s="14">
        <v>0</v>
      </c>
      <c r="L792" s="14">
        <v>0</v>
      </c>
      <c r="N792" s="24">
        <v>0</v>
      </c>
      <c r="P792" s="14">
        <v>0</v>
      </c>
      <c r="R792" s="14">
        <v>0</v>
      </c>
      <c r="T792" s="14" t="str">
        <f t="shared" si="12"/>
        <v>No</v>
      </c>
    </row>
    <row r="793" spans="1:20" s="14" customFormat="1" ht="11.25">
      <c r="A793" s="14" t="s">
        <v>1393</v>
      </c>
      <c r="B793" s="14" t="s">
        <v>1394</v>
      </c>
      <c r="C793" s="14" t="s">
        <v>77</v>
      </c>
      <c r="D793" s="169">
        <v>4123</v>
      </c>
      <c r="E793" s="170">
        <v>40123</v>
      </c>
      <c r="F793" s="14" t="s">
        <v>152</v>
      </c>
      <c r="G793" s="14" t="s">
        <v>1490</v>
      </c>
      <c r="H793" s="23">
        <v>2148346</v>
      </c>
      <c r="I793" s="23">
        <v>2</v>
      </c>
      <c r="J793" s="14">
        <v>0</v>
      </c>
      <c r="L793" s="14">
        <v>0</v>
      </c>
      <c r="N793" s="24">
        <v>0</v>
      </c>
      <c r="P793" s="14">
        <v>0</v>
      </c>
      <c r="R793" s="14">
        <v>0</v>
      </c>
      <c r="T793" s="14" t="str">
        <f t="shared" si="12"/>
        <v>No</v>
      </c>
    </row>
    <row r="794" spans="1:20" s="14" customFormat="1" ht="11.25">
      <c r="A794" s="14" t="s">
        <v>1884</v>
      </c>
      <c r="B794" s="14" t="s">
        <v>1885</v>
      </c>
      <c r="C794" s="14" t="s">
        <v>16</v>
      </c>
      <c r="D794" s="169" t="s">
        <v>1886</v>
      </c>
      <c r="E794" s="170">
        <v>99334</v>
      </c>
      <c r="F794" s="14" t="s">
        <v>397</v>
      </c>
      <c r="G794" s="14" t="s">
        <v>1490</v>
      </c>
      <c r="H794" s="23">
        <v>0</v>
      </c>
      <c r="I794" s="23">
        <v>2</v>
      </c>
      <c r="J794" s="14">
        <v>0</v>
      </c>
      <c r="L794" s="14">
        <v>0</v>
      </c>
      <c r="N794" s="24">
        <v>0</v>
      </c>
      <c r="P794" s="14">
        <v>0</v>
      </c>
      <c r="R794" s="14">
        <v>0</v>
      </c>
      <c r="T794" s="14" t="str">
        <f t="shared" si="12"/>
        <v>No</v>
      </c>
    </row>
    <row r="795" spans="1:20" s="14" customFormat="1" ht="11.25">
      <c r="A795" s="14" t="s">
        <v>760</v>
      </c>
      <c r="B795" s="14" t="s">
        <v>761</v>
      </c>
      <c r="C795" s="14" t="s">
        <v>16</v>
      </c>
      <c r="D795" s="169" t="s">
        <v>762</v>
      </c>
      <c r="E795" s="170">
        <v>99328</v>
      </c>
      <c r="F795" s="14" t="s">
        <v>397</v>
      </c>
      <c r="G795" s="14" t="s">
        <v>1490</v>
      </c>
      <c r="H795" s="23">
        <v>0</v>
      </c>
      <c r="I795" s="23">
        <v>2</v>
      </c>
      <c r="J795" s="14">
        <v>0</v>
      </c>
      <c r="L795" s="14">
        <v>0</v>
      </c>
      <c r="N795" s="24">
        <v>0</v>
      </c>
      <c r="P795" s="14">
        <v>0</v>
      </c>
      <c r="R795" s="14">
        <v>0</v>
      </c>
      <c r="T795" s="14" t="str">
        <f t="shared" si="12"/>
        <v>No</v>
      </c>
    </row>
    <row r="796" spans="1:20" s="14" customFormat="1" ht="11.25">
      <c r="A796" s="14" t="s">
        <v>750</v>
      </c>
      <c r="B796" s="14" t="s">
        <v>751</v>
      </c>
      <c r="C796" s="14" t="s">
        <v>19</v>
      </c>
      <c r="D796" s="169" t="s">
        <v>752</v>
      </c>
      <c r="E796" s="170">
        <v>99316</v>
      </c>
      <c r="F796" s="14" t="s">
        <v>397</v>
      </c>
      <c r="G796" s="14" t="s">
        <v>1490</v>
      </c>
      <c r="H796" s="23">
        <v>0</v>
      </c>
      <c r="I796" s="23">
        <v>2</v>
      </c>
      <c r="J796" s="14">
        <v>2</v>
      </c>
      <c r="L796" s="14">
        <v>0</v>
      </c>
      <c r="N796" s="24">
        <v>2</v>
      </c>
      <c r="P796" s="14">
        <v>0</v>
      </c>
      <c r="R796" s="14">
        <v>0</v>
      </c>
      <c r="T796" s="14" t="str">
        <f t="shared" si="12"/>
        <v>No</v>
      </c>
    </row>
    <row r="797" spans="1:20" s="14" customFormat="1" ht="11.25">
      <c r="A797" s="14" t="s">
        <v>1191</v>
      </c>
      <c r="B797" s="14" t="s">
        <v>1193</v>
      </c>
      <c r="C797" s="14" t="s">
        <v>88</v>
      </c>
      <c r="D797" s="169">
        <v>28</v>
      </c>
      <c r="E797" s="170">
        <v>28</v>
      </c>
      <c r="F797" s="14" t="s">
        <v>152</v>
      </c>
      <c r="G797" s="14" t="s">
        <v>149</v>
      </c>
      <c r="H797" s="23">
        <v>3059393</v>
      </c>
      <c r="I797" s="23">
        <v>2</v>
      </c>
      <c r="J797" s="14">
        <v>3</v>
      </c>
      <c r="L797" s="14">
        <v>0</v>
      </c>
      <c r="N797" s="24">
        <v>3</v>
      </c>
      <c r="P797" s="14">
        <v>1</v>
      </c>
      <c r="R797" s="14">
        <v>0</v>
      </c>
      <c r="T797" s="14" t="str">
        <f t="shared" si="12"/>
        <v>No</v>
      </c>
    </row>
    <row r="798" spans="1:20" s="14" customFormat="1" ht="11.25">
      <c r="A798" s="14" t="s">
        <v>1790</v>
      </c>
      <c r="B798" s="14" t="s">
        <v>1791</v>
      </c>
      <c r="C798" s="14" t="s">
        <v>32</v>
      </c>
      <c r="D798" s="169"/>
      <c r="E798" s="170">
        <v>40253</v>
      </c>
      <c r="F798" s="14" t="s">
        <v>152</v>
      </c>
      <c r="G798" s="14" t="s">
        <v>1490</v>
      </c>
      <c r="H798" s="23">
        <v>5502379</v>
      </c>
      <c r="I798" s="23">
        <v>2</v>
      </c>
      <c r="J798" s="14">
        <v>0</v>
      </c>
      <c r="L798" s="14">
        <v>0</v>
      </c>
      <c r="N798" s="24">
        <v>0</v>
      </c>
      <c r="P798" s="14">
        <v>0</v>
      </c>
      <c r="R798" s="14">
        <v>0</v>
      </c>
      <c r="T798" s="14" t="str">
        <f t="shared" si="12"/>
        <v>No</v>
      </c>
    </row>
    <row r="799" spans="1:20" s="14" customFormat="1" ht="11.25">
      <c r="A799" s="14" t="s">
        <v>597</v>
      </c>
      <c r="B799" s="14" t="s">
        <v>598</v>
      </c>
      <c r="C799" s="14" t="s">
        <v>88</v>
      </c>
      <c r="D799" s="169" t="s">
        <v>599</v>
      </c>
      <c r="E799" s="170">
        <v>183</v>
      </c>
      <c r="F799" s="14" t="s">
        <v>397</v>
      </c>
      <c r="G799" s="14" t="s">
        <v>1490</v>
      </c>
      <c r="H799" s="23">
        <v>0</v>
      </c>
      <c r="I799" s="23">
        <v>2</v>
      </c>
      <c r="J799" s="14">
        <v>0</v>
      </c>
      <c r="L799" s="14">
        <v>0</v>
      </c>
      <c r="N799" s="24">
        <v>0</v>
      </c>
      <c r="P799" s="14">
        <v>0</v>
      </c>
      <c r="R799" s="14">
        <v>0</v>
      </c>
      <c r="T799" s="14" t="str">
        <f t="shared" si="12"/>
        <v>No</v>
      </c>
    </row>
    <row r="800" spans="1:20" s="14" customFormat="1" ht="11.25">
      <c r="A800" s="14" t="s">
        <v>562</v>
      </c>
      <c r="B800" s="14" t="s">
        <v>563</v>
      </c>
      <c r="C800" s="14" t="s">
        <v>62</v>
      </c>
      <c r="D800" s="169">
        <v>2194</v>
      </c>
      <c r="E800" s="170">
        <v>20194</v>
      </c>
      <c r="F800" s="14" t="s">
        <v>152</v>
      </c>
      <c r="G800" s="14" t="s">
        <v>1490</v>
      </c>
      <c r="H800" s="23">
        <v>64037</v>
      </c>
      <c r="I800" s="23">
        <v>2</v>
      </c>
      <c r="J800" s="14">
        <v>0</v>
      </c>
      <c r="L800" s="14">
        <v>0</v>
      </c>
      <c r="N800" s="24">
        <v>0</v>
      </c>
      <c r="P800" s="14">
        <v>0</v>
      </c>
      <c r="R800" s="14">
        <v>0</v>
      </c>
      <c r="T800" s="14" t="str">
        <f t="shared" si="12"/>
        <v>No</v>
      </c>
    </row>
    <row r="801" spans="1:20" s="14" customFormat="1" ht="11.25">
      <c r="A801" s="14" t="s">
        <v>1800</v>
      </c>
      <c r="B801" s="14" t="s">
        <v>1801</v>
      </c>
      <c r="C801" s="14" t="s">
        <v>32</v>
      </c>
      <c r="D801" s="169"/>
      <c r="E801" s="170">
        <v>40250</v>
      </c>
      <c r="F801" s="14" t="s">
        <v>152</v>
      </c>
      <c r="G801" s="14" t="s">
        <v>1490</v>
      </c>
      <c r="H801" s="23">
        <v>5502379</v>
      </c>
      <c r="I801" s="23">
        <v>2</v>
      </c>
      <c r="J801" s="14">
        <v>1</v>
      </c>
      <c r="L801" s="14">
        <v>0</v>
      </c>
      <c r="N801" s="24">
        <v>1</v>
      </c>
      <c r="P801" s="14">
        <v>0</v>
      </c>
      <c r="R801" s="14">
        <v>0</v>
      </c>
      <c r="T801" s="14" t="str">
        <f t="shared" si="12"/>
        <v>No</v>
      </c>
    </row>
    <row r="802" spans="1:20" s="14" customFormat="1" ht="11.25">
      <c r="A802" s="14" t="s">
        <v>785</v>
      </c>
      <c r="B802" s="14" t="s">
        <v>786</v>
      </c>
      <c r="C802" s="14" t="s">
        <v>92</v>
      </c>
      <c r="D802" s="169" t="s">
        <v>787</v>
      </c>
      <c r="E802" s="170">
        <v>55282</v>
      </c>
      <c r="F802" s="14" t="s">
        <v>397</v>
      </c>
      <c r="G802" s="14" t="s">
        <v>1490</v>
      </c>
      <c r="H802" s="23">
        <v>0</v>
      </c>
      <c r="I802" s="23">
        <v>2</v>
      </c>
      <c r="J802" s="14">
        <v>0</v>
      </c>
      <c r="L802" s="14">
        <v>0</v>
      </c>
      <c r="N802" s="24">
        <v>0</v>
      </c>
      <c r="P802" s="14">
        <v>0</v>
      </c>
      <c r="R802" s="14">
        <v>0</v>
      </c>
      <c r="T802" s="14" t="str">
        <f t="shared" si="12"/>
        <v>No</v>
      </c>
    </row>
    <row r="803" spans="1:20" s="14" customFormat="1" ht="11.25">
      <c r="A803" s="14" t="s">
        <v>746</v>
      </c>
      <c r="B803" s="14" t="s">
        <v>747</v>
      </c>
      <c r="C803" s="14" t="s">
        <v>51</v>
      </c>
      <c r="D803" s="169" t="s">
        <v>748</v>
      </c>
      <c r="E803" s="170">
        <v>50007</v>
      </c>
      <c r="F803" s="14" t="s">
        <v>397</v>
      </c>
      <c r="G803" s="14" t="s">
        <v>1490</v>
      </c>
      <c r="H803" s="23">
        <v>0</v>
      </c>
      <c r="I803" s="23">
        <v>2</v>
      </c>
      <c r="J803" s="14">
        <v>0</v>
      </c>
      <c r="L803" s="14">
        <v>0</v>
      </c>
      <c r="N803" s="24">
        <v>0</v>
      </c>
      <c r="P803" s="14">
        <v>0</v>
      </c>
      <c r="R803" s="14">
        <v>0</v>
      </c>
      <c r="T803" s="14" t="str">
        <f t="shared" si="12"/>
        <v>No</v>
      </c>
    </row>
    <row r="804" spans="1:20" s="14" customFormat="1" ht="11.25">
      <c r="A804" s="14" t="s">
        <v>517</v>
      </c>
      <c r="B804" s="14" t="s">
        <v>518</v>
      </c>
      <c r="C804" s="14" t="s">
        <v>56</v>
      </c>
      <c r="D804" s="169" t="s">
        <v>519</v>
      </c>
      <c r="E804" s="170">
        <v>88170</v>
      </c>
      <c r="F804" s="14" t="s">
        <v>397</v>
      </c>
      <c r="G804" s="14" t="s">
        <v>1490</v>
      </c>
      <c r="H804" s="23">
        <v>0</v>
      </c>
      <c r="I804" s="23">
        <v>2</v>
      </c>
      <c r="J804" s="14">
        <v>0</v>
      </c>
      <c r="L804" s="14">
        <v>0</v>
      </c>
      <c r="N804" s="24">
        <v>0</v>
      </c>
      <c r="P804" s="14">
        <v>0</v>
      </c>
      <c r="R804" s="14">
        <v>0</v>
      </c>
      <c r="T804" s="14" t="str">
        <f t="shared" si="12"/>
        <v>No</v>
      </c>
    </row>
    <row r="805" spans="1:20" s="14" customFormat="1" ht="11.25">
      <c r="A805" s="14" t="s">
        <v>1626</v>
      </c>
      <c r="B805" s="14" t="s">
        <v>1662</v>
      </c>
      <c r="C805" s="14" t="s">
        <v>45</v>
      </c>
      <c r="D805" s="169">
        <v>1157</v>
      </c>
      <c r="E805" s="170">
        <v>10179</v>
      </c>
      <c r="F805" s="14" t="s">
        <v>152</v>
      </c>
      <c r="G805" s="14" t="s">
        <v>1490</v>
      </c>
      <c r="H805" s="23">
        <v>4181019</v>
      </c>
      <c r="I805" s="23">
        <v>2</v>
      </c>
      <c r="J805" s="14">
        <v>0</v>
      </c>
      <c r="L805" s="14">
        <v>0</v>
      </c>
      <c r="N805" s="24">
        <v>0</v>
      </c>
      <c r="P805" s="14">
        <v>0</v>
      </c>
      <c r="R805" s="14">
        <v>0</v>
      </c>
      <c r="T805" s="14" t="str">
        <f t="shared" si="12"/>
        <v>No</v>
      </c>
    </row>
    <row r="806" spans="1:20" s="14" customFormat="1" ht="11.25">
      <c r="A806" s="14" t="s">
        <v>1435</v>
      </c>
      <c r="B806" s="14" t="s">
        <v>1436</v>
      </c>
      <c r="C806" s="14" t="s">
        <v>69</v>
      </c>
      <c r="D806" s="169">
        <v>2176</v>
      </c>
      <c r="E806" s="170">
        <v>20176</v>
      </c>
      <c r="F806" s="14" t="s">
        <v>160</v>
      </c>
      <c r="G806" s="14" t="s">
        <v>1490</v>
      </c>
      <c r="H806" s="23">
        <v>18351295</v>
      </c>
      <c r="I806" s="23">
        <v>2</v>
      </c>
      <c r="J806" s="14">
        <v>0</v>
      </c>
      <c r="L806" s="14">
        <v>0</v>
      </c>
      <c r="N806" s="24">
        <v>0</v>
      </c>
      <c r="P806" s="14">
        <v>0</v>
      </c>
      <c r="R806" s="14">
        <v>0</v>
      </c>
      <c r="T806" s="14" t="str">
        <f t="shared" si="12"/>
        <v>No</v>
      </c>
    </row>
    <row r="807" spans="1:20" s="14" customFormat="1" ht="11.25">
      <c r="A807" s="14" t="s">
        <v>1803</v>
      </c>
      <c r="B807" s="14" t="s">
        <v>1804</v>
      </c>
      <c r="C807" s="14" t="s">
        <v>19</v>
      </c>
      <c r="D807" s="169"/>
      <c r="E807" s="170">
        <v>90280</v>
      </c>
      <c r="F807" s="14" t="s">
        <v>152</v>
      </c>
      <c r="G807" s="14" t="s">
        <v>1490</v>
      </c>
      <c r="H807" s="23">
        <v>12150996</v>
      </c>
      <c r="I807" s="23">
        <v>2</v>
      </c>
      <c r="J807" s="14">
        <v>1</v>
      </c>
      <c r="L807" s="14">
        <v>0</v>
      </c>
      <c r="N807" s="24">
        <v>1</v>
      </c>
      <c r="P807" s="14">
        <v>1</v>
      </c>
      <c r="R807" s="14">
        <v>0</v>
      </c>
      <c r="T807" s="14" t="str">
        <f t="shared" si="12"/>
        <v>No</v>
      </c>
    </row>
    <row r="808" spans="1:20" s="14" customFormat="1" ht="11.25">
      <c r="A808" s="14" t="s">
        <v>134</v>
      </c>
      <c r="B808" s="14" t="s">
        <v>811</v>
      </c>
      <c r="C808" s="14" t="s">
        <v>74</v>
      </c>
      <c r="D808" s="169">
        <v>63</v>
      </c>
      <c r="E808" s="170">
        <v>63</v>
      </c>
      <c r="F808" s="14" t="s">
        <v>152</v>
      </c>
      <c r="G808" s="14" t="s">
        <v>1490</v>
      </c>
      <c r="H808" s="23">
        <v>55805</v>
      </c>
      <c r="I808" s="23">
        <v>2</v>
      </c>
      <c r="J808" s="14">
        <v>1</v>
      </c>
      <c r="L808" s="14">
        <v>0</v>
      </c>
      <c r="N808" s="24">
        <v>1</v>
      </c>
      <c r="P808" s="14">
        <v>0</v>
      </c>
      <c r="R808" s="14">
        <v>0</v>
      </c>
      <c r="T808" s="14" t="str">
        <f t="shared" si="12"/>
        <v>No</v>
      </c>
    </row>
    <row r="809" spans="1:20" s="14" customFormat="1" ht="11.25">
      <c r="A809" s="14" t="s">
        <v>1802</v>
      </c>
      <c r="B809" s="14" t="s">
        <v>1713</v>
      </c>
      <c r="C809" s="14" t="s">
        <v>19</v>
      </c>
      <c r="D809" s="169"/>
      <c r="E809" s="170">
        <v>90278</v>
      </c>
      <c r="F809" s="14" t="s">
        <v>152</v>
      </c>
      <c r="G809" s="14" t="s">
        <v>1490</v>
      </c>
      <c r="H809" s="23">
        <v>12150996</v>
      </c>
      <c r="I809" s="23">
        <v>2</v>
      </c>
      <c r="J809" s="14">
        <v>0</v>
      </c>
      <c r="L809" s="14">
        <v>0</v>
      </c>
      <c r="N809" s="24">
        <v>0</v>
      </c>
      <c r="P809" s="14">
        <v>0</v>
      </c>
      <c r="R809" s="14">
        <v>0</v>
      </c>
      <c r="T809" s="14" t="str">
        <f t="shared" si="12"/>
        <v>No</v>
      </c>
    </row>
    <row r="810" spans="1:20" s="14" customFormat="1" ht="11.25">
      <c r="A810" s="14" t="s">
        <v>847</v>
      </c>
      <c r="B810" s="14" t="s">
        <v>1792</v>
      </c>
      <c r="C810" s="14" t="s">
        <v>69</v>
      </c>
      <c r="D810" s="169" t="s">
        <v>848</v>
      </c>
      <c r="E810" s="170">
        <v>22929</v>
      </c>
      <c r="F810" s="14" t="s">
        <v>397</v>
      </c>
      <c r="G810" s="14" t="s">
        <v>1490</v>
      </c>
      <c r="H810" s="23">
        <v>0</v>
      </c>
      <c r="I810" s="23">
        <v>2</v>
      </c>
      <c r="J810" s="14">
        <v>0</v>
      </c>
      <c r="L810" s="14">
        <v>0</v>
      </c>
      <c r="N810" s="24">
        <v>0</v>
      </c>
      <c r="P810" s="14">
        <v>0</v>
      </c>
      <c r="R810" s="14">
        <v>0</v>
      </c>
      <c r="T810" s="14" t="str">
        <f t="shared" si="12"/>
        <v>No</v>
      </c>
    </row>
    <row r="811" spans="1:20" s="14" customFormat="1" ht="11.25">
      <c r="A811" s="14" t="s">
        <v>1795</v>
      </c>
      <c r="B811" s="14" t="s">
        <v>1796</v>
      </c>
      <c r="C811" s="14" t="s">
        <v>19</v>
      </c>
      <c r="D811" s="169">
        <v>9227</v>
      </c>
      <c r="E811" s="170">
        <v>90227</v>
      </c>
      <c r="F811" s="14" t="s">
        <v>152</v>
      </c>
      <c r="G811" s="14" t="s">
        <v>1490</v>
      </c>
      <c r="H811" s="23">
        <v>214811</v>
      </c>
      <c r="I811" s="23">
        <v>2</v>
      </c>
      <c r="J811" s="14">
        <v>0</v>
      </c>
      <c r="L811" s="14">
        <v>0</v>
      </c>
      <c r="N811" s="24">
        <v>0</v>
      </c>
      <c r="P811" s="14">
        <v>0</v>
      </c>
      <c r="R811" s="14">
        <v>0</v>
      </c>
      <c r="T811" s="14" t="str">
        <f t="shared" si="12"/>
        <v>No</v>
      </c>
    </row>
    <row r="812" spans="1:20" s="14" customFormat="1" ht="11.25">
      <c r="A812" s="14" t="s">
        <v>1648</v>
      </c>
      <c r="B812" s="14" t="s">
        <v>1676</v>
      </c>
      <c r="C812" s="14" t="s">
        <v>32</v>
      </c>
      <c r="D812" s="169"/>
      <c r="E812" s="170">
        <v>44932</v>
      </c>
      <c r="F812" s="14" t="s">
        <v>152</v>
      </c>
      <c r="G812" s="14" t="s">
        <v>1490</v>
      </c>
      <c r="H812" s="23">
        <v>5502379</v>
      </c>
      <c r="I812" s="23">
        <v>2</v>
      </c>
      <c r="J812" s="14">
        <v>0</v>
      </c>
      <c r="L812" s="14">
        <v>0</v>
      </c>
      <c r="N812" s="24">
        <v>0</v>
      </c>
      <c r="P812" s="14">
        <v>0</v>
      </c>
      <c r="R812" s="14">
        <v>0</v>
      </c>
      <c r="T812" s="14" t="str">
        <f t="shared" si="12"/>
        <v>No</v>
      </c>
    </row>
    <row r="813" spans="1:20" s="14" customFormat="1" ht="11.25">
      <c r="A813" s="14" t="s">
        <v>1433</v>
      </c>
      <c r="B813" s="14" t="s">
        <v>1134</v>
      </c>
      <c r="C813" s="14" t="s">
        <v>69</v>
      </c>
      <c r="D813" s="169">
        <v>2089</v>
      </c>
      <c r="E813" s="170">
        <v>20089</v>
      </c>
      <c r="F813" s="14" t="s">
        <v>152</v>
      </c>
      <c r="G813" s="14" t="s">
        <v>1490</v>
      </c>
      <c r="H813" s="23">
        <v>18351295</v>
      </c>
      <c r="I813" s="23">
        <v>2</v>
      </c>
      <c r="J813" s="14">
        <v>0</v>
      </c>
      <c r="L813" s="14">
        <v>0</v>
      </c>
      <c r="N813" s="24">
        <v>0</v>
      </c>
      <c r="P813" s="14">
        <v>0</v>
      </c>
      <c r="R813" s="14">
        <v>0</v>
      </c>
      <c r="T813" s="14" t="str">
        <f t="shared" si="12"/>
        <v>No</v>
      </c>
    </row>
    <row r="814" spans="1:20" s="14" customFormat="1" ht="11.25">
      <c r="A814" s="14" t="s">
        <v>1799</v>
      </c>
      <c r="B814" s="14" t="s">
        <v>1713</v>
      </c>
      <c r="C814" s="14" t="s">
        <v>19</v>
      </c>
      <c r="D814" s="169"/>
      <c r="E814" s="170">
        <v>90273</v>
      </c>
      <c r="F814" s="14" t="s">
        <v>152</v>
      </c>
      <c r="G814" s="14" t="s">
        <v>1490</v>
      </c>
      <c r="H814" s="23">
        <v>12150996</v>
      </c>
      <c r="I814" s="23">
        <v>2</v>
      </c>
      <c r="J814" s="14">
        <v>0</v>
      </c>
      <c r="L814" s="14">
        <v>0</v>
      </c>
      <c r="N814" s="24">
        <v>0</v>
      </c>
      <c r="P814" s="14">
        <v>0</v>
      </c>
      <c r="R814" s="14">
        <v>0</v>
      </c>
      <c r="T814" s="14" t="str">
        <f t="shared" si="12"/>
        <v>No</v>
      </c>
    </row>
    <row r="815" spans="1:20" s="14" customFormat="1" ht="11.25">
      <c r="A815" s="14" t="s">
        <v>1816</v>
      </c>
      <c r="B815" s="14" t="s">
        <v>1817</v>
      </c>
      <c r="C815" s="14" t="s">
        <v>32</v>
      </c>
      <c r="D815" s="169"/>
      <c r="E815" s="170">
        <v>40263</v>
      </c>
      <c r="F815" s="14" t="s">
        <v>152</v>
      </c>
      <c r="G815" s="14" t="s">
        <v>1490</v>
      </c>
      <c r="H815" s="23">
        <v>5502379</v>
      </c>
      <c r="I815" s="23">
        <v>1</v>
      </c>
      <c r="J815" s="14">
        <v>0</v>
      </c>
      <c r="L815" s="14">
        <v>0</v>
      </c>
      <c r="N815" s="24">
        <v>0</v>
      </c>
      <c r="P815" s="14">
        <v>0</v>
      </c>
      <c r="R815" s="14">
        <v>0</v>
      </c>
      <c r="T815" s="14" t="str">
        <f t="shared" si="12"/>
        <v>No</v>
      </c>
    </row>
    <row r="816" spans="1:20" s="14" customFormat="1" ht="11.25">
      <c r="A816" s="14" t="s">
        <v>1819</v>
      </c>
      <c r="B816" s="14" t="s">
        <v>1713</v>
      </c>
      <c r="C816" s="14" t="s">
        <v>19</v>
      </c>
      <c r="D816" s="169"/>
      <c r="E816" s="170">
        <v>90270</v>
      </c>
      <c r="F816" s="14" t="s">
        <v>152</v>
      </c>
      <c r="G816" s="14" t="s">
        <v>1490</v>
      </c>
      <c r="H816" s="23">
        <v>12150996</v>
      </c>
      <c r="I816" s="23">
        <v>1</v>
      </c>
      <c r="J816" s="14">
        <v>0</v>
      </c>
      <c r="L816" s="14">
        <v>0</v>
      </c>
      <c r="N816" s="24">
        <v>0</v>
      </c>
      <c r="P816" s="14">
        <v>0</v>
      </c>
      <c r="R816" s="14">
        <v>0</v>
      </c>
      <c r="T816" s="14" t="str">
        <f t="shared" si="12"/>
        <v>No</v>
      </c>
    </row>
    <row r="817" spans="1:20" s="14" customFormat="1" ht="11.25">
      <c r="A817" s="14" t="s">
        <v>821</v>
      </c>
      <c r="B817" s="14" t="s">
        <v>822</v>
      </c>
      <c r="C817" s="14" t="s">
        <v>69</v>
      </c>
      <c r="D817" s="169">
        <v>2213</v>
      </c>
      <c r="E817" s="170">
        <v>20213</v>
      </c>
      <c r="F817" s="14" t="s">
        <v>152</v>
      </c>
      <c r="G817" s="14" t="s">
        <v>1490</v>
      </c>
      <c r="H817" s="23">
        <v>594962</v>
      </c>
      <c r="I817" s="23">
        <v>1</v>
      </c>
      <c r="J817" s="14">
        <v>0</v>
      </c>
      <c r="L817" s="14">
        <v>0</v>
      </c>
      <c r="N817" s="24">
        <v>0</v>
      </c>
      <c r="P817" s="14">
        <v>0</v>
      </c>
      <c r="R817" s="14">
        <v>0</v>
      </c>
      <c r="T817" s="14" t="str">
        <f t="shared" si="12"/>
        <v>No</v>
      </c>
    </row>
    <row r="818" spans="1:20" s="14" customFormat="1" ht="11.25">
      <c r="A818" s="14" t="s">
        <v>1818</v>
      </c>
      <c r="B818" s="14" t="s">
        <v>1713</v>
      </c>
      <c r="C818" s="14" t="s">
        <v>19</v>
      </c>
      <c r="D818" s="169"/>
      <c r="E818" s="170">
        <v>90269</v>
      </c>
      <c r="F818" s="14" t="s">
        <v>152</v>
      </c>
      <c r="G818" s="14" t="s">
        <v>1490</v>
      </c>
      <c r="H818" s="23">
        <v>12150996</v>
      </c>
      <c r="I818" s="23">
        <v>1</v>
      </c>
      <c r="J818" s="14">
        <v>0</v>
      </c>
      <c r="L818" s="14">
        <v>0</v>
      </c>
      <c r="N818" s="24">
        <v>0</v>
      </c>
      <c r="P818" s="14">
        <v>0</v>
      </c>
      <c r="R818" s="14">
        <v>0</v>
      </c>
      <c r="T818" s="14" t="str">
        <f t="shared" si="12"/>
        <v>No</v>
      </c>
    </row>
    <row r="819" spans="1:20" s="14" customFormat="1" ht="11.25">
      <c r="A819" s="14" t="s">
        <v>1887</v>
      </c>
      <c r="B819" s="14" t="s">
        <v>1888</v>
      </c>
      <c r="C819" s="14" t="s">
        <v>88</v>
      </c>
      <c r="D819" s="169"/>
      <c r="E819" s="170">
        <v>417</v>
      </c>
      <c r="F819" s="14" t="s">
        <v>397</v>
      </c>
      <c r="G819" s="14" t="s">
        <v>1490</v>
      </c>
      <c r="H819" s="23">
        <v>0</v>
      </c>
      <c r="I819" s="23">
        <v>1</v>
      </c>
      <c r="J819" s="14">
        <v>0</v>
      </c>
      <c r="L819" s="14">
        <v>0</v>
      </c>
      <c r="N819" s="24">
        <v>0</v>
      </c>
      <c r="P819" s="14">
        <v>0</v>
      </c>
      <c r="R819" s="14">
        <v>0</v>
      </c>
      <c r="T819" s="14" t="str">
        <f t="shared" si="12"/>
        <v>No</v>
      </c>
    </row>
    <row r="820" spans="1:20" s="14" customFormat="1" ht="11.25">
      <c r="A820" s="14" t="s">
        <v>779</v>
      </c>
      <c r="B820" s="14" t="s">
        <v>780</v>
      </c>
      <c r="C820" s="14" t="s">
        <v>88</v>
      </c>
      <c r="D820" s="169" t="s">
        <v>781</v>
      </c>
      <c r="E820" s="170">
        <v>36</v>
      </c>
      <c r="F820" s="14" t="s">
        <v>397</v>
      </c>
      <c r="G820" s="14" t="s">
        <v>1490</v>
      </c>
      <c r="H820" s="23">
        <v>0</v>
      </c>
      <c r="I820" s="23">
        <v>1</v>
      </c>
      <c r="J820" s="14">
        <v>0</v>
      </c>
      <c r="L820" s="14">
        <v>0</v>
      </c>
      <c r="N820" s="24">
        <v>0</v>
      </c>
      <c r="P820" s="14">
        <v>0</v>
      </c>
      <c r="R820" s="14">
        <v>0</v>
      </c>
      <c r="T820" s="14" t="str">
        <f t="shared" si="12"/>
        <v>No</v>
      </c>
    </row>
    <row r="821" spans="1:20" s="14" customFormat="1" ht="11.25">
      <c r="A821" s="14" t="s">
        <v>1806</v>
      </c>
      <c r="B821" s="14" t="s">
        <v>1807</v>
      </c>
      <c r="C821" s="14" t="s">
        <v>32</v>
      </c>
      <c r="D821" s="169"/>
      <c r="E821" s="170">
        <v>40260</v>
      </c>
      <c r="F821" s="14" t="s">
        <v>152</v>
      </c>
      <c r="G821" s="14" t="s">
        <v>1490</v>
      </c>
      <c r="H821" s="23">
        <v>5502379</v>
      </c>
      <c r="I821" s="23">
        <v>1</v>
      </c>
      <c r="J821" s="14">
        <v>0</v>
      </c>
      <c r="L821" s="14">
        <v>0</v>
      </c>
      <c r="N821" s="24">
        <v>0</v>
      </c>
      <c r="P821" s="14">
        <v>0</v>
      </c>
      <c r="R821" s="14">
        <v>0</v>
      </c>
      <c r="T821" s="14" t="str">
        <f t="shared" si="12"/>
        <v>No</v>
      </c>
    </row>
    <row r="822" spans="1:20" s="14" customFormat="1" ht="11.25">
      <c r="A822" s="14" t="s">
        <v>1153</v>
      </c>
      <c r="B822" s="14" t="s">
        <v>357</v>
      </c>
      <c r="C822" s="14" t="s">
        <v>88</v>
      </c>
      <c r="D822" s="169"/>
      <c r="E822" s="170">
        <v>401</v>
      </c>
      <c r="F822" s="14" t="s">
        <v>397</v>
      </c>
      <c r="G822" s="14" t="s">
        <v>1490</v>
      </c>
      <c r="H822" s="23">
        <v>0</v>
      </c>
      <c r="I822" s="23">
        <v>1</v>
      </c>
      <c r="J822" s="14">
        <v>0</v>
      </c>
      <c r="L822" s="14">
        <v>0</v>
      </c>
      <c r="N822" s="24">
        <v>0</v>
      </c>
      <c r="P822" s="14">
        <v>0</v>
      </c>
      <c r="R822" s="14">
        <v>0</v>
      </c>
      <c r="T822" s="14" t="str">
        <f t="shared" si="12"/>
        <v>No</v>
      </c>
    </row>
    <row r="823" spans="1:20" s="14" customFormat="1" ht="11.25">
      <c r="A823" s="14" t="s">
        <v>1151</v>
      </c>
      <c r="B823" s="14" t="s">
        <v>1152</v>
      </c>
      <c r="C823" s="14" t="s">
        <v>9</v>
      </c>
      <c r="D823" s="169"/>
      <c r="E823" s="170">
        <v>400</v>
      </c>
      <c r="F823" s="14" t="s">
        <v>397</v>
      </c>
      <c r="G823" s="14" t="s">
        <v>1490</v>
      </c>
      <c r="H823" s="23">
        <v>0</v>
      </c>
      <c r="I823" s="23">
        <v>1</v>
      </c>
      <c r="J823" s="14">
        <v>0</v>
      </c>
      <c r="L823" s="14">
        <v>0</v>
      </c>
      <c r="N823" s="24">
        <v>0</v>
      </c>
      <c r="P823" s="14">
        <v>0</v>
      </c>
      <c r="R823" s="14">
        <v>0</v>
      </c>
      <c r="T823" s="14" t="str">
        <f t="shared" si="12"/>
        <v>No</v>
      </c>
    </row>
    <row r="824" spans="1:20" s="14" customFormat="1" ht="11.25">
      <c r="A824" s="14" t="s">
        <v>1808</v>
      </c>
      <c r="B824" s="14" t="s">
        <v>1809</v>
      </c>
      <c r="C824" s="14" t="s">
        <v>9</v>
      </c>
      <c r="D824" s="169" t="s">
        <v>1810</v>
      </c>
      <c r="E824" s="170">
        <v>271</v>
      </c>
      <c r="F824" s="14" t="s">
        <v>397</v>
      </c>
      <c r="G824" s="14" t="s">
        <v>1490</v>
      </c>
      <c r="H824" s="23">
        <v>0</v>
      </c>
      <c r="I824" s="23">
        <v>1</v>
      </c>
      <c r="J824" s="14">
        <v>0</v>
      </c>
      <c r="L824" s="14">
        <v>0</v>
      </c>
      <c r="N824" s="24">
        <v>0</v>
      </c>
      <c r="P824" s="14">
        <v>0</v>
      </c>
      <c r="R824" s="14">
        <v>0</v>
      </c>
      <c r="T824" s="14" t="str">
        <f t="shared" si="12"/>
        <v>No</v>
      </c>
    </row>
    <row r="825" spans="1:20" s="14" customFormat="1" ht="11.25">
      <c r="A825" s="14" t="s">
        <v>510</v>
      </c>
      <c r="B825" s="14" t="s">
        <v>511</v>
      </c>
      <c r="C825" s="14" t="s">
        <v>19</v>
      </c>
      <c r="D825" s="169" t="s">
        <v>512</v>
      </c>
      <c r="E825" s="170">
        <v>99292</v>
      </c>
      <c r="F825" s="14" t="s">
        <v>397</v>
      </c>
      <c r="G825" s="14" t="s">
        <v>1490</v>
      </c>
      <c r="H825" s="23">
        <v>0</v>
      </c>
      <c r="I825" s="23">
        <v>1</v>
      </c>
      <c r="J825" s="14">
        <v>2</v>
      </c>
      <c r="L825" s="14">
        <v>0</v>
      </c>
      <c r="N825" s="24">
        <v>2</v>
      </c>
      <c r="P825" s="14">
        <v>0</v>
      </c>
      <c r="R825" s="14">
        <v>0</v>
      </c>
      <c r="T825" s="14" t="str">
        <f t="shared" si="12"/>
        <v>No</v>
      </c>
    </row>
    <row r="826" spans="1:20" s="14" customFormat="1" ht="11.25">
      <c r="A826" s="14" t="s">
        <v>696</v>
      </c>
      <c r="B826" s="14" t="s">
        <v>697</v>
      </c>
      <c r="C826" s="14" t="s">
        <v>9</v>
      </c>
      <c r="D826" s="169" t="s">
        <v>698</v>
      </c>
      <c r="E826" s="170">
        <v>199</v>
      </c>
      <c r="F826" s="14" t="s">
        <v>397</v>
      </c>
      <c r="G826" s="14" t="s">
        <v>1490</v>
      </c>
      <c r="H826" s="23">
        <v>0</v>
      </c>
      <c r="I826" s="23">
        <v>1</v>
      </c>
      <c r="J826" s="14">
        <v>2</v>
      </c>
      <c r="L826" s="14">
        <v>0</v>
      </c>
      <c r="N826" s="24">
        <v>2</v>
      </c>
      <c r="P826" s="14">
        <v>0</v>
      </c>
      <c r="R826" s="14">
        <v>0</v>
      </c>
      <c r="T826" s="14" t="str">
        <f t="shared" si="12"/>
        <v>No</v>
      </c>
    </row>
    <row r="827" spans="1:20" s="14" customFormat="1" ht="11.25">
      <c r="A827" s="14" t="s">
        <v>594</v>
      </c>
      <c r="B827" s="14" t="s">
        <v>595</v>
      </c>
      <c r="C827" s="14" t="s">
        <v>9</v>
      </c>
      <c r="D827" s="169" t="s">
        <v>596</v>
      </c>
      <c r="E827" s="170">
        <v>175</v>
      </c>
      <c r="F827" s="14" t="s">
        <v>397</v>
      </c>
      <c r="G827" s="14" t="s">
        <v>1490</v>
      </c>
      <c r="H827" s="23">
        <v>0</v>
      </c>
      <c r="I827" s="23">
        <v>1</v>
      </c>
      <c r="J827" s="14">
        <v>0</v>
      </c>
      <c r="L827" s="14">
        <v>0</v>
      </c>
      <c r="N827" s="24">
        <v>0</v>
      </c>
      <c r="P827" s="14">
        <v>0</v>
      </c>
      <c r="R827" s="14">
        <v>0</v>
      </c>
      <c r="T827" s="14" t="str">
        <f t="shared" si="12"/>
        <v>No</v>
      </c>
    </row>
    <row r="828" spans="1:20" s="14" customFormat="1" ht="11.25">
      <c r="A828" s="14" t="s">
        <v>520</v>
      </c>
      <c r="B828" s="14" t="s">
        <v>521</v>
      </c>
      <c r="C828" s="14" t="s">
        <v>9</v>
      </c>
      <c r="D828" s="169" t="s">
        <v>522</v>
      </c>
      <c r="E828" s="170">
        <v>159</v>
      </c>
      <c r="F828" s="14" t="s">
        <v>397</v>
      </c>
      <c r="G828" s="14" t="s">
        <v>1490</v>
      </c>
      <c r="H828" s="23">
        <v>0</v>
      </c>
      <c r="I828" s="23">
        <v>1</v>
      </c>
      <c r="J828" s="14">
        <v>0</v>
      </c>
      <c r="L828" s="14">
        <v>0</v>
      </c>
      <c r="N828" s="24">
        <v>0</v>
      </c>
      <c r="P828" s="14">
        <v>0</v>
      </c>
      <c r="R828" s="14">
        <v>0</v>
      </c>
      <c r="T828" s="14" t="str">
        <f t="shared" si="12"/>
        <v>No</v>
      </c>
    </row>
    <row r="829" spans="1:20" s="14" customFormat="1" ht="11.25">
      <c r="A829" s="14" t="s">
        <v>1889</v>
      </c>
      <c r="B829" s="14" t="s">
        <v>1224</v>
      </c>
      <c r="C829" s="14" t="s">
        <v>80</v>
      </c>
      <c r="D829" s="169"/>
      <c r="E829" s="170">
        <v>11147</v>
      </c>
      <c r="F829" s="14" t="s">
        <v>269</v>
      </c>
      <c r="G829" s="14" t="s">
        <v>149</v>
      </c>
      <c r="H829" s="23">
        <v>1190956</v>
      </c>
      <c r="I829" s="23">
        <v>1</v>
      </c>
      <c r="J829" s="14">
        <v>2</v>
      </c>
      <c r="L829" s="14">
        <v>0</v>
      </c>
      <c r="N829" s="24">
        <v>2</v>
      </c>
      <c r="P829" s="14">
        <v>0</v>
      </c>
      <c r="R829" s="14">
        <v>0</v>
      </c>
      <c r="T829" s="14" t="str">
        <f t="shared" si="12"/>
        <v>No</v>
      </c>
    </row>
    <row r="830" spans="1:20" s="14" customFormat="1" ht="11.25">
      <c r="A830" s="14" t="s">
        <v>1813</v>
      </c>
      <c r="B830" s="14" t="s">
        <v>1814</v>
      </c>
      <c r="C830" s="14" t="s">
        <v>32</v>
      </c>
      <c r="D830" s="169"/>
      <c r="E830" s="170">
        <v>40248</v>
      </c>
      <c r="F830" s="14" t="s">
        <v>152</v>
      </c>
      <c r="G830" s="14" t="s">
        <v>1490</v>
      </c>
      <c r="H830" s="23">
        <v>5502379</v>
      </c>
      <c r="I830" s="23">
        <v>1</v>
      </c>
      <c r="J830" s="14">
        <v>0</v>
      </c>
      <c r="L830" s="14">
        <v>0</v>
      </c>
      <c r="N830" s="24">
        <v>0</v>
      </c>
      <c r="P830" s="14">
        <v>0</v>
      </c>
      <c r="R830" s="14">
        <v>0</v>
      </c>
      <c r="T830" s="14" t="str">
        <f t="shared" si="12"/>
        <v>No</v>
      </c>
    </row>
    <row r="831" spans="1:20" s="14" customFormat="1" ht="11.25">
      <c r="A831" s="14" t="s">
        <v>1629</v>
      </c>
      <c r="B831" s="14" t="s">
        <v>1096</v>
      </c>
      <c r="C831" s="14" t="s">
        <v>45</v>
      </c>
      <c r="D831" s="169">
        <v>1160</v>
      </c>
      <c r="E831" s="170">
        <v>10182</v>
      </c>
      <c r="F831" s="14" t="s">
        <v>197</v>
      </c>
      <c r="G831" s="14" t="s">
        <v>1490</v>
      </c>
      <c r="H831" s="23">
        <v>4181019</v>
      </c>
      <c r="I831" s="23">
        <v>1</v>
      </c>
      <c r="J831" s="14">
        <v>0</v>
      </c>
      <c r="L831" s="14">
        <v>0</v>
      </c>
      <c r="N831" s="24">
        <v>0</v>
      </c>
      <c r="P831" s="14">
        <v>0</v>
      </c>
      <c r="R831" s="14">
        <v>0</v>
      </c>
      <c r="T831" s="14" t="str">
        <f t="shared" si="12"/>
        <v>No</v>
      </c>
    </row>
    <row r="832" spans="1:20" s="14" customFormat="1" ht="11.25">
      <c r="A832" s="14" t="s">
        <v>1890</v>
      </c>
      <c r="B832" s="14" t="s">
        <v>1891</v>
      </c>
      <c r="C832" s="14" t="s">
        <v>59</v>
      </c>
      <c r="D832" s="169" t="s">
        <v>1892</v>
      </c>
      <c r="E832" s="170">
        <v>77069</v>
      </c>
      <c r="F832" s="14" t="s">
        <v>397</v>
      </c>
      <c r="G832" s="14" t="s">
        <v>1490</v>
      </c>
      <c r="H832" s="23">
        <v>0</v>
      </c>
      <c r="I832" s="23">
        <v>1</v>
      </c>
      <c r="J832" s="14">
        <v>0</v>
      </c>
      <c r="L832" s="14">
        <v>0</v>
      </c>
      <c r="N832" s="24">
        <v>0</v>
      </c>
      <c r="P832" s="14">
        <v>0</v>
      </c>
      <c r="R832" s="14">
        <v>0</v>
      </c>
      <c r="T832" s="14" t="str">
        <f t="shared" si="12"/>
        <v>No</v>
      </c>
    </row>
    <row r="833" spans="1:20" s="14" customFormat="1" ht="11.25">
      <c r="A833" s="14" t="s">
        <v>1646</v>
      </c>
      <c r="B833" s="14" t="s">
        <v>1673</v>
      </c>
      <c r="C833" s="14" t="s">
        <v>32</v>
      </c>
      <c r="D833" s="169"/>
      <c r="E833" s="170">
        <v>40240</v>
      </c>
      <c r="F833" s="14" t="s">
        <v>152</v>
      </c>
      <c r="G833" s="14" t="s">
        <v>1490</v>
      </c>
      <c r="H833" s="23">
        <v>5502379</v>
      </c>
      <c r="I833" s="23">
        <v>1</v>
      </c>
      <c r="J833" s="14">
        <v>0</v>
      </c>
      <c r="L833" s="14">
        <v>0</v>
      </c>
      <c r="N833" s="24">
        <v>0</v>
      </c>
      <c r="P833" s="14">
        <v>0</v>
      </c>
      <c r="R833" s="14">
        <v>0</v>
      </c>
      <c r="T833" s="14" t="str">
        <f t="shared" si="12"/>
        <v>No</v>
      </c>
    </row>
    <row r="834" spans="1:20" s="14" customFormat="1" ht="11.25">
      <c r="A834" s="14" t="s">
        <v>1625</v>
      </c>
      <c r="B834" s="14" t="s">
        <v>1661</v>
      </c>
      <c r="C834" s="14" t="s">
        <v>45</v>
      </c>
      <c r="D834" s="169">
        <v>1156</v>
      </c>
      <c r="E834" s="170">
        <v>10178</v>
      </c>
      <c r="F834" s="14" t="s">
        <v>152</v>
      </c>
      <c r="G834" s="14" t="s">
        <v>1490</v>
      </c>
      <c r="H834" s="23">
        <v>4181019</v>
      </c>
      <c r="I834" s="23">
        <v>1</v>
      </c>
      <c r="J834" s="14">
        <v>0</v>
      </c>
      <c r="L834" s="14">
        <v>0</v>
      </c>
      <c r="N834" s="24">
        <v>0</v>
      </c>
      <c r="P834" s="14">
        <v>0</v>
      </c>
      <c r="R834" s="14">
        <v>0</v>
      </c>
      <c r="T834" s="14" t="str">
        <f t="shared" si="12"/>
        <v>No</v>
      </c>
    </row>
    <row r="835" spans="1:20" s="14" customFormat="1" ht="11.25">
      <c r="A835" s="14" t="s">
        <v>808</v>
      </c>
      <c r="B835" s="14" t="s">
        <v>809</v>
      </c>
      <c r="C835" s="14" t="s">
        <v>88</v>
      </c>
      <c r="D835" s="169">
        <v>60</v>
      </c>
      <c r="E835" s="170">
        <v>60</v>
      </c>
      <c r="F835" s="14" t="s">
        <v>397</v>
      </c>
      <c r="G835" s="14" t="s">
        <v>1490</v>
      </c>
      <c r="H835" s="23">
        <v>145140</v>
      </c>
      <c r="I835" s="23">
        <v>1</v>
      </c>
      <c r="J835" s="14">
        <v>0</v>
      </c>
      <c r="L835" s="14">
        <v>0</v>
      </c>
      <c r="N835" s="24">
        <v>0</v>
      </c>
      <c r="P835" s="14">
        <v>0</v>
      </c>
      <c r="R835" s="14">
        <v>0</v>
      </c>
      <c r="T835" s="14" t="str">
        <f t="shared" ref="T835:T838" si="13">IF(S835&amp;Q835&amp;O835&amp;M835&amp;K835&lt;&gt;"","Yes","No")</f>
        <v>No</v>
      </c>
    </row>
    <row r="836" spans="1:20" s="14" customFormat="1" ht="11.25">
      <c r="A836" s="14" t="s">
        <v>1815</v>
      </c>
      <c r="B836" s="14" t="s">
        <v>1713</v>
      </c>
      <c r="C836" s="14" t="s">
        <v>19</v>
      </c>
      <c r="D836" s="169"/>
      <c r="E836" s="170">
        <v>90275</v>
      </c>
      <c r="F836" s="14" t="s">
        <v>152</v>
      </c>
      <c r="G836" s="14" t="s">
        <v>1490</v>
      </c>
      <c r="H836" s="23">
        <v>12150996</v>
      </c>
      <c r="I836" s="23">
        <v>1</v>
      </c>
      <c r="J836" s="14">
        <v>0</v>
      </c>
      <c r="L836" s="14">
        <v>0</v>
      </c>
      <c r="N836" s="24">
        <v>0</v>
      </c>
      <c r="P836" s="14">
        <v>0</v>
      </c>
      <c r="R836" s="14">
        <v>0</v>
      </c>
      <c r="T836" s="14" t="str">
        <f t="shared" si="13"/>
        <v>No</v>
      </c>
    </row>
    <row r="837" spans="1:20" s="14" customFormat="1" ht="11.25">
      <c r="A837" s="14" t="s">
        <v>1812</v>
      </c>
      <c r="B837" s="14" t="s">
        <v>1713</v>
      </c>
      <c r="C837" s="14" t="s">
        <v>19</v>
      </c>
      <c r="D837" s="169"/>
      <c r="E837" s="170">
        <v>90274</v>
      </c>
      <c r="F837" s="14" t="s">
        <v>152</v>
      </c>
      <c r="G837" s="14" t="s">
        <v>1490</v>
      </c>
      <c r="H837" s="23">
        <v>11402946</v>
      </c>
      <c r="I837" s="23">
        <v>1</v>
      </c>
      <c r="J837" s="14">
        <v>0</v>
      </c>
      <c r="L837" s="14">
        <v>0</v>
      </c>
      <c r="N837" s="24">
        <v>0</v>
      </c>
      <c r="P837" s="14">
        <v>0</v>
      </c>
      <c r="R837" s="14">
        <v>0</v>
      </c>
      <c r="T837" s="14" t="str">
        <f t="shared" si="13"/>
        <v>No</v>
      </c>
    </row>
    <row r="838" spans="1:20" s="14" customFormat="1" ht="11.25">
      <c r="A838" s="14" t="s">
        <v>1811</v>
      </c>
      <c r="B838" s="14" t="s">
        <v>1713</v>
      </c>
      <c r="C838" s="14" t="s">
        <v>19</v>
      </c>
      <c r="D838" s="169"/>
      <c r="E838" s="170">
        <v>90272</v>
      </c>
      <c r="F838" s="14" t="s">
        <v>152</v>
      </c>
      <c r="G838" s="14" t="s">
        <v>1490</v>
      </c>
      <c r="H838" s="23">
        <v>12150996</v>
      </c>
      <c r="I838" s="23">
        <v>1</v>
      </c>
      <c r="J838" s="14">
        <v>0</v>
      </c>
      <c r="L838" s="14">
        <v>0</v>
      </c>
      <c r="N838" s="24">
        <v>0</v>
      </c>
      <c r="P838" s="14">
        <v>0</v>
      </c>
      <c r="R838" s="14">
        <v>0</v>
      </c>
      <c r="T838" s="14" t="str">
        <f t="shared" si="13"/>
        <v>No</v>
      </c>
    </row>
  </sheetData>
  <autoFilter ref="A1:T838" xr:uid="{00000000-0009-0000-0000-000003000000}">
    <sortState ref="A2:T793">
      <sortCondition descending="1" ref="I1:I793"/>
    </sortState>
  </autoFilter>
  <conditionalFormatting sqref="A1:XFD838">
    <cfRule type="expression" dxfId="3" priority="4">
      <formula>MOD(ROW(),2)=0</formula>
    </cfRule>
    <cfRule type="expression" priority="5">
      <formula>MOD(ROW(),2)=0</formula>
    </cfRule>
  </conditionalFormatting>
  <conditionalFormatting sqref="A282">
    <cfRule type="expression" dxfId="2" priority="3">
      <formula>MOD(ROW(),2)=0</formula>
    </cfRule>
  </conditionalFormatting>
  <conditionalFormatting sqref="A268">
    <cfRule type="expression" dxfId="1" priority="2">
      <formula>MOD(ROW(),2)=0</formula>
    </cfRule>
  </conditionalFormatting>
  <conditionalFormatting sqref="A413">
    <cfRule type="expression" dxfId="0" priority="1">
      <formula>MOD(ROW(),2)=0</formula>
    </cfRule>
  </conditionalFormatting>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92" r:id="rId3" name="Drop Down 20">
              <controlPr defaultSize="0" autoLine="0" autoPict="0" macro="[0]!ThisWorkbook.DropDown20_Change" altText="This drop-down menu shows or hides columns indicating the presence of &quot;questionable&quot; data.">
                <anchor moveWithCells="1">
                  <from>
                    <xdr:col>20</xdr:col>
                    <xdr:colOff>142875</xdr:colOff>
                    <xdr:row>0</xdr:row>
                    <xdr:rowOff>238125</xdr:rowOff>
                  </from>
                  <to>
                    <xdr:col>23</xdr:col>
                    <xdr:colOff>0</xdr:colOff>
                    <xdr:row>0</xdr:row>
                    <xdr:rowOff>485775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W140"/>
  <sheetViews>
    <sheetView workbookViewId="0"/>
  </sheetViews>
  <sheetFormatPr defaultColWidth="8.85546875" defaultRowHeight="12.75"/>
  <cols>
    <col min="1" max="1" width="9.5703125" style="34" customWidth="1"/>
    <col min="2" max="2" width="8.85546875" style="34"/>
    <col min="3" max="3" width="12.42578125" style="34" customWidth="1"/>
    <col min="4" max="4" width="15.28515625" style="34" customWidth="1"/>
    <col min="5" max="5" width="9.85546875" style="34" customWidth="1"/>
    <col min="6" max="6" width="8.85546875" style="34"/>
    <col min="7" max="11" width="9.85546875" style="34" customWidth="1"/>
    <col min="12" max="13" width="8.85546875" style="34"/>
    <col min="14" max="14" width="8.85546875" style="34" hidden="1" customWidth="1"/>
    <col min="15" max="16384" width="8.85546875" style="34"/>
  </cols>
  <sheetData>
    <row r="1" spans="1:23">
      <c r="A1" s="157" t="s">
        <v>1622</v>
      </c>
      <c r="B1" s="33"/>
      <c r="C1" s="33"/>
      <c r="D1" s="33"/>
      <c r="E1" s="33"/>
      <c r="F1" s="132" t="s">
        <v>96</v>
      </c>
      <c r="G1" s="33"/>
      <c r="H1" s="33"/>
      <c r="I1" s="33"/>
      <c r="J1" s="33"/>
      <c r="K1" s="133"/>
      <c r="L1" s="32"/>
      <c r="M1" s="33"/>
      <c r="N1" s="25">
        <f>IF(N4=1,0,1)</f>
        <v>0</v>
      </c>
      <c r="O1" s="33"/>
      <c r="P1" s="33"/>
      <c r="Q1" s="33"/>
      <c r="R1" s="33"/>
      <c r="S1" s="33"/>
      <c r="T1" s="33"/>
      <c r="U1" s="33"/>
      <c r="V1" s="33"/>
      <c r="W1" s="33"/>
    </row>
    <row r="2" spans="1:23" ht="36.75" customHeight="1">
      <c r="A2" s="96"/>
      <c r="B2" s="97"/>
      <c r="C2" s="97"/>
      <c r="D2" s="98"/>
      <c r="E2" s="98"/>
      <c r="F2" s="134" t="s">
        <v>5</v>
      </c>
      <c r="G2" s="135" t="s">
        <v>6</v>
      </c>
      <c r="H2" s="135" t="s">
        <v>7</v>
      </c>
      <c r="I2" s="135" t="s">
        <v>8</v>
      </c>
      <c r="J2" s="135" t="s">
        <v>140</v>
      </c>
      <c r="K2" s="135" t="s">
        <v>141</v>
      </c>
      <c r="L2" s="33"/>
      <c r="M2" s="33"/>
      <c r="N2" s="33" t="s">
        <v>1552</v>
      </c>
      <c r="O2" s="33"/>
      <c r="P2" s="33"/>
      <c r="Q2" s="33"/>
      <c r="R2" s="33"/>
      <c r="S2" s="33"/>
      <c r="T2" s="33"/>
      <c r="U2" s="33"/>
      <c r="V2" s="33"/>
      <c r="W2" s="33"/>
    </row>
    <row r="3" spans="1:23" ht="27" customHeight="1">
      <c r="A3" s="96"/>
      <c r="B3" s="97"/>
      <c r="C3" s="97"/>
      <c r="D3" s="98"/>
      <c r="E3" s="98"/>
      <c r="F3" s="101">
        <f>IF($N$1,SUMIFS(Stations!L:L,Stations!$W:$W,"=No"),SUM(Stations!L:L))</f>
        <v>71891</v>
      </c>
      <c r="G3" s="102">
        <f>IF($N$1,SUMIFS(Stations!M:M,Stations!$W:$W,"=No"),SUM(Stations!M:M))</f>
        <v>4380</v>
      </c>
      <c r="H3" s="102">
        <f>IF($N$1,SUMIFS(Stations!O:O,Stations!$W:$W,"=No"),SUM(Stations!O:O))</f>
        <v>1033</v>
      </c>
      <c r="I3" s="102">
        <f>IF($N$1,SUMIFS(Stations!Q:Q,Stations!$W:$W,"=No"),SUM(Stations!Q:Q))</f>
        <v>5413</v>
      </c>
      <c r="J3" s="102">
        <f>IF($N$1,SUMIFS(Stations!S:S,Stations!$W:$W,"=No"),SUM(Stations!S:S))</f>
        <v>3035</v>
      </c>
      <c r="K3" s="103">
        <f>IF($N$1,SUMIFS(Stations!U:U,Stations!$W:$W,"=No"),SUM(Stations!U:U))</f>
        <v>2818</v>
      </c>
      <c r="L3" s="33"/>
      <c r="M3" s="33"/>
      <c r="N3" s="33" t="s">
        <v>1553</v>
      </c>
      <c r="O3" s="33"/>
      <c r="P3" s="33"/>
      <c r="Q3" s="33"/>
      <c r="R3" s="33"/>
      <c r="S3" s="33"/>
      <c r="T3" s="33"/>
      <c r="U3" s="33"/>
      <c r="V3" s="33"/>
      <c r="W3" s="33"/>
    </row>
    <row r="4" spans="1:23">
      <c r="A4" s="99"/>
      <c r="B4" s="100"/>
      <c r="C4" s="100"/>
      <c r="D4" s="98"/>
      <c r="E4" s="98"/>
      <c r="F4" s="100"/>
      <c r="G4" s="97"/>
      <c r="H4" s="97"/>
      <c r="I4" s="97"/>
      <c r="J4" s="33"/>
      <c r="K4" s="133"/>
      <c r="L4" s="32"/>
      <c r="M4" s="33"/>
      <c r="N4" s="33">
        <v>1</v>
      </c>
      <c r="O4" s="33"/>
      <c r="P4" s="33"/>
      <c r="Q4" s="33"/>
      <c r="R4" s="33"/>
      <c r="S4" s="33"/>
      <c r="T4" s="33"/>
      <c r="U4" s="33"/>
      <c r="V4" s="33"/>
      <c r="W4" s="33"/>
    </row>
    <row r="5" spans="1:23" ht="15.95" customHeight="1" thickBot="1">
      <c r="A5" s="29" t="s">
        <v>1619</v>
      </c>
      <c r="B5" s="104"/>
      <c r="C5" s="104"/>
      <c r="D5" s="104"/>
      <c r="E5" s="137"/>
      <c r="F5" s="137"/>
      <c r="G5" s="137"/>
      <c r="H5" s="137"/>
      <c r="I5" s="137"/>
      <c r="J5" s="33"/>
      <c r="K5" s="133"/>
      <c r="L5" s="32"/>
      <c r="M5" s="33"/>
      <c r="N5" s="33"/>
      <c r="O5" s="33"/>
      <c r="P5" s="33"/>
      <c r="Q5" s="33"/>
      <c r="R5" s="33"/>
      <c r="S5" s="33"/>
      <c r="T5" s="33"/>
      <c r="U5" s="33"/>
      <c r="V5" s="33"/>
      <c r="W5" s="33"/>
    </row>
    <row r="6" spans="1:23" ht="23.25" thickTop="1">
      <c r="A6" s="94"/>
      <c r="B6" s="95"/>
      <c r="C6" s="95"/>
      <c r="D6" s="118" t="s">
        <v>1550</v>
      </c>
      <c r="E6" s="139" t="s">
        <v>1620</v>
      </c>
      <c r="F6" s="138" t="s">
        <v>5</v>
      </c>
      <c r="G6" s="135" t="s">
        <v>6</v>
      </c>
      <c r="H6" s="135" t="s">
        <v>7</v>
      </c>
      <c r="I6" s="135" t="s">
        <v>8</v>
      </c>
      <c r="J6" s="135" t="s">
        <v>140</v>
      </c>
      <c r="K6" s="135" t="s">
        <v>141</v>
      </c>
      <c r="L6" s="33"/>
      <c r="M6" s="33"/>
      <c r="N6" s="33"/>
      <c r="O6" s="33"/>
      <c r="P6" s="33"/>
      <c r="Q6" s="33"/>
      <c r="R6" s="33"/>
      <c r="S6" s="33"/>
      <c r="T6" s="33"/>
      <c r="U6" s="33"/>
      <c r="V6" s="33"/>
      <c r="W6" s="33"/>
    </row>
    <row r="7" spans="1:23">
      <c r="A7" s="67" t="s">
        <v>1820</v>
      </c>
      <c r="B7" s="68">
        <f>D7</f>
        <v>200000</v>
      </c>
      <c r="C7" s="69"/>
      <c r="D7" s="119">
        <v>200000</v>
      </c>
      <c r="E7" s="130" t="str">
        <f t="shared" ref="E7:E15" si="0">IFERROR(IF(A7="Between",A7&amp;" "&amp;FIXED(B7,0,0)&amp;" "&amp;C7&amp;" "&amp;FIXED(D7,0,0),A7&amp;" "&amp;FIXED(B7,0,0)),"invalid bin")</f>
        <v>Under 200,000</v>
      </c>
      <c r="F7" s="127">
        <f>IF($N$1,SUMIFS(Stations!L:L,Stations!$H:$H,"&lt;"&amp;$D7,Stations!$W:$W,"=No"),SUMIFS(Stations!L:L,Stations!$H:$H,"&lt;"&amp;$D7))</f>
        <v>5105</v>
      </c>
      <c r="G7" s="61">
        <f>IF($N$1,SUMIFS(Stations!M:M,Stations!$H:$H,"&lt;"&amp;$D7,Stations!$W:$W,"=No"),SUMIFS(Stations!M:M,Stations!$H:$H,"&lt;"&amp;$D7))</f>
        <v>321</v>
      </c>
      <c r="H7" s="61">
        <f>IF($N$1,SUMIFS(Stations!O:O,Stations!$H:$H,"&lt;"&amp;$D7,Stations!$W:$W,"=No"),SUMIFS(Stations!O:O,Stations!$H:$H,"&lt;"&amp;$D7))</f>
        <v>3</v>
      </c>
      <c r="I7" s="61">
        <f>IF($N$1,SUMIFS(Stations!Q:Q,Stations!$H:$H,"&lt;"&amp;$D7,Stations!$W:$W,"=No"),SUMIFS(Stations!Q:Q,Stations!$H:$H,"&lt;"&amp;$D7))</f>
        <v>324</v>
      </c>
      <c r="J7" s="61">
        <f>IF($N$1,SUMIFS(Stations!S:S,Stations!$H:$H,"&lt;"&amp;$D7,Stations!$W:$W,"=No"),SUMIFS(Stations!S:S,Stations!$H:$H,"&lt;"&amp;$D7))</f>
        <v>76</v>
      </c>
      <c r="K7" s="62">
        <f>IF($N$1,SUMIFS(Stations!U:U,Stations!$H:$H,"&lt;"&amp;$D7,Stations!$W:$W,"=No"),SUMIFS(Stations!U:U,Stations!$H:$H,"&lt;"&amp;$D7))</f>
        <v>5</v>
      </c>
      <c r="L7" s="136"/>
      <c r="M7" s="33"/>
      <c r="N7" s="33"/>
      <c r="O7" s="33"/>
      <c r="P7" s="33"/>
      <c r="Q7" s="33"/>
      <c r="R7" s="33"/>
      <c r="S7" s="33"/>
      <c r="T7" s="33"/>
      <c r="U7" s="33"/>
      <c r="V7" s="33"/>
      <c r="W7" s="33"/>
    </row>
    <row r="8" spans="1:23">
      <c r="A8" s="67" t="str">
        <f>IF(D8&lt;&gt;"","Between","Over")</f>
        <v>Between</v>
      </c>
      <c r="B8" s="68">
        <f>D7</f>
        <v>200000</v>
      </c>
      <c r="C8" s="69" t="str">
        <f>IF(D8&lt;&gt;"","and","")</f>
        <v>and</v>
      </c>
      <c r="D8" s="119">
        <v>1000000</v>
      </c>
      <c r="E8" s="130" t="str">
        <f t="shared" si="0"/>
        <v>Between 200,000 and 1,000,000</v>
      </c>
      <c r="F8" s="128">
        <f>IF($N$1,IF($A8="Between",SUMIFS(Stations!L:L,Stations!$H:$H,"&gt;="&amp;$B8,Stations!$H:$H,"&lt;"&amp;$D8,Stations!$W:$W,"=No"),SUMIFS(Stations!L:L,Stations!$H:$H,"&gt;="&amp;$B8,Stations!$W:$W,"=No")),IF($A8="Between",SUMIFS(Stations!L:L,Stations!$H:$H,"&gt;="&amp;$B8,Stations!$H:$H,"&lt;"&amp;$D8),SUMIFS(Stations!L:L,Stations!$H:$H,"&gt;="&amp;$B8)))</f>
        <v>9421</v>
      </c>
      <c r="G8" s="63">
        <f>IF($N$1,IF($A8="Between",SUMIFS(Stations!M:M,Stations!$H:$H,"&gt;="&amp;$B8,Stations!$H:$H,"&lt;"&amp;$D8,Stations!$W:$W,"=No"),SUMIFS(Stations!M:M,Stations!$H:$H,"&gt;="&amp;$B8,Stations!$W:$W,"=No")),IF($A8="Between",SUMIFS(Stations!M:M,Stations!$H:$H,"&gt;="&amp;$B8,Stations!$H:$H,"&lt;"&amp;$D8),SUMIFS(Stations!M:M,Stations!$H:$H,"&gt;="&amp;$B8)))</f>
        <v>409</v>
      </c>
      <c r="H8" s="63">
        <f>IF($N$1,IF($A8="Between",SUMIFS(Stations!O:O,Stations!$H:$H,"&gt;="&amp;$B8,Stations!$H:$H,"&lt;"&amp;$D8,Stations!$W:$W,"=No"),SUMIFS(Stations!O:O,Stations!$H:$H,"&gt;="&amp;$B8,Stations!$W:$W,"=No")),IF($A8="Between",SUMIFS(Stations!O:O,Stations!$H:$H,"&gt;="&amp;$B8,Stations!$H:$H,"&lt;"&amp;$D8),SUMIFS(Stations!O:O,Stations!$H:$H,"&gt;="&amp;$B8)))</f>
        <v>7</v>
      </c>
      <c r="I8" s="63">
        <f>IF($N$1,IF($A8="Between",SUMIFS(Stations!Q:Q,Stations!$H:$H,"&gt;="&amp;$B8,Stations!$H:$H,"&lt;"&amp;$D8,Stations!$W:$W,"=No"),SUMIFS(Stations!Q:Q,Stations!$H:$H,"&gt;="&amp;$B8,Stations!$W:$W,"=No")),IF($A8="Between",SUMIFS(Stations!Q:Q,Stations!$H:$H,"&gt;="&amp;$B8,Stations!$H:$H,"&lt;"&amp;$D8),SUMIFS(Stations!Q:Q,Stations!$H:$H,"&gt;="&amp;$B8)))</f>
        <v>416</v>
      </c>
      <c r="J8" s="63">
        <f>IF($N$1,IF($A8="Between",SUMIFS(Stations!S:S,Stations!$H:$H,"&gt;="&amp;$B8,Stations!$H:$H,"&lt;"&amp;$D8,Stations!$W:$W,"=No"),SUMIFS(Stations!S:S,Stations!$H:$H,"&gt;="&amp;$B8,Stations!$W:$W,"=No")),IF($A8="Between",SUMIFS(Stations!S:S,Stations!$H:$H,"&gt;="&amp;$B8,Stations!$H:$H,"&lt;"&amp;$D8),SUMIFS(Stations!S:S,Stations!$H:$H,"&gt;="&amp;$B8)))</f>
        <v>102</v>
      </c>
      <c r="K8" s="64">
        <f>IF($N$1,IF($A8="Between",SUMIFS(Stations!U:U,Stations!$H:$H,"&gt;="&amp;$B8,Stations!$H:$H,"&lt;"&amp;$D8,Stations!$W:$W,"=No"),SUMIFS(Stations!U:U,Stations!$H:$H,"&gt;="&amp;$B8,Stations!$W:$W,"=No")),IF($A8="Between",SUMIFS(Stations!U:U,Stations!$H:$H,"&gt;="&amp;$B8,Stations!$H:$H,"&lt;"&amp;$D8),SUMIFS(Stations!U:U,Stations!$H:$H,"&gt;="&amp;$B8)))</f>
        <v>50</v>
      </c>
      <c r="L8" s="136"/>
      <c r="M8" s="33"/>
      <c r="N8" s="33"/>
      <c r="O8" s="33"/>
      <c r="P8" s="33"/>
      <c r="Q8" s="33"/>
      <c r="R8" s="33"/>
      <c r="S8" s="33"/>
      <c r="T8" s="33"/>
      <c r="U8" s="33"/>
      <c r="V8" s="33"/>
      <c r="W8" s="33"/>
    </row>
    <row r="9" spans="1:23">
      <c r="A9" s="67" t="str">
        <f t="shared" ref="A9:A15" si="1">IF(OR(A8="Over",A8=""),"",IF(D9="","Over","Between"))</f>
        <v>Over</v>
      </c>
      <c r="B9" s="68">
        <f t="shared" ref="B9:B15" si="2">IF(D8="","",D8)</f>
        <v>1000000</v>
      </c>
      <c r="C9" s="69" t="str">
        <f>IF(D9&lt;&gt;"","and","")</f>
        <v/>
      </c>
      <c r="D9" s="119"/>
      <c r="E9" s="130" t="str">
        <f t="shared" si="0"/>
        <v>Over 1,000,000</v>
      </c>
      <c r="F9" s="128">
        <f>IF($N$1,IF($A9="","",IF($A9="Between",SUMIFS(Stations!L:L,Stations!$H:$H,"&gt;="&amp;$B9,Stations!$H:$H,"&lt;"&amp;$D9,Stations!$W:$W,"=No"),SUMIFS(Stations!L:L,Stations!$H:$H,"&gt;="&amp;$B9,Stations!$W:$W,"=No"))),IF($A9="","",IF($A9="Between",SUMIFS(Stations!L:L,Stations!$H:$H,"&gt;="&amp;$B9,Stations!$H:$H,"&lt;"&amp;$D9),SUMIFS(Stations!L:L,Stations!$H:$H,"&gt;="&amp;$B9))))</f>
        <v>57365</v>
      </c>
      <c r="G9" s="63">
        <f>IF($N$1,IF($A9="","",IF($A9="Between",SUMIFS(Stations!M:M,Stations!$H:$H,"&gt;="&amp;$B9,Stations!$H:$H,"&lt;"&amp;$D9,Stations!$W:$W,"=No"),SUMIFS(Stations!M:M,Stations!$H:$H,"&gt;="&amp;$B9,Stations!$W:$W,"=No"))),IF($A9="","",IF($A9="Between",SUMIFS(Stations!M:M,Stations!$H:$H,"&gt;="&amp;$B9,Stations!$H:$H,"&lt;"&amp;$D9),SUMIFS(Stations!M:M,Stations!$H:$H,"&gt;="&amp;$B9))))</f>
        <v>3650</v>
      </c>
      <c r="H9" s="63">
        <f>IF($N$1,IF($A9="","",IF($A9="Between",SUMIFS(Stations!O:O,Stations!$H:$H,"&gt;="&amp;$B9,Stations!$H:$H,"&lt;"&amp;$D9,Stations!$W:$W,"=No"),SUMIFS(Stations!O:O,Stations!$H:$H,"&gt;="&amp;$B9,Stations!$W:$W,"=No"))),IF($A9="","",IF($A9="Between",SUMIFS(Stations!O:O,Stations!$H:$H,"&gt;="&amp;$B9,Stations!$H:$H,"&lt;"&amp;$D9),SUMIFS(Stations!O:O,Stations!$H:$H,"&gt;="&amp;$B9))))</f>
        <v>1023</v>
      </c>
      <c r="I9" s="63">
        <f>IF($N$1,IF($A9="","",IF($A9="Between",SUMIFS(Stations!Q:Q,Stations!$H:$H,"&gt;="&amp;$B9,Stations!$H:$H,"&lt;"&amp;$D9,Stations!$W:$W,"=No"),SUMIFS(Stations!Q:Q,Stations!$H:$H,"&gt;="&amp;$B9,Stations!$W:$W,"=No"))),IF($A9="","",IF($A9="Between",SUMIFS(Stations!Q:Q,Stations!$H:$H,"&gt;="&amp;$B9,Stations!$H:$H,"&lt;"&amp;$D9),SUMIFS(Stations!Q:Q,Stations!$H:$H,"&gt;="&amp;$B9))))</f>
        <v>4673</v>
      </c>
      <c r="J9" s="63">
        <f>IF($N$1,IF($A9="","",IF($A9="Between",SUMIFS(Stations!S:S,Stations!$H:$H,"&gt;="&amp;$B9,Stations!$H:$H,"&lt;"&amp;$D9,Stations!$W:$W,"=No"),SUMIFS(Stations!S:S,Stations!$H:$H,"&gt;="&amp;$B9,Stations!$W:$W,"=No"))),IF($A9="","",IF($A9="Between",SUMIFS(Stations!S:S,Stations!$H:$H,"&gt;="&amp;$B9,Stations!$H:$H,"&lt;"&amp;$D9),SUMIFS(Stations!S:S,Stations!$H:$H,"&gt;="&amp;$B9))))</f>
        <v>2857</v>
      </c>
      <c r="K9" s="64">
        <f>IF($N$1,IF($A9="","",IF($A9="Between",SUMIFS(Stations!U:U,Stations!$H:$H,"&gt;="&amp;$B9,Stations!$H:$H,"&lt;"&amp;$D9,Stations!$W:$W,"=No"),SUMIFS(Stations!U:U,Stations!$H:$H,"&gt;="&amp;$B9,Stations!$W:$W,"=No"))),IF($A9="","",IF($A9="Between",SUMIFS(Stations!U:U,Stations!$H:$H,"&gt;="&amp;$B9,Stations!$H:$H,"&lt;"&amp;$D9),SUMIFS(Stations!U:U,Stations!$H:$H,"&gt;="&amp;$B9))))</f>
        <v>2763</v>
      </c>
      <c r="L9" s="33"/>
      <c r="M9" s="33"/>
      <c r="N9" s="33"/>
      <c r="O9" s="33"/>
      <c r="P9" s="33"/>
      <c r="Q9" s="33"/>
      <c r="R9" s="33"/>
      <c r="S9" s="33"/>
      <c r="T9" s="33"/>
      <c r="U9" s="33"/>
      <c r="V9" s="33"/>
      <c r="W9" s="33"/>
    </row>
    <row r="10" spans="1:23">
      <c r="A10" s="67" t="str">
        <f t="shared" si="1"/>
        <v/>
      </c>
      <c r="B10" s="68" t="str">
        <f t="shared" si="2"/>
        <v/>
      </c>
      <c r="C10" s="69" t="str">
        <f t="shared" ref="C10:C15" si="3">IF(D10&lt;&gt;"","and","")</f>
        <v/>
      </c>
      <c r="D10" s="119"/>
      <c r="E10" s="130" t="str">
        <f t="shared" si="0"/>
        <v>invalid bin</v>
      </c>
      <c r="F10" s="128" t="str">
        <f>IF($N$1,IF($A10="","",IF($A10="Between",SUMIFS(Stations!L:L,Stations!$H:$H,"&gt;="&amp;$B10,Stations!$H:$H,"&lt;"&amp;$D10,Stations!$W:$W,"=No"),SUMIFS(Stations!L:L,Stations!$H:$H,"&gt;="&amp;$B10,Stations!$W:$W,"=No"))),IF($A10="","",IF($A10="Between",SUMIFS(Stations!L:L,Stations!$H:$H,"&gt;="&amp;$B10,Stations!$H:$H,"&lt;"&amp;$D10),SUMIFS(Stations!L:L,Stations!$H:$H,"&gt;="&amp;$B10))))</f>
        <v/>
      </c>
      <c r="G10" s="63" t="str">
        <f>IF($N$1,IF($A10="","",IF($A10="Between",SUMIFS(Stations!M:M,Stations!$H:$H,"&gt;="&amp;$B10,Stations!$H:$H,"&lt;"&amp;$D10,Stations!$W:$W,"=No"),SUMIFS(Stations!M:M,Stations!$H:$H,"&gt;="&amp;$B10,Stations!$W:$W,"=No"))),IF($A10="","",IF($A10="Between",SUMIFS(Stations!M:M,Stations!$H:$H,"&gt;="&amp;$B10,Stations!$H:$H,"&lt;"&amp;$D10),SUMIFS(Stations!M:M,Stations!$H:$H,"&gt;="&amp;$B10))))</f>
        <v/>
      </c>
      <c r="H10" s="63" t="str">
        <f>IF($N$1,IF($A10="","",IF($A10="Between",SUMIFS(Stations!O:O,Stations!$H:$H,"&gt;="&amp;$B10,Stations!$H:$H,"&lt;"&amp;$D10,Stations!$W:$W,"=No"),SUMIFS(Stations!O:O,Stations!$H:$H,"&gt;="&amp;$B10,Stations!$W:$W,"=No"))),IF($A10="","",IF($A10="Between",SUMIFS(Stations!O:O,Stations!$H:$H,"&gt;="&amp;$B10,Stations!$H:$H,"&lt;"&amp;$D10),SUMIFS(Stations!O:O,Stations!$H:$H,"&gt;="&amp;$B10))))</f>
        <v/>
      </c>
      <c r="I10" s="63" t="str">
        <f>IF($N$1,IF($A10="","",IF($A10="Between",SUMIFS(Stations!Q:Q,Stations!$H:$H,"&gt;="&amp;$B10,Stations!$H:$H,"&lt;"&amp;$D10,Stations!$W:$W,"=No"),SUMIFS(Stations!Q:Q,Stations!$H:$H,"&gt;="&amp;$B10,Stations!$W:$W,"=No"))),IF($A10="","",IF($A10="Between",SUMIFS(Stations!Q:Q,Stations!$H:$H,"&gt;="&amp;$B10,Stations!$H:$H,"&lt;"&amp;$D10),SUMIFS(Stations!Q:Q,Stations!$H:$H,"&gt;="&amp;$B10))))</f>
        <v/>
      </c>
      <c r="J10" s="63" t="str">
        <f>IF($N$1,IF($A10="","",IF($A10="Between",SUMIFS(Stations!S:S,Stations!$H:$H,"&gt;="&amp;$B10,Stations!$H:$H,"&lt;"&amp;$D10,Stations!$W:$W,"=No"),SUMIFS(Stations!S:S,Stations!$H:$H,"&gt;="&amp;$B10,Stations!$W:$W,"=No"))),IF($A10="","",IF($A10="Between",SUMIFS(Stations!S:S,Stations!$H:$H,"&gt;="&amp;$B10,Stations!$H:$H,"&lt;"&amp;$D10),SUMIFS(Stations!S:S,Stations!$H:$H,"&gt;="&amp;$B10))))</f>
        <v/>
      </c>
      <c r="K10" s="64" t="str">
        <f>IF($N$1,IF($A10="","",IF($A10="Between",SUMIFS(Stations!U:U,Stations!$H:$H,"&gt;="&amp;$B10,Stations!$H:$H,"&lt;"&amp;$D10,Stations!$W:$W,"=No"),SUMIFS(Stations!U:U,Stations!$H:$H,"&gt;="&amp;$B10,Stations!$W:$W,"=No"))),IF($A10="","",IF($A10="Between",SUMIFS(Stations!U:U,Stations!$H:$H,"&gt;="&amp;$B10,Stations!$H:$H,"&lt;"&amp;$D10),SUMIFS(Stations!U:U,Stations!$H:$H,"&gt;="&amp;$B10))))</f>
        <v/>
      </c>
      <c r="L10" s="33"/>
      <c r="M10" s="33"/>
      <c r="N10" s="33"/>
      <c r="O10" s="33"/>
      <c r="P10" s="33"/>
      <c r="Q10" s="33"/>
      <c r="R10" s="33"/>
      <c r="S10" s="33"/>
      <c r="T10" s="33"/>
      <c r="U10" s="33"/>
      <c r="V10" s="33"/>
      <c r="W10" s="33"/>
    </row>
    <row r="11" spans="1:23">
      <c r="A11" s="67" t="str">
        <f t="shared" si="1"/>
        <v/>
      </c>
      <c r="B11" s="68" t="str">
        <f t="shared" si="2"/>
        <v/>
      </c>
      <c r="C11" s="69" t="str">
        <f t="shared" si="3"/>
        <v/>
      </c>
      <c r="D11" s="119"/>
      <c r="E11" s="130" t="str">
        <f t="shared" si="0"/>
        <v>invalid bin</v>
      </c>
      <c r="F11" s="128" t="str">
        <f>IF($N$1,IF($A11="","",IF($A11="Between",SUMIFS(Stations!L:L,Stations!$H:$H,"&gt;="&amp;$B11,Stations!$H:$H,"&lt;"&amp;$D11,Stations!$W:$W,"=No"),SUMIFS(Stations!L:L,Stations!$H:$H,"&gt;="&amp;$B11,Stations!$W:$W,"=No"))),IF($A11="","",IF($A11="Between",SUMIFS(Stations!L:L,Stations!$H:$H,"&gt;="&amp;$B11,Stations!$H:$H,"&lt;"&amp;$D11),SUMIFS(Stations!L:L,Stations!$H:$H,"&gt;="&amp;$B11))))</f>
        <v/>
      </c>
      <c r="G11" s="63" t="str">
        <f>IF($N$1,IF($A11="","",IF($A11="Between",SUMIFS(Stations!M:M,Stations!$H:$H,"&gt;="&amp;$B11,Stations!$H:$H,"&lt;"&amp;$D11,Stations!$W:$W,"=No"),SUMIFS(Stations!M:M,Stations!$H:$H,"&gt;="&amp;$B11,Stations!$W:$W,"=No"))),IF($A11="","",IF($A11="Between",SUMIFS(Stations!M:M,Stations!$H:$H,"&gt;="&amp;$B11,Stations!$H:$H,"&lt;"&amp;$D11),SUMIFS(Stations!M:M,Stations!$H:$H,"&gt;="&amp;$B11))))</f>
        <v/>
      </c>
      <c r="H11" s="63" t="str">
        <f>IF($N$1,IF($A11="","",IF($A11="Between",SUMIFS(Stations!O:O,Stations!$H:$H,"&gt;="&amp;$B11,Stations!$H:$H,"&lt;"&amp;$D11,Stations!$W:$W,"=No"),SUMIFS(Stations!O:O,Stations!$H:$H,"&gt;="&amp;$B11,Stations!$W:$W,"=No"))),IF($A11="","",IF($A11="Between",SUMIFS(Stations!O:O,Stations!$H:$H,"&gt;="&amp;$B11,Stations!$H:$H,"&lt;"&amp;$D11),SUMIFS(Stations!O:O,Stations!$H:$H,"&gt;="&amp;$B11))))</f>
        <v/>
      </c>
      <c r="I11" s="63" t="str">
        <f>IF($N$1,IF($A11="","",IF($A11="Between",SUMIFS(Stations!Q:Q,Stations!$H:$H,"&gt;="&amp;$B11,Stations!$H:$H,"&lt;"&amp;$D11,Stations!$W:$W,"=No"),SUMIFS(Stations!Q:Q,Stations!$H:$H,"&gt;="&amp;$B11,Stations!$W:$W,"=No"))),IF($A11="","",IF($A11="Between",SUMIFS(Stations!Q:Q,Stations!$H:$H,"&gt;="&amp;$B11,Stations!$H:$H,"&lt;"&amp;$D11),SUMIFS(Stations!Q:Q,Stations!$H:$H,"&gt;="&amp;$B11))))</f>
        <v/>
      </c>
      <c r="J11" s="63" t="str">
        <f>IF($N$1,IF($A11="","",IF($A11="Between",SUMIFS(Stations!S:S,Stations!$H:$H,"&gt;="&amp;$B11,Stations!$H:$H,"&lt;"&amp;$D11,Stations!$W:$W,"=No"),SUMIFS(Stations!S:S,Stations!$H:$H,"&gt;="&amp;$B11,Stations!$W:$W,"=No"))),IF($A11="","",IF($A11="Between",SUMIFS(Stations!S:S,Stations!$H:$H,"&gt;="&amp;$B11,Stations!$H:$H,"&lt;"&amp;$D11),SUMIFS(Stations!S:S,Stations!$H:$H,"&gt;="&amp;$B11))))</f>
        <v/>
      </c>
      <c r="K11" s="64" t="str">
        <f>IF($N$1,IF($A11="","",IF($A11="Between",SUMIFS(Stations!U:U,Stations!$H:$H,"&gt;="&amp;$B11,Stations!$H:$H,"&lt;"&amp;$D11,Stations!$W:$W,"=No"),SUMIFS(Stations!U:U,Stations!$H:$H,"&gt;="&amp;$B11,Stations!$W:$W,"=No"))),IF($A11="","",IF($A11="Between",SUMIFS(Stations!U:U,Stations!$H:$H,"&gt;="&amp;$B11,Stations!$H:$H,"&lt;"&amp;$D11),SUMIFS(Stations!U:U,Stations!$H:$H,"&gt;="&amp;$B11))))</f>
        <v/>
      </c>
      <c r="L11" s="33"/>
      <c r="M11" s="33"/>
      <c r="N11" s="33"/>
      <c r="O11" s="33"/>
      <c r="P11" s="33"/>
      <c r="Q11" s="33"/>
      <c r="R11" s="33"/>
      <c r="S11" s="33"/>
      <c r="T11" s="33"/>
      <c r="U11" s="33"/>
      <c r="V11" s="33"/>
      <c r="W11" s="33"/>
    </row>
    <row r="12" spans="1:23">
      <c r="A12" s="67" t="str">
        <f t="shared" si="1"/>
        <v/>
      </c>
      <c r="B12" s="68" t="str">
        <f t="shared" si="2"/>
        <v/>
      </c>
      <c r="C12" s="69" t="str">
        <f t="shared" si="3"/>
        <v/>
      </c>
      <c r="D12" s="119"/>
      <c r="E12" s="130" t="str">
        <f t="shared" si="0"/>
        <v>invalid bin</v>
      </c>
      <c r="F12" s="128" t="str">
        <f>IF($N$1,IF($A12="","",IF($A12="Between",SUMIFS(Stations!L:L,Stations!$H:$H,"&gt;="&amp;$B12,Stations!$H:$H,"&lt;"&amp;$D12,Stations!$W:$W,"=No"),SUMIFS(Stations!L:L,Stations!$H:$H,"&gt;="&amp;$B12,Stations!$W:$W,"=No"))),IF($A12="","",IF($A12="Between",SUMIFS(Stations!L:L,Stations!$H:$H,"&gt;="&amp;$B12,Stations!$H:$H,"&lt;"&amp;$D12),SUMIFS(Stations!L:L,Stations!$H:$H,"&gt;="&amp;$B12))))</f>
        <v/>
      </c>
      <c r="G12" s="63" t="str">
        <f>IF($N$1,IF($A12="","",IF($A12="Between",SUMIFS(Stations!M:M,Stations!$H:$H,"&gt;="&amp;$B12,Stations!$H:$H,"&lt;"&amp;$D12,Stations!$W:$W,"=No"),SUMIFS(Stations!M:M,Stations!$H:$H,"&gt;="&amp;$B12,Stations!$W:$W,"=No"))),IF($A12="","",IF($A12="Between",SUMIFS(Stations!M:M,Stations!$H:$H,"&gt;="&amp;$B12,Stations!$H:$H,"&lt;"&amp;$D12),SUMIFS(Stations!M:M,Stations!$H:$H,"&gt;="&amp;$B12))))</f>
        <v/>
      </c>
      <c r="H12" s="63" t="str">
        <f>IF($N$1,IF($A12="","",IF($A12="Between",SUMIFS(Stations!O:O,Stations!$H:$H,"&gt;="&amp;$B12,Stations!$H:$H,"&lt;"&amp;$D12,Stations!$W:$W,"=No"),SUMIFS(Stations!O:O,Stations!$H:$H,"&gt;="&amp;$B12,Stations!$W:$W,"=No"))),IF($A12="","",IF($A12="Between",SUMIFS(Stations!O:O,Stations!$H:$H,"&gt;="&amp;$B12,Stations!$H:$H,"&lt;"&amp;$D12),SUMIFS(Stations!O:O,Stations!$H:$H,"&gt;="&amp;$B12))))</f>
        <v/>
      </c>
      <c r="I12" s="63" t="str">
        <f>IF($N$1,IF($A12="","",IF($A12="Between",SUMIFS(Stations!Q:Q,Stations!$H:$H,"&gt;="&amp;$B12,Stations!$H:$H,"&lt;"&amp;$D12,Stations!$W:$W,"=No"),SUMIFS(Stations!Q:Q,Stations!$H:$H,"&gt;="&amp;$B12,Stations!$W:$W,"=No"))),IF($A12="","",IF($A12="Between",SUMIFS(Stations!Q:Q,Stations!$H:$H,"&gt;="&amp;$B12,Stations!$H:$H,"&lt;"&amp;$D12),SUMIFS(Stations!Q:Q,Stations!$H:$H,"&gt;="&amp;$B12))))</f>
        <v/>
      </c>
      <c r="J12" s="63" t="str">
        <f>IF($N$1,IF($A12="","",IF($A12="Between",SUMIFS(Stations!S:S,Stations!$H:$H,"&gt;="&amp;$B12,Stations!$H:$H,"&lt;"&amp;$D12,Stations!$W:$W,"=No"),SUMIFS(Stations!S:S,Stations!$H:$H,"&gt;="&amp;$B12,Stations!$W:$W,"=No"))),IF($A12="","",IF($A12="Between",SUMIFS(Stations!S:S,Stations!$H:$H,"&gt;="&amp;$B12,Stations!$H:$H,"&lt;"&amp;$D12),SUMIFS(Stations!S:S,Stations!$H:$H,"&gt;="&amp;$B12))))</f>
        <v/>
      </c>
      <c r="K12" s="64" t="str">
        <f>IF($N$1,IF($A12="","",IF($A12="Between",SUMIFS(Stations!U:U,Stations!$H:$H,"&gt;="&amp;$B12,Stations!$H:$H,"&lt;"&amp;$D12,Stations!$W:$W,"=No"),SUMIFS(Stations!U:U,Stations!$H:$H,"&gt;="&amp;$B12,Stations!$W:$W,"=No"))),IF($A12="","",IF($A12="Between",SUMIFS(Stations!U:U,Stations!$H:$H,"&gt;="&amp;$B12,Stations!$H:$H,"&lt;"&amp;$D12),SUMIFS(Stations!U:U,Stations!$H:$H,"&gt;="&amp;$B12))))</f>
        <v/>
      </c>
      <c r="L12" s="33"/>
      <c r="M12" s="33"/>
      <c r="N12" s="33"/>
      <c r="O12" s="33"/>
      <c r="P12" s="33"/>
      <c r="Q12" s="33"/>
      <c r="R12" s="33"/>
      <c r="S12" s="33"/>
      <c r="T12" s="33"/>
      <c r="U12" s="33"/>
      <c r="V12" s="33"/>
      <c r="W12" s="33"/>
    </row>
    <row r="13" spans="1:23">
      <c r="A13" s="67" t="str">
        <f t="shared" si="1"/>
        <v/>
      </c>
      <c r="B13" s="68" t="str">
        <f t="shared" si="2"/>
        <v/>
      </c>
      <c r="C13" s="69" t="str">
        <f t="shared" si="3"/>
        <v/>
      </c>
      <c r="D13" s="119"/>
      <c r="E13" s="130" t="str">
        <f t="shared" si="0"/>
        <v>invalid bin</v>
      </c>
      <c r="F13" s="128" t="str">
        <f>IF($N$1,IF($A13="","",IF($A13="Between",SUMIFS(Stations!L:L,Stations!$H:$H,"&gt;="&amp;$B13,Stations!$H:$H,"&lt;"&amp;$D13,Stations!$W:$W,"=No"),SUMIFS(Stations!L:L,Stations!$H:$H,"&gt;="&amp;$B13,Stations!$W:$W,"=No"))),IF($A13="","",IF($A13="Between",SUMIFS(Stations!L:L,Stations!$H:$H,"&gt;="&amp;$B13,Stations!$H:$H,"&lt;"&amp;$D13),SUMIFS(Stations!L:L,Stations!$H:$H,"&gt;="&amp;$B13))))</f>
        <v/>
      </c>
      <c r="G13" s="63" t="str">
        <f>IF($N$1,IF($A13="","",IF($A13="Between",SUMIFS(Stations!M:M,Stations!$H:$H,"&gt;="&amp;$B13,Stations!$H:$H,"&lt;"&amp;$D13,Stations!$W:$W,"=No"),SUMIFS(Stations!M:M,Stations!$H:$H,"&gt;="&amp;$B13,Stations!$W:$W,"=No"))),IF($A13="","",IF($A13="Between",SUMIFS(Stations!M:M,Stations!$H:$H,"&gt;="&amp;$B13,Stations!$H:$H,"&lt;"&amp;$D13),SUMIFS(Stations!M:M,Stations!$H:$H,"&gt;="&amp;$B13))))</f>
        <v/>
      </c>
      <c r="H13" s="63" t="str">
        <f>IF($N$1,IF($A13="","",IF($A13="Between",SUMIFS(Stations!O:O,Stations!$H:$H,"&gt;="&amp;$B13,Stations!$H:$H,"&lt;"&amp;$D13,Stations!$W:$W,"=No"),SUMIFS(Stations!O:O,Stations!$H:$H,"&gt;="&amp;$B13,Stations!$W:$W,"=No"))),IF($A13="","",IF($A13="Between",SUMIFS(Stations!O:O,Stations!$H:$H,"&gt;="&amp;$B13,Stations!$H:$H,"&lt;"&amp;$D13),SUMIFS(Stations!O:O,Stations!$H:$H,"&gt;="&amp;$B13))))</f>
        <v/>
      </c>
      <c r="I13" s="63" t="str">
        <f>IF($N$1,IF($A13="","",IF($A13="Between",SUMIFS(Stations!Q:Q,Stations!$H:$H,"&gt;="&amp;$B13,Stations!$H:$H,"&lt;"&amp;$D13,Stations!$W:$W,"=No"),SUMIFS(Stations!Q:Q,Stations!$H:$H,"&gt;="&amp;$B13,Stations!$W:$W,"=No"))),IF($A13="","",IF($A13="Between",SUMIFS(Stations!Q:Q,Stations!$H:$H,"&gt;="&amp;$B13,Stations!$H:$H,"&lt;"&amp;$D13),SUMIFS(Stations!Q:Q,Stations!$H:$H,"&gt;="&amp;$B13))))</f>
        <v/>
      </c>
      <c r="J13" s="63" t="str">
        <f>IF($N$1,IF($A13="","",IF($A13="Between",SUMIFS(Stations!S:S,Stations!$H:$H,"&gt;="&amp;$B13,Stations!$H:$H,"&lt;"&amp;$D13,Stations!$W:$W,"=No"),SUMIFS(Stations!S:S,Stations!$H:$H,"&gt;="&amp;$B13,Stations!$W:$W,"=No"))),IF($A13="","",IF($A13="Between",SUMIFS(Stations!S:S,Stations!$H:$H,"&gt;="&amp;$B13,Stations!$H:$H,"&lt;"&amp;$D13),SUMIFS(Stations!S:S,Stations!$H:$H,"&gt;="&amp;$B13))))</f>
        <v/>
      </c>
      <c r="K13" s="64" t="str">
        <f>IF($N$1,IF($A13="","",IF($A13="Between",SUMIFS(Stations!U:U,Stations!$H:$H,"&gt;="&amp;$B13,Stations!$H:$H,"&lt;"&amp;$D13,Stations!$W:$W,"=No"),SUMIFS(Stations!U:U,Stations!$H:$H,"&gt;="&amp;$B13,Stations!$W:$W,"=No"))),IF($A13="","",IF($A13="Between",SUMIFS(Stations!U:U,Stations!$H:$H,"&gt;="&amp;$B13,Stations!$H:$H,"&lt;"&amp;$D13),SUMIFS(Stations!U:U,Stations!$H:$H,"&gt;="&amp;$B13))))</f>
        <v/>
      </c>
      <c r="L13" s="33"/>
      <c r="M13" s="33"/>
      <c r="N13" s="33"/>
      <c r="O13" s="33"/>
      <c r="P13" s="33"/>
      <c r="Q13" s="33"/>
      <c r="R13" s="33"/>
      <c r="S13" s="33"/>
      <c r="T13" s="33"/>
      <c r="U13" s="33"/>
      <c r="V13" s="33"/>
      <c r="W13" s="33"/>
    </row>
    <row r="14" spans="1:23">
      <c r="A14" s="67" t="str">
        <f t="shared" si="1"/>
        <v/>
      </c>
      <c r="B14" s="68" t="str">
        <f t="shared" si="2"/>
        <v/>
      </c>
      <c r="C14" s="69" t="str">
        <f t="shared" si="3"/>
        <v/>
      </c>
      <c r="D14" s="119"/>
      <c r="E14" s="130" t="str">
        <f t="shared" si="0"/>
        <v>invalid bin</v>
      </c>
      <c r="F14" s="128" t="str">
        <f>IF($N$1,IF($A14="","",IF($A14="Between",SUMIFS(Stations!L:L,Stations!$H:$H,"&gt;="&amp;$B14,Stations!$H:$H,"&lt;"&amp;$D14,Stations!$W:$W,"=No"),SUMIFS(Stations!L:L,Stations!$H:$H,"&gt;="&amp;$B14,Stations!$W:$W,"=No"))),IF($A14="","",IF($A14="Between",SUMIFS(Stations!L:L,Stations!$H:$H,"&gt;="&amp;$B14,Stations!$H:$H,"&lt;"&amp;$D14),SUMIFS(Stations!L:L,Stations!$H:$H,"&gt;="&amp;$B14))))</f>
        <v/>
      </c>
      <c r="G14" s="63" t="str">
        <f>IF($N$1,IF($A14="","",IF($A14="Between",SUMIFS(Stations!M:M,Stations!$H:$H,"&gt;="&amp;$B14,Stations!$H:$H,"&lt;"&amp;$D14,Stations!$W:$W,"=No"),SUMIFS(Stations!M:M,Stations!$H:$H,"&gt;="&amp;$B14,Stations!$W:$W,"=No"))),IF($A14="","",IF($A14="Between",SUMIFS(Stations!M:M,Stations!$H:$H,"&gt;="&amp;$B14,Stations!$H:$H,"&lt;"&amp;$D14),SUMIFS(Stations!M:M,Stations!$H:$H,"&gt;="&amp;$B14))))</f>
        <v/>
      </c>
      <c r="H14" s="63" t="str">
        <f>IF($N$1,IF($A14="","",IF($A14="Between",SUMIFS(Stations!O:O,Stations!$H:$H,"&gt;="&amp;$B14,Stations!$H:$H,"&lt;"&amp;$D14,Stations!$W:$W,"=No"),SUMIFS(Stations!O:O,Stations!$H:$H,"&gt;="&amp;$B14,Stations!$W:$W,"=No"))),IF($A14="","",IF($A14="Between",SUMIFS(Stations!O:O,Stations!$H:$H,"&gt;="&amp;$B14,Stations!$H:$H,"&lt;"&amp;$D14),SUMIFS(Stations!O:O,Stations!$H:$H,"&gt;="&amp;$B14))))</f>
        <v/>
      </c>
      <c r="I14" s="63" t="str">
        <f>IF($N$1,IF($A14="","",IF($A14="Between",SUMIFS(Stations!Q:Q,Stations!$H:$H,"&gt;="&amp;$B14,Stations!$H:$H,"&lt;"&amp;$D14,Stations!$W:$W,"=No"),SUMIFS(Stations!Q:Q,Stations!$H:$H,"&gt;="&amp;$B14,Stations!$W:$W,"=No"))),IF($A14="","",IF($A14="Between",SUMIFS(Stations!Q:Q,Stations!$H:$H,"&gt;="&amp;$B14,Stations!$H:$H,"&lt;"&amp;$D14),SUMIFS(Stations!Q:Q,Stations!$H:$H,"&gt;="&amp;$B14))))</f>
        <v/>
      </c>
      <c r="J14" s="63" t="str">
        <f>IF($N$1,IF($A14="","",IF($A14="Between",SUMIFS(Stations!S:S,Stations!$H:$H,"&gt;="&amp;$B14,Stations!$H:$H,"&lt;"&amp;$D14,Stations!$W:$W,"=No"),SUMIFS(Stations!S:S,Stations!$H:$H,"&gt;="&amp;$B14,Stations!$W:$W,"=No"))),IF($A14="","",IF($A14="Between",SUMIFS(Stations!S:S,Stations!$H:$H,"&gt;="&amp;$B14,Stations!$H:$H,"&lt;"&amp;$D14),SUMIFS(Stations!S:S,Stations!$H:$H,"&gt;="&amp;$B14))))</f>
        <v/>
      </c>
      <c r="K14" s="64" t="str">
        <f>IF($N$1,IF($A14="","",IF($A14="Between",SUMIFS(Stations!U:U,Stations!$H:$H,"&gt;="&amp;$B14,Stations!$H:$H,"&lt;"&amp;$D14,Stations!$W:$W,"=No"),SUMIFS(Stations!U:U,Stations!$H:$H,"&gt;="&amp;$B14,Stations!$W:$W,"=No"))),IF($A14="","",IF($A14="Between",SUMIFS(Stations!U:U,Stations!$H:$H,"&gt;="&amp;$B14,Stations!$H:$H,"&lt;"&amp;$D14),SUMIFS(Stations!U:U,Stations!$H:$H,"&gt;="&amp;$B14))))</f>
        <v/>
      </c>
      <c r="L14" s="33"/>
      <c r="M14" s="33"/>
      <c r="N14" s="33"/>
      <c r="O14" s="33"/>
      <c r="P14" s="33"/>
      <c r="Q14" s="33"/>
      <c r="R14" s="33"/>
      <c r="S14" s="33"/>
      <c r="T14" s="33"/>
      <c r="U14" s="33"/>
      <c r="V14" s="33"/>
      <c r="W14" s="33"/>
    </row>
    <row r="15" spans="1:23">
      <c r="A15" s="70" t="str">
        <f t="shared" si="1"/>
        <v/>
      </c>
      <c r="B15" s="71" t="str">
        <f t="shared" si="2"/>
        <v/>
      </c>
      <c r="C15" s="72" t="str">
        <f t="shared" si="3"/>
        <v/>
      </c>
      <c r="D15" s="120"/>
      <c r="E15" s="155" t="str">
        <f t="shared" si="0"/>
        <v>invalid bin</v>
      </c>
      <c r="F15" s="129" t="str">
        <f>IF($N$1,IF($A15="","",IF($A15="Between",SUMIFS(Stations!L:L,Stations!$H:$H,"&gt;="&amp;$B15,Stations!$H:$H,"&lt;"&amp;$D15,Stations!$W:$W,"=No"),SUMIFS(Stations!L:L,Stations!$H:$H,"&gt;="&amp;$B15,Stations!$W:$W,"=No"))),IF($A15="","",IF($A15="Between",SUMIFS(Stations!L:L,Stations!$H:$H,"&gt;="&amp;$B15,Stations!$H:$H,"&lt;"&amp;$D15),SUMIFS(Stations!L:L,Stations!$H:$H,"&gt;="&amp;$B15))))</f>
        <v/>
      </c>
      <c r="G15" s="65" t="str">
        <f>IF($N$1,IF($A15="","",IF($A15="Between",SUMIFS(Stations!M:M,Stations!$H:$H,"&gt;="&amp;$B15,Stations!$H:$H,"&lt;"&amp;$D15,Stations!$W:$W,"=No"),SUMIFS(Stations!M:M,Stations!$H:$H,"&gt;="&amp;$B15,Stations!$W:$W,"=No"))),IF($A15="","",IF($A15="Between",SUMIFS(Stations!M:M,Stations!$H:$H,"&gt;="&amp;$B15,Stations!$H:$H,"&lt;"&amp;$D15),SUMIFS(Stations!M:M,Stations!$H:$H,"&gt;="&amp;$B15))))</f>
        <v/>
      </c>
      <c r="H15" s="65" t="str">
        <f>IF($N$1,IF($A15="","",IF($A15="Between",SUMIFS(Stations!O:O,Stations!$H:$H,"&gt;="&amp;$B15,Stations!$H:$H,"&lt;"&amp;$D15,Stations!$W:$W,"=No"),SUMIFS(Stations!O:O,Stations!$H:$H,"&gt;="&amp;$B15,Stations!$W:$W,"=No"))),IF($A15="","",IF($A15="Between",SUMIFS(Stations!O:O,Stations!$H:$H,"&gt;="&amp;$B15,Stations!$H:$H,"&lt;"&amp;$D15),SUMIFS(Stations!O:O,Stations!$H:$H,"&gt;="&amp;$B15))))</f>
        <v/>
      </c>
      <c r="I15" s="65" t="str">
        <f>IF($N$1,IF($A15="","",IF($A15="Between",SUMIFS(Stations!Q:Q,Stations!$H:$H,"&gt;="&amp;$B15,Stations!$H:$H,"&lt;"&amp;$D15,Stations!$W:$W,"=No"),SUMIFS(Stations!Q:Q,Stations!$H:$H,"&gt;="&amp;$B15,Stations!$W:$W,"=No"))),IF($A15="","",IF($A15="Between",SUMIFS(Stations!Q:Q,Stations!$H:$H,"&gt;="&amp;$B15,Stations!$H:$H,"&lt;"&amp;$D15),SUMIFS(Stations!Q:Q,Stations!$H:$H,"&gt;="&amp;$B15))))</f>
        <v/>
      </c>
      <c r="J15" s="65" t="str">
        <f>IF($N$1,IF($A15="","",IF($A15="Between",SUMIFS(Stations!S:S,Stations!$H:$H,"&gt;="&amp;$B15,Stations!$H:$H,"&lt;"&amp;$D15,Stations!$W:$W,"=No"),SUMIFS(Stations!S:S,Stations!$H:$H,"&gt;="&amp;$B15,Stations!$W:$W,"=No"))),IF($A15="","",IF($A15="Between",SUMIFS(Stations!S:S,Stations!$H:$H,"&gt;="&amp;$B15,Stations!$H:$H,"&lt;"&amp;$D15),SUMIFS(Stations!S:S,Stations!$H:$H,"&gt;="&amp;$B15))))</f>
        <v/>
      </c>
      <c r="K15" s="66" t="str">
        <f>IF($N$1,IF($A15="","",IF($A15="Between",SUMIFS(Stations!U:U,Stations!$H:$H,"&gt;="&amp;$B15,Stations!$H:$H,"&lt;"&amp;$D15,Stations!$W:$W,"=No"),SUMIFS(Stations!U:U,Stations!$H:$H,"&gt;="&amp;$B15,Stations!$W:$W,"=No"))),IF($A15="","",IF($A15="Between",SUMIFS(Stations!U:U,Stations!$H:$H,"&gt;="&amp;$B15,Stations!$H:$H,"&lt;"&amp;$D15),SUMIFS(Stations!U:U,Stations!$H:$H,"&gt;="&amp;$B15))))</f>
        <v/>
      </c>
      <c r="L15" s="33"/>
      <c r="M15" s="33"/>
      <c r="N15" s="33"/>
      <c r="O15" s="33"/>
      <c r="P15" s="33"/>
      <c r="Q15" s="33"/>
      <c r="R15" s="33"/>
      <c r="S15" s="33"/>
      <c r="T15" s="33"/>
      <c r="U15" s="33"/>
      <c r="V15" s="33"/>
      <c r="W15" s="33"/>
    </row>
    <row r="16" spans="1:23" ht="12" customHeight="1" thickBot="1">
      <c r="A16" s="37"/>
      <c r="B16" s="38"/>
      <c r="C16" s="38"/>
      <c r="D16" s="39"/>
      <c r="E16" s="156"/>
      <c r="F16" s="40"/>
      <c r="G16" s="40"/>
      <c r="H16" s="40"/>
      <c r="I16" s="41"/>
      <c r="J16" s="35"/>
      <c r="K16" s="35"/>
      <c r="L16" s="32"/>
      <c r="M16" s="33"/>
      <c r="N16" s="33"/>
      <c r="O16" s="33"/>
      <c r="P16" s="33"/>
      <c r="Q16" s="33"/>
      <c r="R16" s="33"/>
      <c r="S16" s="33"/>
      <c r="T16" s="33"/>
      <c r="U16" s="33"/>
      <c r="V16" s="33"/>
      <c r="W16" s="33"/>
    </row>
    <row r="17" spans="1:23" ht="11.45" customHeight="1" thickBot="1">
      <c r="A17" s="42"/>
      <c r="B17" s="43"/>
      <c r="C17" s="43"/>
      <c r="D17" s="44"/>
      <c r="E17" s="44"/>
      <c r="F17" s="40"/>
      <c r="G17" s="40"/>
      <c r="H17" s="40"/>
      <c r="I17" s="41"/>
      <c r="J17" s="45"/>
      <c r="K17" s="46"/>
      <c r="L17" s="32"/>
      <c r="M17" s="33"/>
      <c r="N17" s="33"/>
      <c r="O17" s="33"/>
      <c r="P17" s="33"/>
      <c r="Q17" s="33"/>
      <c r="R17" s="33"/>
      <c r="S17" s="33"/>
      <c r="T17" s="33"/>
      <c r="U17" s="33"/>
      <c r="V17" s="33"/>
      <c r="W17" s="33"/>
    </row>
    <row r="18" spans="1:23" ht="13.5" thickTop="1">
      <c r="A18" s="107"/>
      <c r="B18" s="108"/>
      <c r="C18" s="108"/>
      <c r="D18" s="109"/>
      <c r="E18" s="109"/>
      <c r="F18" s="110"/>
      <c r="G18" s="110"/>
      <c r="H18" s="110"/>
      <c r="I18" s="111"/>
      <c r="J18" s="59"/>
      <c r="K18" s="105"/>
      <c r="L18" s="32"/>
      <c r="M18" s="33"/>
      <c r="N18" s="33"/>
      <c r="O18" s="33"/>
      <c r="P18" s="33"/>
      <c r="Q18" s="33"/>
      <c r="R18" s="33"/>
      <c r="S18" s="33"/>
      <c r="T18" s="33"/>
      <c r="U18" s="33"/>
      <c r="V18" s="33"/>
      <c r="W18" s="33"/>
    </row>
    <row r="19" spans="1:23" ht="15.95" customHeight="1" thickBot="1">
      <c r="A19" s="106" t="s">
        <v>1554</v>
      </c>
      <c r="B19" s="104"/>
      <c r="C19" s="104"/>
      <c r="D19" s="104"/>
      <c r="E19" s="104"/>
      <c r="F19" s="104"/>
      <c r="G19" s="104"/>
      <c r="H19" s="104"/>
      <c r="I19" s="104"/>
      <c r="J19" s="30"/>
      <c r="K19" s="31"/>
      <c r="L19" s="32"/>
      <c r="M19" s="33"/>
      <c r="N19" s="33"/>
      <c r="O19" s="33"/>
      <c r="P19" s="33"/>
      <c r="Q19" s="33"/>
      <c r="R19" s="33"/>
      <c r="S19" s="33"/>
      <c r="T19" s="33"/>
      <c r="U19" s="33"/>
      <c r="V19" s="33"/>
      <c r="W19" s="33"/>
    </row>
    <row r="20" spans="1:23" ht="23.25" thickTop="1">
      <c r="A20" s="48" t="s">
        <v>3</v>
      </c>
      <c r="B20" s="49" t="s">
        <v>1555</v>
      </c>
      <c r="C20" s="146" t="s">
        <v>1556</v>
      </c>
      <c r="D20" s="147" t="s">
        <v>1620</v>
      </c>
      <c r="E20" s="148" t="s">
        <v>1621</v>
      </c>
      <c r="F20" s="138" t="s">
        <v>5</v>
      </c>
      <c r="G20" s="138" t="s">
        <v>6</v>
      </c>
      <c r="H20" s="138" t="s">
        <v>7</v>
      </c>
      <c r="I20" s="138" t="s">
        <v>8</v>
      </c>
      <c r="J20" s="138" t="s">
        <v>140</v>
      </c>
      <c r="K20" s="135" t="s">
        <v>141</v>
      </c>
      <c r="L20" s="32"/>
      <c r="M20" s="33"/>
      <c r="N20" s="33"/>
      <c r="O20" s="33"/>
      <c r="P20" s="33"/>
      <c r="Q20" s="33"/>
      <c r="R20" s="33"/>
      <c r="S20" s="33"/>
      <c r="T20" s="33"/>
      <c r="U20" s="33"/>
      <c r="V20" s="33"/>
      <c r="W20" s="33"/>
    </row>
    <row r="21" spans="1:23">
      <c r="A21" s="73" t="s">
        <v>122</v>
      </c>
      <c r="B21" s="73" t="s">
        <v>15</v>
      </c>
      <c r="C21" s="74" t="s">
        <v>126</v>
      </c>
      <c r="D21" s="121"/>
      <c r="E21" s="75"/>
      <c r="F21" s="61">
        <f>IF($N$1,SUMIFS(Stations!L:L,Stations!$J:$J,"="&amp;$A21,Stations!$K:$K,"="&amp;$B21,Stations!$W:$W,"=No"),SUMIFS(Stations!L:L,Stations!$J:$J,"="&amp;$A21,Stations!$K:$K,"="&amp;$B21))</f>
        <v>2</v>
      </c>
      <c r="G21" s="61">
        <f>IF($N$1,SUMIFS(Stations!M:M,Stations!$J:$J,"="&amp;$A21,Stations!$K:$K,"="&amp;$B21,Stations!$W:$W,"=No"),SUMIFS(Stations!M:M,Stations!$J:$J,"="&amp;$A21,Stations!$K:$K,"="&amp;$B21))</f>
        <v>2</v>
      </c>
      <c r="H21" s="61">
        <f>IF($N$1,SUMIFS(Stations!O:O,Stations!$J:$J,"="&amp;$A21,Stations!$K:$K,"="&amp;$B21,Stations!$W:$W,"=No"),SUMIFS(Stations!O:O,Stations!$J:$J,"="&amp;$A21,Stations!$K:$K,"="&amp;$B21))</f>
        <v>0</v>
      </c>
      <c r="I21" s="61">
        <f>IF($N$1,SUMIFS(Stations!Q:Q,Stations!$J:$J,"="&amp;$A21,Stations!$K:$K,"="&amp;$B21,Stations!$W:$W,"=No"),SUMIFS(Stations!Q:Q,Stations!$J:$J,"="&amp;$A21,Stations!$K:$K,"="&amp;$B21))</f>
        <v>2</v>
      </c>
      <c r="J21" s="61">
        <f>IF($N$1,SUMIFS(Stations!S:S,Stations!$J:$J,"="&amp;$A21,Stations!$K:$K,"="&amp;$B21,Stations!$W:$W,"=No"),SUMIFS(Stations!S:S,Stations!$J:$J,"="&amp;$A21,Stations!$K:$K,"="&amp;$B21))</f>
        <v>1</v>
      </c>
      <c r="K21" s="140">
        <f>IF($N$1,SUMIFS(Stations!U:U,Stations!$J:$J,"="&amp;$A21,Stations!$K:$K,"="&amp;$B21,Stations!$W:$W,"=No"),SUMIFS(Stations!U:U,Stations!$J:$J,"="&amp;$A21,Stations!$K:$K,"="&amp;$B21))</f>
        <v>0</v>
      </c>
      <c r="L21" s="32"/>
      <c r="M21" s="33"/>
      <c r="N21" s="33"/>
      <c r="O21" s="33"/>
      <c r="P21" s="33"/>
      <c r="Q21" s="33"/>
      <c r="R21" s="33"/>
      <c r="S21" s="33"/>
      <c r="T21" s="33"/>
      <c r="U21" s="33"/>
      <c r="V21" s="33"/>
      <c r="W21" s="33"/>
    </row>
    <row r="22" spans="1:23">
      <c r="A22" s="76" t="s">
        <v>10</v>
      </c>
      <c r="B22" s="76" t="s">
        <v>11</v>
      </c>
      <c r="C22" s="77" t="s">
        <v>99</v>
      </c>
      <c r="D22" s="122"/>
      <c r="E22" s="78"/>
      <c r="F22" s="63">
        <f>IF($N$1,SUMIFS(Stations!L:L,Stations!$J:$J,"="&amp;$A22,Stations!$K:$K,"="&amp;$B22,Stations!$W:$W,"=No"),SUMIFS(Stations!L:L,Stations!$J:$J,"="&amp;$A22,Stations!$K:$K,"="&amp;$B22))</f>
        <v>40</v>
      </c>
      <c r="G22" s="63">
        <f>IF($N$1,SUMIFS(Stations!M:M,Stations!$J:$J,"="&amp;$A22,Stations!$K:$K,"="&amp;$B22,Stations!$W:$W,"=No"),SUMIFS(Stations!M:M,Stations!$J:$J,"="&amp;$A22,Stations!$K:$K,"="&amp;$B22))</f>
        <v>11</v>
      </c>
      <c r="H22" s="63">
        <f>IF($N$1,SUMIFS(Stations!O:O,Stations!$J:$J,"="&amp;$A22,Stations!$K:$K,"="&amp;$B22,Stations!$W:$W,"=No"),SUMIFS(Stations!O:O,Stations!$J:$J,"="&amp;$A22,Stations!$K:$K,"="&amp;$B22))</f>
        <v>0</v>
      </c>
      <c r="I22" s="63">
        <f>IF($N$1,SUMIFS(Stations!Q:Q,Stations!$J:$J,"="&amp;$A22,Stations!$K:$K,"="&amp;$B22,Stations!$W:$W,"=No"),SUMIFS(Stations!Q:Q,Stations!$J:$J,"="&amp;$A22,Stations!$K:$K,"="&amp;$B22))</f>
        <v>11</v>
      </c>
      <c r="J22" s="63">
        <f>IF($N$1,SUMIFS(Stations!S:S,Stations!$J:$J,"="&amp;$A22,Stations!$K:$K,"="&amp;$B22,Stations!$W:$W,"=No"),SUMIFS(Stations!S:S,Stations!$J:$J,"="&amp;$A22,Stations!$K:$K,"="&amp;$B22))</f>
        <v>2</v>
      </c>
      <c r="K22" s="141">
        <f>IF($N$1,SUMIFS(Stations!U:U,Stations!$J:$J,"="&amp;$A22,Stations!$K:$K,"="&amp;$B22,Stations!$W:$W,"=No"),SUMIFS(Stations!U:U,Stations!$J:$J,"="&amp;$A22,Stations!$K:$K,"="&amp;$B22))</f>
        <v>2</v>
      </c>
      <c r="L22" s="32"/>
      <c r="M22" s="33"/>
      <c r="N22" s="33"/>
      <c r="O22" s="33"/>
      <c r="P22" s="33"/>
      <c r="Q22" s="33"/>
      <c r="R22" s="33"/>
      <c r="S22" s="33"/>
      <c r="T22" s="33"/>
      <c r="U22" s="33"/>
      <c r="V22" s="33"/>
      <c r="W22" s="33"/>
    </row>
    <row r="23" spans="1:23">
      <c r="A23" s="76" t="s">
        <v>12</v>
      </c>
      <c r="B23" s="76" t="s">
        <v>11</v>
      </c>
      <c r="C23" s="77" t="s">
        <v>111</v>
      </c>
      <c r="D23" s="122"/>
      <c r="E23" s="78"/>
      <c r="F23" s="63">
        <f>IF($N$1,SUMIFS(Stations!L:L,Stations!$J:$J,"="&amp;$A23,Stations!$K:$K,"="&amp;$B23,Stations!$W:$W,"=No"),SUMIFS(Stations!L:L,Stations!$J:$J,"="&amp;$A23,Stations!$K:$K,"="&amp;$B23))</f>
        <v>40198</v>
      </c>
      <c r="G23" s="63">
        <f>IF($N$1,SUMIFS(Stations!M:M,Stations!$J:$J,"="&amp;$A23,Stations!$K:$K,"="&amp;$B23,Stations!$W:$W,"=No"),SUMIFS(Stations!M:M,Stations!$J:$J,"="&amp;$A23,Stations!$K:$K,"="&amp;$B23))</f>
        <v>1097</v>
      </c>
      <c r="H23" s="63">
        <f>IF($N$1,SUMIFS(Stations!O:O,Stations!$J:$J,"="&amp;$A23,Stations!$K:$K,"="&amp;$B23,Stations!$W:$W,"=No"),SUMIFS(Stations!O:O,Stations!$J:$J,"="&amp;$A23,Stations!$K:$K,"="&amp;$B23))</f>
        <v>37</v>
      </c>
      <c r="I23" s="63">
        <f>IF($N$1,SUMIFS(Stations!Q:Q,Stations!$J:$J,"="&amp;$A23,Stations!$K:$K,"="&amp;$B23,Stations!$W:$W,"=No"),SUMIFS(Stations!Q:Q,Stations!$J:$J,"="&amp;$A23,Stations!$K:$K,"="&amp;$B23))</f>
        <v>1134</v>
      </c>
      <c r="J23" s="63">
        <f>IF($N$1,SUMIFS(Stations!S:S,Stations!$J:$J,"="&amp;$A23,Stations!$K:$K,"="&amp;$B23,Stations!$W:$W,"=No"),SUMIFS(Stations!S:S,Stations!$J:$J,"="&amp;$A23,Stations!$K:$K,"="&amp;$B23))</f>
        <v>312</v>
      </c>
      <c r="K23" s="141">
        <f>IF($N$1,SUMIFS(Stations!U:U,Stations!$J:$J,"="&amp;$A23,Stations!$K:$K,"="&amp;$B23,Stations!$W:$W,"=No"),SUMIFS(Stations!U:U,Stations!$J:$J,"="&amp;$A23,Stations!$K:$K,"="&amp;$B23))</f>
        <v>125</v>
      </c>
      <c r="L23" s="32"/>
      <c r="M23" s="33"/>
      <c r="N23" s="33"/>
      <c r="O23" s="33"/>
      <c r="P23" s="33"/>
      <c r="Q23" s="33"/>
      <c r="R23" s="33"/>
      <c r="S23" s="33"/>
      <c r="T23" s="33"/>
      <c r="U23" s="33"/>
      <c r="V23" s="33"/>
      <c r="W23" s="33"/>
    </row>
    <row r="24" spans="1:23">
      <c r="A24" s="76" t="s">
        <v>12</v>
      </c>
      <c r="B24" s="76" t="s">
        <v>15</v>
      </c>
      <c r="C24" s="77" t="s">
        <v>112</v>
      </c>
      <c r="D24" s="122"/>
      <c r="E24" s="78"/>
      <c r="F24" s="63">
        <f>IF($N$1,SUMIFS(Stations!L:L,Stations!$J:$J,"="&amp;$A24,Stations!$K:$K,"="&amp;$B24,Stations!$W:$W,"=No"),SUMIFS(Stations!L:L,Stations!$J:$J,"="&amp;$A24,Stations!$K:$K,"="&amp;$B24))</f>
        <v>8930</v>
      </c>
      <c r="G24" s="63">
        <f>IF($N$1,SUMIFS(Stations!M:M,Stations!$J:$J,"="&amp;$A24,Stations!$K:$K,"="&amp;$B24,Stations!$W:$W,"=No"),SUMIFS(Stations!M:M,Stations!$J:$J,"="&amp;$A24,Stations!$K:$K,"="&amp;$B24))</f>
        <v>382</v>
      </c>
      <c r="H24" s="63">
        <f>IF($N$1,SUMIFS(Stations!O:O,Stations!$J:$J,"="&amp;$A24,Stations!$K:$K,"="&amp;$B24,Stations!$W:$W,"=No"),SUMIFS(Stations!O:O,Stations!$J:$J,"="&amp;$A24,Stations!$K:$K,"="&amp;$B24))</f>
        <v>4</v>
      </c>
      <c r="I24" s="63">
        <f>IF($N$1,SUMIFS(Stations!Q:Q,Stations!$J:$J,"="&amp;$A24,Stations!$K:$K,"="&amp;$B24,Stations!$W:$W,"=No"),SUMIFS(Stations!Q:Q,Stations!$J:$J,"="&amp;$A24,Stations!$K:$K,"="&amp;$B24))</f>
        <v>386</v>
      </c>
      <c r="J24" s="63">
        <f>IF($N$1,SUMIFS(Stations!S:S,Stations!$J:$J,"="&amp;$A24,Stations!$K:$K,"="&amp;$B24,Stations!$W:$W,"=No"),SUMIFS(Stations!S:S,Stations!$J:$J,"="&amp;$A24,Stations!$K:$K,"="&amp;$B24))</f>
        <v>170</v>
      </c>
      <c r="K24" s="141">
        <f>IF($N$1,SUMIFS(Stations!U:U,Stations!$J:$J,"="&amp;$A24,Stations!$K:$K,"="&amp;$B24,Stations!$W:$W,"=No"),SUMIFS(Stations!U:U,Stations!$J:$J,"="&amp;$A24,Stations!$K:$K,"="&amp;$B24))</f>
        <v>96</v>
      </c>
      <c r="L24" s="32"/>
      <c r="M24" s="33"/>
      <c r="N24" s="33"/>
      <c r="O24" s="33"/>
      <c r="P24" s="33"/>
      <c r="Q24" s="33"/>
      <c r="R24" s="33"/>
      <c r="S24" s="33"/>
      <c r="T24" s="33"/>
      <c r="U24" s="33"/>
      <c r="V24" s="33"/>
      <c r="W24" s="33"/>
    </row>
    <row r="25" spans="1:23">
      <c r="A25" s="76" t="s">
        <v>25</v>
      </c>
      <c r="B25" s="76" t="s">
        <v>11</v>
      </c>
      <c r="C25" s="77" t="s">
        <v>115</v>
      </c>
      <c r="D25" s="122"/>
      <c r="E25" s="78"/>
      <c r="F25" s="63">
        <f>IF($N$1,SUMIFS(Stations!L:L,Stations!$J:$J,"="&amp;$A25,Stations!$K:$K,"="&amp;$B25,Stations!$W:$W,"=No"),SUMIFS(Stations!L:L,Stations!$J:$J,"="&amp;$A25,Stations!$K:$K,"="&amp;$B25))</f>
        <v>281</v>
      </c>
      <c r="G25" s="63">
        <f>IF($N$1,SUMIFS(Stations!M:M,Stations!$J:$J,"="&amp;$A25,Stations!$K:$K,"="&amp;$B25,Stations!$W:$W,"=No"),SUMIFS(Stations!M:M,Stations!$J:$J,"="&amp;$A25,Stations!$K:$K,"="&amp;$B25))</f>
        <v>30</v>
      </c>
      <c r="H25" s="63">
        <f>IF($N$1,SUMIFS(Stations!O:O,Stations!$J:$J,"="&amp;$A25,Stations!$K:$K,"="&amp;$B25,Stations!$W:$W,"=No"),SUMIFS(Stations!O:O,Stations!$J:$J,"="&amp;$A25,Stations!$K:$K,"="&amp;$B25))</f>
        <v>0</v>
      </c>
      <c r="I25" s="63">
        <f>IF($N$1,SUMIFS(Stations!Q:Q,Stations!$J:$J,"="&amp;$A25,Stations!$K:$K,"="&amp;$B25,Stations!$W:$W,"=No"),SUMIFS(Stations!Q:Q,Stations!$J:$J,"="&amp;$A25,Stations!$K:$K,"="&amp;$B25))</f>
        <v>30</v>
      </c>
      <c r="J25" s="63">
        <f>IF($N$1,SUMIFS(Stations!S:S,Stations!$J:$J,"="&amp;$A25,Stations!$K:$K,"="&amp;$B25,Stations!$W:$W,"=No"),SUMIFS(Stations!S:S,Stations!$J:$J,"="&amp;$A25,Stations!$K:$K,"="&amp;$B25))</f>
        <v>11</v>
      </c>
      <c r="K25" s="141">
        <f>IF($N$1,SUMIFS(Stations!U:U,Stations!$J:$J,"="&amp;$A25,Stations!$K:$K,"="&amp;$B25,Stations!$W:$W,"=No"),SUMIFS(Stations!U:U,Stations!$J:$J,"="&amp;$A25,Stations!$K:$K,"="&amp;$B25))</f>
        <v>17</v>
      </c>
      <c r="L25" s="32"/>
      <c r="M25" s="33"/>
      <c r="N25" s="33"/>
      <c r="O25" s="33"/>
      <c r="P25" s="33"/>
      <c r="Q25" s="33"/>
      <c r="R25" s="33"/>
      <c r="S25" s="33"/>
      <c r="T25" s="33"/>
      <c r="U25" s="33"/>
      <c r="V25" s="33"/>
      <c r="W25" s="33"/>
    </row>
    <row r="26" spans="1:23">
      <c r="A26" s="76" t="s">
        <v>25</v>
      </c>
      <c r="B26" s="76" t="s">
        <v>15</v>
      </c>
      <c r="C26" s="77" t="s">
        <v>127</v>
      </c>
      <c r="D26" s="122"/>
      <c r="E26" s="78"/>
      <c r="F26" s="63">
        <f>IF($N$1,SUMIFS(Stations!L:L,Stations!$J:$J,"="&amp;$A26,Stations!$K:$K,"="&amp;$B26,Stations!$W:$W,"=No"),SUMIFS(Stations!L:L,Stations!$J:$J,"="&amp;$A26,Stations!$K:$K,"="&amp;$B26))</f>
        <v>0</v>
      </c>
      <c r="G26" s="63">
        <f>IF($N$1,SUMIFS(Stations!M:M,Stations!$J:$J,"="&amp;$A26,Stations!$K:$K,"="&amp;$B26,Stations!$W:$W,"=No"),SUMIFS(Stations!M:M,Stations!$J:$J,"="&amp;$A26,Stations!$K:$K,"="&amp;$B26))</f>
        <v>0</v>
      </c>
      <c r="H26" s="63">
        <f>IF($N$1,SUMIFS(Stations!O:O,Stations!$J:$J,"="&amp;$A26,Stations!$K:$K,"="&amp;$B26,Stations!$W:$W,"=No"),SUMIFS(Stations!O:O,Stations!$J:$J,"="&amp;$A26,Stations!$K:$K,"="&amp;$B26))</f>
        <v>0</v>
      </c>
      <c r="I26" s="63">
        <f>IF($N$1,SUMIFS(Stations!Q:Q,Stations!$J:$J,"="&amp;$A26,Stations!$K:$K,"="&amp;$B26,Stations!$W:$W,"=No"),SUMIFS(Stations!Q:Q,Stations!$J:$J,"="&amp;$A26,Stations!$K:$K,"="&amp;$B26))</f>
        <v>0</v>
      </c>
      <c r="J26" s="63">
        <f>IF($N$1,SUMIFS(Stations!S:S,Stations!$J:$J,"="&amp;$A26,Stations!$K:$K,"="&amp;$B26,Stations!$W:$W,"=No"),SUMIFS(Stations!S:S,Stations!$J:$J,"="&amp;$A26,Stations!$K:$K,"="&amp;$B26))</f>
        <v>0</v>
      </c>
      <c r="K26" s="141">
        <f>IF($N$1,SUMIFS(Stations!U:U,Stations!$J:$J,"="&amp;$A26,Stations!$K:$K,"="&amp;$B26,Stations!$W:$W,"=No"),SUMIFS(Stations!U:U,Stations!$J:$J,"="&amp;$A26,Stations!$K:$K,"="&amp;$B26))</f>
        <v>0</v>
      </c>
      <c r="L26" s="32"/>
      <c r="M26" s="33"/>
      <c r="N26" s="33"/>
      <c r="O26" s="33"/>
      <c r="P26" s="33"/>
      <c r="Q26" s="33"/>
      <c r="R26" s="33"/>
      <c r="S26" s="33"/>
      <c r="T26" s="33"/>
      <c r="U26" s="33"/>
      <c r="V26" s="33"/>
      <c r="W26" s="33"/>
    </row>
    <row r="27" spans="1:23">
      <c r="A27" s="76" t="s">
        <v>1246</v>
      </c>
      <c r="B27" s="76" t="s">
        <v>11</v>
      </c>
      <c r="C27" s="77" t="s">
        <v>1557</v>
      </c>
      <c r="D27" s="122"/>
      <c r="E27" s="78"/>
      <c r="F27" s="63">
        <f>IF($N$1,SUMIFS(Stations!L:L,Stations!$J:$J,"="&amp;$A27,Stations!$K:$K,"="&amp;$B27,Stations!$W:$W,"=No"),SUMIFS(Stations!L:L,Stations!$J:$J,"="&amp;$A27,Stations!$K:$K,"="&amp;$B27))</f>
        <v>27</v>
      </c>
      <c r="G27" s="63">
        <f>IF($N$1,SUMIFS(Stations!M:M,Stations!$J:$J,"="&amp;$A27,Stations!$K:$K,"="&amp;$B27,Stations!$W:$W,"=No"),SUMIFS(Stations!M:M,Stations!$J:$J,"="&amp;$A27,Stations!$K:$K,"="&amp;$B27))</f>
        <v>0</v>
      </c>
      <c r="H27" s="63">
        <f>IF($N$1,SUMIFS(Stations!O:O,Stations!$J:$J,"="&amp;$A27,Stations!$K:$K,"="&amp;$B27,Stations!$W:$W,"=No"),SUMIFS(Stations!O:O,Stations!$J:$J,"="&amp;$A27,Stations!$K:$K,"="&amp;$B27))</f>
        <v>0</v>
      </c>
      <c r="I27" s="63">
        <f>IF($N$1,SUMIFS(Stations!Q:Q,Stations!$J:$J,"="&amp;$A27,Stations!$K:$K,"="&amp;$B27,Stations!$W:$W,"=No"),SUMIFS(Stations!Q:Q,Stations!$J:$J,"="&amp;$A27,Stations!$K:$K,"="&amp;$B27))</f>
        <v>0</v>
      </c>
      <c r="J27" s="63">
        <f>IF($N$1,SUMIFS(Stations!S:S,Stations!$J:$J,"="&amp;$A27,Stations!$K:$K,"="&amp;$B27,Stations!$W:$W,"=No"),SUMIFS(Stations!S:S,Stations!$J:$J,"="&amp;$A27,Stations!$K:$K,"="&amp;$B27))</f>
        <v>0</v>
      </c>
      <c r="K27" s="141">
        <f>IF($N$1,SUMIFS(Stations!U:U,Stations!$J:$J,"="&amp;$A27,Stations!$K:$K,"="&amp;$B27,Stations!$W:$W,"=No"),SUMIFS(Stations!U:U,Stations!$J:$J,"="&amp;$A27,Stations!$K:$K,"="&amp;$B27))</f>
        <v>0</v>
      </c>
      <c r="L27" s="32"/>
      <c r="M27" s="33"/>
      <c r="N27" s="33"/>
      <c r="O27" s="33"/>
      <c r="P27" s="33"/>
      <c r="Q27" s="33"/>
      <c r="R27" s="33"/>
      <c r="S27" s="33"/>
      <c r="T27" s="33"/>
      <c r="U27" s="33"/>
      <c r="V27" s="33"/>
      <c r="W27" s="33"/>
    </row>
    <row r="28" spans="1:23">
      <c r="A28" s="76" t="s">
        <v>21</v>
      </c>
      <c r="B28" s="76" t="s">
        <v>11</v>
      </c>
      <c r="C28" s="77" t="s">
        <v>100</v>
      </c>
      <c r="D28" s="122"/>
      <c r="E28" s="78"/>
      <c r="F28" s="63">
        <f>IF($N$1,SUMIFS(Stations!L:L,Stations!$J:$J,"="&amp;$A28,Stations!$K:$K,"="&amp;$B28,Stations!$W:$W,"=No"),SUMIFS(Stations!L:L,Stations!$J:$J,"="&amp;$A28,Stations!$K:$K,"="&amp;$B28))</f>
        <v>2563</v>
      </c>
      <c r="G28" s="63">
        <f>IF($N$1,SUMIFS(Stations!M:M,Stations!$J:$J,"="&amp;$A28,Stations!$K:$K,"="&amp;$B28,Stations!$W:$W,"=No"),SUMIFS(Stations!M:M,Stations!$J:$J,"="&amp;$A28,Stations!$K:$K,"="&amp;$B28))</f>
        <v>154</v>
      </c>
      <c r="H28" s="63">
        <f>IF($N$1,SUMIFS(Stations!O:O,Stations!$J:$J,"="&amp;$A28,Stations!$K:$K,"="&amp;$B28,Stations!$W:$W,"=No"),SUMIFS(Stations!O:O,Stations!$J:$J,"="&amp;$A28,Stations!$K:$K,"="&amp;$B28))</f>
        <v>3</v>
      </c>
      <c r="I28" s="63">
        <f>IF($N$1,SUMIFS(Stations!Q:Q,Stations!$J:$J,"="&amp;$A28,Stations!$K:$K,"="&amp;$B28,Stations!$W:$W,"=No"),SUMIFS(Stations!Q:Q,Stations!$J:$J,"="&amp;$A28,Stations!$K:$K,"="&amp;$B28))</f>
        <v>157</v>
      </c>
      <c r="J28" s="63">
        <f>IF($N$1,SUMIFS(Stations!S:S,Stations!$J:$J,"="&amp;$A28,Stations!$K:$K,"="&amp;$B28,Stations!$W:$W,"=No"),SUMIFS(Stations!S:S,Stations!$J:$J,"="&amp;$A28,Stations!$K:$K,"="&amp;$B28))</f>
        <v>55</v>
      </c>
      <c r="K28" s="141">
        <f>IF($N$1,SUMIFS(Stations!U:U,Stations!$J:$J,"="&amp;$A28,Stations!$K:$K,"="&amp;$B28,Stations!$W:$W,"=No"),SUMIFS(Stations!U:U,Stations!$J:$J,"="&amp;$A28,Stations!$K:$K,"="&amp;$B28))</f>
        <v>12</v>
      </c>
      <c r="L28" s="32"/>
      <c r="M28" s="33"/>
      <c r="N28" s="33"/>
      <c r="O28" s="33"/>
      <c r="P28" s="33"/>
      <c r="Q28" s="33"/>
      <c r="R28" s="33"/>
      <c r="S28" s="33"/>
      <c r="T28" s="33"/>
      <c r="U28" s="33"/>
      <c r="V28" s="33"/>
      <c r="W28" s="33"/>
    </row>
    <row r="29" spans="1:23">
      <c r="A29" s="76" t="s">
        <v>21</v>
      </c>
      <c r="B29" s="76" t="s">
        <v>15</v>
      </c>
      <c r="C29" s="77" t="s">
        <v>101</v>
      </c>
      <c r="D29" s="122"/>
      <c r="E29" s="78"/>
      <c r="F29" s="63">
        <f>IF($N$1,SUMIFS(Stations!L:L,Stations!$J:$J,"="&amp;$A29,Stations!$K:$K,"="&amp;$B29,Stations!$W:$W,"=No"),SUMIFS(Stations!L:L,Stations!$J:$J,"="&amp;$A29,Stations!$K:$K,"="&amp;$B29))</f>
        <v>1473</v>
      </c>
      <c r="G29" s="63">
        <f>IF($N$1,SUMIFS(Stations!M:M,Stations!$J:$J,"="&amp;$A29,Stations!$K:$K,"="&amp;$B29,Stations!$W:$W,"=No"),SUMIFS(Stations!M:M,Stations!$J:$J,"="&amp;$A29,Stations!$K:$K,"="&amp;$B29))</f>
        <v>83</v>
      </c>
      <c r="H29" s="63">
        <f>IF($N$1,SUMIFS(Stations!O:O,Stations!$J:$J,"="&amp;$A29,Stations!$K:$K,"="&amp;$B29,Stations!$W:$W,"=No"),SUMIFS(Stations!O:O,Stations!$J:$J,"="&amp;$A29,Stations!$K:$K,"="&amp;$B29))</f>
        <v>0</v>
      </c>
      <c r="I29" s="63">
        <f>IF($N$1,SUMIFS(Stations!Q:Q,Stations!$J:$J,"="&amp;$A29,Stations!$K:$K,"="&amp;$B29,Stations!$W:$W,"=No"),SUMIFS(Stations!Q:Q,Stations!$J:$J,"="&amp;$A29,Stations!$K:$K,"="&amp;$B29))</f>
        <v>83</v>
      </c>
      <c r="J29" s="63">
        <f>IF($N$1,SUMIFS(Stations!S:S,Stations!$J:$J,"="&amp;$A29,Stations!$K:$K,"="&amp;$B29,Stations!$W:$W,"=No"),SUMIFS(Stations!S:S,Stations!$J:$J,"="&amp;$A29,Stations!$K:$K,"="&amp;$B29))</f>
        <v>52</v>
      </c>
      <c r="K29" s="141">
        <f>IF($N$1,SUMIFS(Stations!U:U,Stations!$J:$J,"="&amp;$A29,Stations!$K:$K,"="&amp;$B29,Stations!$W:$W,"=No"),SUMIFS(Stations!U:U,Stations!$J:$J,"="&amp;$A29,Stations!$K:$K,"="&amp;$B29))</f>
        <v>82</v>
      </c>
      <c r="L29" s="32"/>
      <c r="M29" s="33"/>
      <c r="N29" s="33"/>
      <c r="O29" s="33"/>
      <c r="P29" s="33"/>
      <c r="Q29" s="33"/>
      <c r="R29" s="33"/>
      <c r="S29" s="33"/>
      <c r="T29" s="33"/>
      <c r="U29" s="33"/>
      <c r="V29" s="33"/>
      <c r="W29" s="33"/>
    </row>
    <row r="30" spans="1:23">
      <c r="A30" s="76" t="s">
        <v>20</v>
      </c>
      <c r="B30" s="76" t="s">
        <v>11</v>
      </c>
      <c r="C30" s="77" t="s">
        <v>102</v>
      </c>
      <c r="D30" s="122"/>
      <c r="E30" s="78"/>
      <c r="F30" s="63">
        <f>IF($N$1,SUMIFS(Stations!L:L,Stations!$J:$J,"="&amp;$A30,Stations!$K:$K,"="&amp;$B30,Stations!$W:$W,"=No"),SUMIFS(Stations!L:L,Stations!$J:$J,"="&amp;$A30,Stations!$K:$K,"="&amp;$B30))</f>
        <v>4916</v>
      </c>
      <c r="G30" s="63">
        <f>IF($N$1,SUMIFS(Stations!M:M,Stations!$J:$J,"="&amp;$A30,Stations!$K:$K,"="&amp;$B30,Stations!$W:$W,"=No"),SUMIFS(Stations!M:M,Stations!$J:$J,"="&amp;$A30,Stations!$K:$K,"="&amp;$B30))</f>
        <v>514</v>
      </c>
      <c r="H30" s="63">
        <f>IF($N$1,SUMIFS(Stations!O:O,Stations!$J:$J,"="&amp;$A30,Stations!$K:$K,"="&amp;$B30,Stations!$W:$W,"=No"),SUMIFS(Stations!O:O,Stations!$J:$J,"="&amp;$A30,Stations!$K:$K,"="&amp;$B30))</f>
        <v>319</v>
      </c>
      <c r="I30" s="63">
        <f>IF($N$1,SUMIFS(Stations!Q:Q,Stations!$J:$J,"="&amp;$A30,Stations!$K:$K,"="&amp;$B30,Stations!$W:$W,"=No"),SUMIFS(Stations!Q:Q,Stations!$J:$J,"="&amp;$A30,Stations!$K:$K,"="&amp;$B30))</f>
        <v>833</v>
      </c>
      <c r="J30" s="63">
        <f>IF($N$1,SUMIFS(Stations!S:S,Stations!$J:$J,"="&amp;$A30,Stations!$K:$K,"="&amp;$B30,Stations!$W:$W,"=No"),SUMIFS(Stations!S:S,Stations!$J:$J,"="&amp;$A30,Stations!$K:$K,"="&amp;$B30))</f>
        <v>370</v>
      </c>
      <c r="K30" s="141">
        <f>IF($N$1,SUMIFS(Stations!U:U,Stations!$J:$J,"="&amp;$A30,Stations!$K:$K,"="&amp;$B30,Stations!$W:$W,"=No"),SUMIFS(Stations!U:U,Stations!$J:$J,"="&amp;$A30,Stations!$K:$K,"="&amp;$B30))</f>
        <v>175</v>
      </c>
      <c r="L30" s="32"/>
      <c r="M30" s="33"/>
      <c r="N30" s="33"/>
      <c r="O30" s="33"/>
      <c r="P30" s="33"/>
      <c r="Q30" s="33"/>
      <c r="R30" s="33"/>
      <c r="S30" s="33"/>
      <c r="T30" s="33"/>
      <c r="U30" s="33"/>
      <c r="V30" s="33"/>
      <c r="W30" s="33"/>
    </row>
    <row r="31" spans="1:23">
      <c r="A31" s="76" t="s">
        <v>20</v>
      </c>
      <c r="B31" s="76" t="s">
        <v>15</v>
      </c>
      <c r="C31" s="77" t="s">
        <v>103</v>
      </c>
      <c r="D31" s="122"/>
      <c r="E31" s="78"/>
      <c r="F31" s="63">
        <f>IF($N$1,SUMIFS(Stations!L:L,Stations!$J:$J,"="&amp;$A31,Stations!$K:$K,"="&amp;$B31,Stations!$W:$W,"=No"),SUMIFS(Stations!L:L,Stations!$J:$J,"="&amp;$A31,Stations!$K:$K,"="&amp;$B31))</f>
        <v>1348</v>
      </c>
      <c r="G31" s="63">
        <f>IF($N$1,SUMIFS(Stations!M:M,Stations!$J:$J,"="&amp;$A31,Stations!$K:$K,"="&amp;$B31,Stations!$W:$W,"=No"),SUMIFS(Stations!M:M,Stations!$J:$J,"="&amp;$A31,Stations!$K:$K,"="&amp;$B31))</f>
        <v>363</v>
      </c>
      <c r="H31" s="63">
        <f>IF($N$1,SUMIFS(Stations!O:O,Stations!$J:$J,"="&amp;$A31,Stations!$K:$K,"="&amp;$B31,Stations!$W:$W,"=No"),SUMIFS(Stations!O:O,Stations!$J:$J,"="&amp;$A31,Stations!$K:$K,"="&amp;$B31))</f>
        <v>66</v>
      </c>
      <c r="I31" s="63">
        <f>IF($N$1,SUMIFS(Stations!Q:Q,Stations!$J:$J,"="&amp;$A31,Stations!$K:$K,"="&amp;$B31,Stations!$W:$W,"=No"),SUMIFS(Stations!Q:Q,Stations!$J:$J,"="&amp;$A31,Stations!$K:$K,"="&amp;$B31))</f>
        <v>429</v>
      </c>
      <c r="J31" s="63">
        <f>IF($N$1,SUMIFS(Stations!S:S,Stations!$J:$J,"="&amp;$A31,Stations!$K:$K,"="&amp;$B31,Stations!$W:$W,"=No"),SUMIFS(Stations!S:S,Stations!$J:$J,"="&amp;$A31,Stations!$K:$K,"="&amp;$B31))</f>
        <v>153</v>
      </c>
      <c r="K31" s="141">
        <f>IF($N$1,SUMIFS(Stations!U:U,Stations!$J:$J,"="&amp;$A31,Stations!$K:$K,"="&amp;$B31,Stations!$W:$W,"=No"),SUMIFS(Stations!U:U,Stations!$J:$J,"="&amp;$A31,Stations!$K:$K,"="&amp;$B31))</f>
        <v>49</v>
      </c>
      <c r="L31" s="32"/>
      <c r="M31" s="33"/>
      <c r="N31" s="33"/>
      <c r="O31" s="33"/>
      <c r="P31" s="33"/>
      <c r="Q31" s="33"/>
      <c r="R31" s="33"/>
      <c r="S31" s="33"/>
      <c r="T31" s="33"/>
      <c r="U31" s="33"/>
      <c r="V31" s="33"/>
      <c r="W31" s="33"/>
    </row>
    <row r="32" spans="1:23">
      <c r="A32" s="76" t="s">
        <v>22</v>
      </c>
      <c r="B32" s="76" t="s">
        <v>11</v>
      </c>
      <c r="C32" s="77" t="s">
        <v>104</v>
      </c>
      <c r="D32" s="122"/>
      <c r="E32" s="78"/>
      <c r="F32" s="63">
        <f>IF($N$1,SUMIFS(Stations!L:L,Stations!$J:$J,"="&amp;$A32,Stations!$K:$K,"="&amp;$B32,Stations!$W:$W,"=No"),SUMIFS(Stations!L:L,Stations!$J:$J,"="&amp;$A32,Stations!$K:$K,"="&amp;$B32))</f>
        <v>80</v>
      </c>
      <c r="G32" s="63">
        <f>IF($N$1,SUMIFS(Stations!M:M,Stations!$J:$J,"="&amp;$A32,Stations!$K:$K,"="&amp;$B32,Stations!$W:$W,"=No"),SUMIFS(Stations!M:M,Stations!$J:$J,"="&amp;$A32,Stations!$K:$K,"="&amp;$B32))</f>
        <v>61</v>
      </c>
      <c r="H32" s="63">
        <f>IF($N$1,SUMIFS(Stations!O:O,Stations!$J:$J,"="&amp;$A32,Stations!$K:$K,"="&amp;$B32,Stations!$W:$W,"=No"),SUMIFS(Stations!O:O,Stations!$J:$J,"="&amp;$A32,Stations!$K:$K,"="&amp;$B32))</f>
        <v>8</v>
      </c>
      <c r="I32" s="63">
        <f>IF($N$1,SUMIFS(Stations!Q:Q,Stations!$J:$J,"="&amp;$A32,Stations!$K:$K,"="&amp;$B32,Stations!$W:$W,"=No"),SUMIFS(Stations!Q:Q,Stations!$J:$J,"="&amp;$A32,Stations!$K:$K,"="&amp;$B32))</f>
        <v>69</v>
      </c>
      <c r="J32" s="63">
        <f>IF($N$1,SUMIFS(Stations!S:S,Stations!$J:$J,"="&amp;$A32,Stations!$K:$K,"="&amp;$B32,Stations!$W:$W,"=No"),SUMIFS(Stations!S:S,Stations!$J:$J,"="&amp;$A32,Stations!$K:$K,"="&amp;$B32))</f>
        <v>12</v>
      </c>
      <c r="K32" s="141">
        <f>IF($N$1,SUMIFS(Stations!U:U,Stations!$J:$J,"="&amp;$A32,Stations!$K:$K,"="&amp;$B32,Stations!$W:$W,"=No"),SUMIFS(Stations!U:U,Stations!$J:$J,"="&amp;$A32,Stations!$K:$K,"="&amp;$B32))</f>
        <v>6</v>
      </c>
      <c r="L32" s="32"/>
      <c r="M32" s="33"/>
      <c r="N32" s="33"/>
      <c r="O32" s="33"/>
      <c r="P32" s="33"/>
      <c r="Q32" s="33"/>
      <c r="R32" s="33"/>
      <c r="S32" s="33"/>
      <c r="T32" s="33"/>
      <c r="U32" s="33"/>
      <c r="V32" s="33"/>
      <c r="W32" s="33"/>
    </row>
    <row r="33" spans="1:23">
      <c r="A33" s="76" t="s">
        <v>22</v>
      </c>
      <c r="B33" s="76" t="s">
        <v>15</v>
      </c>
      <c r="C33" s="77" t="s">
        <v>105</v>
      </c>
      <c r="D33" s="122"/>
      <c r="E33" s="78"/>
      <c r="F33" s="63">
        <f>IF($N$1,SUMIFS(Stations!L:L,Stations!$J:$J,"="&amp;$A33,Stations!$K:$K,"="&amp;$B33,Stations!$W:$W,"=No"),SUMIFS(Stations!L:L,Stations!$J:$J,"="&amp;$A33,Stations!$K:$K,"="&amp;$B33))</f>
        <v>55</v>
      </c>
      <c r="G33" s="63">
        <f>IF($N$1,SUMIFS(Stations!M:M,Stations!$J:$J,"="&amp;$A33,Stations!$K:$K,"="&amp;$B33,Stations!$W:$W,"=No"),SUMIFS(Stations!M:M,Stations!$J:$J,"="&amp;$A33,Stations!$K:$K,"="&amp;$B33))</f>
        <v>66</v>
      </c>
      <c r="H33" s="63">
        <f>IF($N$1,SUMIFS(Stations!O:O,Stations!$J:$J,"="&amp;$A33,Stations!$K:$K,"="&amp;$B33,Stations!$W:$W,"=No"),SUMIFS(Stations!O:O,Stations!$J:$J,"="&amp;$A33,Stations!$K:$K,"="&amp;$B33))</f>
        <v>16</v>
      </c>
      <c r="I33" s="63">
        <f>IF($N$1,SUMIFS(Stations!Q:Q,Stations!$J:$J,"="&amp;$A33,Stations!$K:$K,"="&amp;$B33,Stations!$W:$W,"=No"),SUMIFS(Stations!Q:Q,Stations!$J:$J,"="&amp;$A33,Stations!$K:$K,"="&amp;$B33))</f>
        <v>82</v>
      </c>
      <c r="J33" s="63">
        <f>IF($N$1,SUMIFS(Stations!S:S,Stations!$J:$J,"="&amp;$A33,Stations!$K:$K,"="&amp;$B33,Stations!$W:$W,"=No"),SUMIFS(Stations!S:S,Stations!$J:$J,"="&amp;$A33,Stations!$K:$K,"="&amp;$B33))</f>
        <v>7</v>
      </c>
      <c r="K33" s="141">
        <f>IF($N$1,SUMIFS(Stations!U:U,Stations!$J:$J,"="&amp;$A33,Stations!$K:$K,"="&amp;$B33,Stations!$W:$W,"=No"),SUMIFS(Stations!U:U,Stations!$J:$J,"="&amp;$A33,Stations!$K:$K,"="&amp;$B33))</f>
        <v>0</v>
      </c>
      <c r="L33" s="32"/>
      <c r="M33" s="33"/>
      <c r="N33" s="33"/>
      <c r="O33" s="33"/>
      <c r="P33" s="33"/>
      <c r="Q33" s="33"/>
      <c r="R33" s="33"/>
      <c r="S33" s="33"/>
      <c r="T33" s="33"/>
      <c r="U33" s="33"/>
      <c r="V33" s="33"/>
      <c r="W33" s="33"/>
    </row>
    <row r="34" spans="1:23">
      <c r="A34" s="76" t="s">
        <v>24</v>
      </c>
      <c r="B34" s="76" t="s">
        <v>11</v>
      </c>
      <c r="C34" s="77" t="s">
        <v>106</v>
      </c>
      <c r="D34" s="122"/>
      <c r="E34" s="78"/>
      <c r="F34" s="63">
        <f>IF($N$1,SUMIFS(Stations!L:L,Stations!$J:$J,"="&amp;$A34,Stations!$K:$K,"="&amp;$B34,Stations!$W:$W,"=No"),SUMIFS(Stations!L:L,Stations!$J:$J,"="&amp;$A34,Stations!$K:$K,"="&amp;$B34))</f>
        <v>9479</v>
      </c>
      <c r="G34" s="63">
        <f>IF($N$1,SUMIFS(Stations!M:M,Stations!$J:$J,"="&amp;$A34,Stations!$K:$K,"="&amp;$B34,Stations!$W:$W,"=No"),SUMIFS(Stations!M:M,Stations!$J:$J,"="&amp;$A34,Stations!$K:$K,"="&amp;$B34))</f>
        <v>567</v>
      </c>
      <c r="H34" s="63">
        <f>IF($N$1,SUMIFS(Stations!O:O,Stations!$J:$J,"="&amp;$A34,Stations!$K:$K,"="&amp;$B34,Stations!$W:$W,"=No"),SUMIFS(Stations!O:O,Stations!$J:$J,"="&amp;$A34,Stations!$K:$K,"="&amp;$B34))</f>
        <v>471</v>
      </c>
      <c r="I34" s="63">
        <f>IF($N$1,SUMIFS(Stations!Q:Q,Stations!$J:$J,"="&amp;$A34,Stations!$K:$K,"="&amp;$B34,Stations!$W:$W,"=No"),SUMIFS(Stations!Q:Q,Stations!$J:$J,"="&amp;$A34,Stations!$K:$K,"="&amp;$B34))</f>
        <v>1038</v>
      </c>
      <c r="J34" s="63">
        <f>IF($N$1,SUMIFS(Stations!S:S,Stations!$J:$J,"="&amp;$A34,Stations!$K:$K,"="&amp;$B34,Stations!$W:$W,"=No"),SUMIFS(Stations!S:S,Stations!$J:$J,"="&amp;$A34,Stations!$K:$K,"="&amp;$B34))</f>
        <v>1384</v>
      </c>
      <c r="K34" s="141">
        <f>IF($N$1,SUMIFS(Stations!U:U,Stations!$J:$J,"="&amp;$A34,Stations!$K:$K,"="&amp;$B34,Stations!$W:$W,"=No"),SUMIFS(Stations!U:U,Stations!$J:$J,"="&amp;$A34,Stations!$K:$K,"="&amp;$B34))</f>
        <v>1874</v>
      </c>
      <c r="L34" s="32"/>
      <c r="M34" s="33"/>
      <c r="N34" s="33"/>
      <c r="O34" s="33"/>
      <c r="P34" s="33"/>
      <c r="Q34" s="33"/>
      <c r="R34" s="33"/>
      <c r="S34" s="33"/>
      <c r="T34" s="33"/>
      <c r="U34" s="33"/>
      <c r="V34" s="33"/>
      <c r="W34" s="33"/>
    </row>
    <row r="35" spans="1:23">
      <c r="A35" s="76" t="s">
        <v>24</v>
      </c>
      <c r="B35" s="76" t="s">
        <v>15</v>
      </c>
      <c r="C35" s="77" t="s">
        <v>107</v>
      </c>
      <c r="D35" s="122"/>
      <c r="E35" s="78"/>
      <c r="F35" s="63">
        <f>IF($N$1,SUMIFS(Stations!L:L,Stations!$J:$J,"="&amp;$A35,Stations!$K:$K,"="&amp;$B35,Stations!$W:$W,"=No"),SUMIFS(Stations!L:L,Stations!$J:$J,"="&amp;$A35,Stations!$K:$K,"="&amp;$B35))</f>
        <v>32</v>
      </c>
      <c r="G35" s="63">
        <f>IF($N$1,SUMIFS(Stations!M:M,Stations!$J:$J,"="&amp;$A35,Stations!$K:$K,"="&amp;$B35,Stations!$W:$W,"=No"),SUMIFS(Stations!M:M,Stations!$J:$J,"="&amp;$A35,Stations!$K:$K,"="&amp;$B35))</f>
        <v>16</v>
      </c>
      <c r="H35" s="63">
        <f>IF($N$1,SUMIFS(Stations!O:O,Stations!$J:$J,"="&amp;$A35,Stations!$K:$K,"="&amp;$B35,Stations!$W:$W,"=No"),SUMIFS(Stations!O:O,Stations!$J:$J,"="&amp;$A35,Stations!$K:$K,"="&amp;$B35))</f>
        <v>0</v>
      </c>
      <c r="I35" s="63">
        <f>IF($N$1,SUMIFS(Stations!Q:Q,Stations!$J:$J,"="&amp;$A35,Stations!$K:$K,"="&amp;$B35,Stations!$W:$W,"=No"),SUMIFS(Stations!Q:Q,Stations!$J:$J,"="&amp;$A35,Stations!$K:$K,"="&amp;$B35))</f>
        <v>16</v>
      </c>
      <c r="J35" s="63">
        <f>IF($N$1,SUMIFS(Stations!S:S,Stations!$J:$J,"="&amp;$A35,Stations!$K:$K,"="&amp;$B35,Stations!$W:$W,"=No"),SUMIFS(Stations!S:S,Stations!$J:$J,"="&amp;$A35,Stations!$K:$K,"="&amp;$B35))</f>
        <v>33</v>
      </c>
      <c r="K35" s="141">
        <f>IF($N$1,SUMIFS(Stations!U:U,Stations!$J:$J,"="&amp;$A35,Stations!$K:$K,"="&amp;$B35,Stations!$W:$W,"=No"),SUMIFS(Stations!U:U,Stations!$J:$J,"="&amp;$A35,Stations!$K:$K,"="&amp;$B35))</f>
        <v>51</v>
      </c>
      <c r="L35" s="32"/>
      <c r="M35" s="33"/>
      <c r="N35" s="33"/>
      <c r="O35" s="33"/>
      <c r="P35" s="33"/>
      <c r="Q35" s="33"/>
      <c r="R35" s="33"/>
      <c r="S35" s="33"/>
      <c r="T35" s="33"/>
      <c r="U35" s="33"/>
      <c r="V35" s="33"/>
      <c r="W35" s="33"/>
    </row>
    <row r="36" spans="1:23">
      <c r="A36" s="76" t="s">
        <v>26</v>
      </c>
      <c r="B36" s="76" t="s">
        <v>15</v>
      </c>
      <c r="C36" s="77" t="s">
        <v>119</v>
      </c>
      <c r="D36" s="122"/>
      <c r="E36" s="78"/>
      <c r="F36" s="63">
        <f>IF($N$1,SUMIFS(Stations!L:L,Stations!$J:$J,"="&amp;$A36,Stations!$K:$K,"="&amp;$B36,Stations!$W:$W,"=No"),SUMIFS(Stations!L:L,Stations!$J:$J,"="&amp;$A36,Stations!$K:$K,"="&amp;$B36))</f>
        <v>41</v>
      </c>
      <c r="G36" s="63">
        <f>IF($N$1,SUMIFS(Stations!M:M,Stations!$J:$J,"="&amp;$A36,Stations!$K:$K,"="&amp;$B36,Stations!$W:$W,"=No"),SUMIFS(Stations!M:M,Stations!$J:$J,"="&amp;$A36,Stations!$K:$K,"="&amp;$B36))</f>
        <v>55</v>
      </c>
      <c r="H36" s="63">
        <f>IF($N$1,SUMIFS(Stations!O:O,Stations!$J:$J,"="&amp;$A36,Stations!$K:$K,"="&amp;$B36,Stations!$W:$W,"=No"),SUMIFS(Stations!O:O,Stations!$J:$J,"="&amp;$A36,Stations!$K:$K,"="&amp;$B36))</f>
        <v>0</v>
      </c>
      <c r="I36" s="63">
        <f>IF($N$1,SUMIFS(Stations!Q:Q,Stations!$J:$J,"="&amp;$A36,Stations!$K:$K,"="&amp;$B36,Stations!$W:$W,"=No"),SUMIFS(Stations!Q:Q,Stations!$J:$J,"="&amp;$A36,Stations!$K:$K,"="&amp;$B36))</f>
        <v>55</v>
      </c>
      <c r="J36" s="63">
        <f>IF($N$1,SUMIFS(Stations!S:S,Stations!$J:$J,"="&amp;$A36,Stations!$K:$K,"="&amp;$B36,Stations!$W:$W,"=No"),SUMIFS(Stations!S:S,Stations!$J:$J,"="&amp;$A36,Stations!$K:$K,"="&amp;$B36))</f>
        <v>1</v>
      </c>
      <c r="K36" s="141">
        <f>IF($N$1,SUMIFS(Stations!U:U,Stations!$J:$J,"="&amp;$A36,Stations!$K:$K,"="&amp;$B36,Stations!$W:$W,"=No"),SUMIFS(Stations!U:U,Stations!$J:$J,"="&amp;$A36,Stations!$K:$K,"="&amp;$B36))</f>
        <v>0</v>
      </c>
      <c r="L36" s="32"/>
      <c r="M36" s="33"/>
      <c r="N36" s="33"/>
      <c r="O36" s="33"/>
      <c r="P36" s="33"/>
      <c r="Q36" s="33"/>
      <c r="R36" s="33"/>
      <c r="S36" s="33"/>
      <c r="T36" s="33"/>
      <c r="U36" s="33"/>
      <c r="V36" s="33"/>
      <c r="W36" s="33"/>
    </row>
    <row r="37" spans="1:23">
      <c r="A37" s="76" t="s">
        <v>76</v>
      </c>
      <c r="B37" s="76" t="s">
        <v>11</v>
      </c>
      <c r="C37" s="77" t="s">
        <v>108</v>
      </c>
      <c r="D37" s="122"/>
      <c r="E37" s="78"/>
      <c r="F37" s="63">
        <f>IF($N$1,SUMIFS(Stations!L:L,Stations!$J:$J,"="&amp;$A37,Stations!$K:$K,"="&amp;$B37,Stations!$W:$W,"=No"),SUMIFS(Stations!L:L,Stations!$J:$J,"="&amp;$A37,Stations!$K:$K,"="&amp;$B37))</f>
        <v>6</v>
      </c>
      <c r="G37" s="63">
        <f>IF($N$1,SUMIFS(Stations!M:M,Stations!$J:$J,"="&amp;$A37,Stations!$K:$K,"="&amp;$B37,Stations!$W:$W,"=No"),SUMIFS(Stations!M:M,Stations!$J:$J,"="&amp;$A37,Stations!$K:$K,"="&amp;$B37))</f>
        <v>6</v>
      </c>
      <c r="H37" s="63">
        <f>IF($N$1,SUMIFS(Stations!O:O,Stations!$J:$J,"="&amp;$A37,Stations!$K:$K,"="&amp;$B37,Stations!$W:$W,"=No"),SUMIFS(Stations!O:O,Stations!$J:$J,"="&amp;$A37,Stations!$K:$K,"="&amp;$B37))</f>
        <v>0</v>
      </c>
      <c r="I37" s="63">
        <f>IF($N$1,SUMIFS(Stations!Q:Q,Stations!$J:$J,"="&amp;$A37,Stations!$K:$K,"="&amp;$B37,Stations!$W:$W,"=No"),SUMIFS(Stations!Q:Q,Stations!$J:$J,"="&amp;$A37,Stations!$K:$K,"="&amp;$B37))</f>
        <v>6</v>
      </c>
      <c r="J37" s="63">
        <f>IF($N$1,SUMIFS(Stations!S:S,Stations!$J:$J,"="&amp;$A37,Stations!$K:$K,"="&amp;$B37,Stations!$W:$W,"=No"),SUMIFS(Stations!S:S,Stations!$J:$J,"="&amp;$A37,Stations!$K:$K,"="&amp;$B37))</f>
        <v>3</v>
      </c>
      <c r="K37" s="141">
        <f>IF($N$1,SUMIFS(Stations!U:U,Stations!$J:$J,"="&amp;$A37,Stations!$K:$K,"="&amp;$B37,Stations!$W:$W,"=No"),SUMIFS(Stations!U:U,Stations!$J:$J,"="&amp;$A37,Stations!$K:$K,"="&amp;$B37))</f>
        <v>0</v>
      </c>
      <c r="L37" s="32"/>
      <c r="M37" s="33"/>
      <c r="N37" s="33"/>
      <c r="O37" s="33"/>
      <c r="P37" s="33"/>
      <c r="Q37" s="33"/>
      <c r="R37" s="33"/>
      <c r="S37" s="33"/>
      <c r="T37" s="33"/>
      <c r="U37" s="33"/>
      <c r="V37" s="33"/>
      <c r="W37" s="33"/>
    </row>
    <row r="38" spans="1:23">
      <c r="A38" s="76" t="s">
        <v>18</v>
      </c>
      <c r="B38" s="76" t="s">
        <v>11</v>
      </c>
      <c r="C38" s="77" t="s">
        <v>109</v>
      </c>
      <c r="D38" s="122"/>
      <c r="E38" s="78"/>
      <c r="F38" s="63">
        <f>IF($N$1,SUMIFS(Stations!L:L,Stations!$J:$J,"="&amp;$A38,Stations!$K:$K,"="&amp;$B38,Stations!$W:$W,"=No"),SUMIFS(Stations!L:L,Stations!$J:$J,"="&amp;$A38,Stations!$K:$K,"="&amp;$B38))</f>
        <v>1568</v>
      </c>
      <c r="G38" s="63">
        <f>IF($N$1,SUMIFS(Stations!M:M,Stations!$J:$J,"="&amp;$A38,Stations!$K:$K,"="&amp;$B38,Stations!$W:$W,"=No"),SUMIFS(Stations!M:M,Stations!$J:$J,"="&amp;$A38,Stations!$K:$K,"="&amp;$B38))</f>
        <v>758</v>
      </c>
      <c r="H38" s="63">
        <f>IF($N$1,SUMIFS(Stations!O:O,Stations!$J:$J,"="&amp;$A38,Stations!$K:$K,"="&amp;$B38,Stations!$W:$W,"=No"),SUMIFS(Stations!O:O,Stations!$J:$J,"="&amp;$A38,Stations!$K:$K,"="&amp;$B38))</f>
        <v>63</v>
      </c>
      <c r="I38" s="63">
        <f>IF($N$1,SUMIFS(Stations!Q:Q,Stations!$J:$J,"="&amp;$A38,Stations!$K:$K,"="&amp;$B38,Stations!$W:$W,"=No"),SUMIFS(Stations!Q:Q,Stations!$J:$J,"="&amp;$A38,Stations!$K:$K,"="&amp;$B38))</f>
        <v>821</v>
      </c>
      <c r="J38" s="63">
        <f>IF($N$1,SUMIFS(Stations!S:S,Stations!$J:$J,"="&amp;$A38,Stations!$K:$K,"="&amp;$B38,Stations!$W:$W,"=No"),SUMIFS(Stations!S:S,Stations!$J:$J,"="&amp;$A38,Stations!$K:$K,"="&amp;$B38))</f>
        <v>390</v>
      </c>
      <c r="K38" s="141">
        <f>IF($N$1,SUMIFS(Stations!U:U,Stations!$J:$J,"="&amp;$A38,Stations!$K:$K,"="&amp;$B38,Stations!$W:$W,"=No"),SUMIFS(Stations!U:U,Stations!$J:$J,"="&amp;$A38,Stations!$K:$K,"="&amp;$B38))</f>
        <v>245</v>
      </c>
      <c r="L38" s="32"/>
      <c r="M38" s="33"/>
      <c r="N38" s="33"/>
      <c r="O38" s="33"/>
      <c r="P38" s="33"/>
      <c r="Q38" s="33"/>
      <c r="R38" s="33"/>
      <c r="S38" s="33"/>
      <c r="T38" s="33"/>
      <c r="U38" s="33"/>
      <c r="V38" s="33"/>
      <c r="W38" s="33"/>
    </row>
    <row r="39" spans="1:23">
      <c r="A39" s="76" t="s">
        <v>18</v>
      </c>
      <c r="B39" s="76" t="s">
        <v>15</v>
      </c>
      <c r="C39" s="77" t="s">
        <v>110</v>
      </c>
      <c r="D39" s="122"/>
      <c r="E39" s="78"/>
      <c r="F39" s="63">
        <f>IF($N$1,SUMIFS(Stations!L:L,Stations!$J:$J,"="&amp;$A39,Stations!$K:$K,"="&amp;$B39,Stations!$W:$W,"=No"),SUMIFS(Stations!L:L,Stations!$J:$J,"="&amp;$A39,Stations!$K:$K,"="&amp;$B39))</f>
        <v>80</v>
      </c>
      <c r="G39" s="63">
        <f>IF($N$1,SUMIFS(Stations!M:M,Stations!$J:$J,"="&amp;$A39,Stations!$K:$K,"="&amp;$B39,Stations!$W:$W,"=No"),SUMIFS(Stations!M:M,Stations!$J:$J,"="&amp;$A39,Stations!$K:$K,"="&amp;$B39))</f>
        <v>64</v>
      </c>
      <c r="H39" s="63">
        <f>IF($N$1,SUMIFS(Stations!O:O,Stations!$J:$J,"="&amp;$A39,Stations!$K:$K,"="&amp;$B39,Stations!$W:$W,"=No"),SUMIFS(Stations!O:O,Stations!$J:$J,"="&amp;$A39,Stations!$K:$K,"="&amp;$B39))</f>
        <v>0</v>
      </c>
      <c r="I39" s="63">
        <f>IF($N$1,SUMIFS(Stations!Q:Q,Stations!$J:$J,"="&amp;$A39,Stations!$K:$K,"="&amp;$B39,Stations!$W:$W,"=No"),SUMIFS(Stations!Q:Q,Stations!$J:$J,"="&amp;$A39,Stations!$K:$K,"="&amp;$B39))</f>
        <v>64</v>
      </c>
      <c r="J39" s="63">
        <f>IF($N$1,SUMIFS(Stations!S:S,Stations!$J:$J,"="&amp;$A39,Stations!$K:$K,"="&amp;$B39,Stations!$W:$W,"=No"),SUMIFS(Stations!S:S,Stations!$J:$J,"="&amp;$A39,Stations!$K:$K,"="&amp;$B39))</f>
        <v>16</v>
      </c>
      <c r="K39" s="141">
        <f>IF($N$1,SUMIFS(Stations!U:U,Stations!$J:$J,"="&amp;$A39,Stations!$K:$K,"="&amp;$B39,Stations!$W:$W,"=No"),SUMIFS(Stations!U:U,Stations!$J:$J,"="&amp;$A39,Stations!$K:$K,"="&amp;$B39))</f>
        <v>1</v>
      </c>
      <c r="L39" s="32"/>
      <c r="M39" s="33"/>
      <c r="N39" s="33"/>
      <c r="O39" s="33"/>
      <c r="P39" s="33"/>
      <c r="Q39" s="33"/>
      <c r="R39" s="33"/>
      <c r="S39" s="33"/>
      <c r="T39" s="33"/>
      <c r="U39" s="33"/>
      <c r="V39" s="33"/>
      <c r="W39" s="33"/>
    </row>
    <row r="40" spans="1:23">
      <c r="A40" s="76" t="s">
        <v>34</v>
      </c>
      <c r="B40" s="76" t="s">
        <v>11</v>
      </c>
      <c r="C40" s="77" t="s">
        <v>113</v>
      </c>
      <c r="D40" s="122"/>
      <c r="E40" s="78"/>
      <c r="F40" s="63">
        <f>IF($N$1,SUMIFS(Stations!L:L,Stations!$J:$J,"="&amp;$A40,Stations!$K:$K,"="&amp;$B40,Stations!$W:$W,"=No"),SUMIFS(Stations!L:L,Stations!$J:$J,"="&amp;$A40,Stations!$K:$K,"="&amp;$B40))</f>
        <v>102</v>
      </c>
      <c r="G40" s="63">
        <f>IF($N$1,SUMIFS(Stations!M:M,Stations!$J:$J,"="&amp;$A40,Stations!$K:$K,"="&amp;$B40,Stations!$W:$W,"=No"),SUMIFS(Stations!M:M,Stations!$J:$J,"="&amp;$A40,Stations!$K:$K,"="&amp;$B40))</f>
        <v>56</v>
      </c>
      <c r="H40" s="63">
        <f>IF($N$1,SUMIFS(Stations!O:O,Stations!$J:$J,"="&amp;$A40,Stations!$K:$K,"="&amp;$B40,Stations!$W:$W,"=No"),SUMIFS(Stations!O:O,Stations!$J:$J,"="&amp;$A40,Stations!$K:$K,"="&amp;$B40))</f>
        <v>0</v>
      </c>
      <c r="I40" s="63">
        <f>IF($N$1,SUMIFS(Stations!Q:Q,Stations!$J:$J,"="&amp;$A40,Stations!$K:$K,"="&amp;$B40,Stations!$W:$W,"=No"),SUMIFS(Stations!Q:Q,Stations!$J:$J,"="&amp;$A40,Stations!$K:$K,"="&amp;$B40))</f>
        <v>56</v>
      </c>
      <c r="J40" s="63">
        <f>IF($N$1,SUMIFS(Stations!S:S,Stations!$J:$J,"="&amp;$A40,Stations!$K:$K,"="&amp;$B40,Stations!$W:$W,"=No"),SUMIFS(Stations!S:S,Stations!$J:$J,"="&amp;$A40,Stations!$K:$K,"="&amp;$B40))</f>
        <v>56</v>
      </c>
      <c r="K40" s="141">
        <f>IF($N$1,SUMIFS(Stations!U:U,Stations!$J:$J,"="&amp;$A40,Stations!$K:$K,"="&amp;$B40,Stations!$W:$W,"=No"),SUMIFS(Stations!U:U,Stations!$J:$J,"="&amp;$A40,Stations!$K:$K,"="&amp;$B40))</f>
        <v>78</v>
      </c>
      <c r="L40" s="32"/>
      <c r="M40" s="33"/>
      <c r="N40" s="33"/>
      <c r="O40" s="33"/>
      <c r="P40" s="33"/>
      <c r="Q40" s="33"/>
      <c r="R40" s="33"/>
      <c r="S40" s="33"/>
      <c r="T40" s="33"/>
      <c r="U40" s="33"/>
      <c r="V40" s="33"/>
      <c r="W40" s="33"/>
    </row>
    <row r="41" spans="1:23">
      <c r="A41" s="76" t="s">
        <v>34</v>
      </c>
      <c r="B41" s="76" t="s">
        <v>15</v>
      </c>
      <c r="C41" s="77" t="s">
        <v>114</v>
      </c>
      <c r="D41" s="122"/>
      <c r="E41" s="78"/>
      <c r="F41" s="63">
        <f>IF($N$1,SUMIFS(Stations!L:L,Stations!$J:$J,"="&amp;$A41,Stations!$K:$K,"="&amp;$B41,Stations!$W:$W,"=No"),SUMIFS(Stations!L:L,Stations!$J:$J,"="&amp;$A41,Stations!$K:$K,"="&amp;$B41))</f>
        <v>11</v>
      </c>
      <c r="G41" s="63">
        <f>IF($N$1,SUMIFS(Stations!M:M,Stations!$J:$J,"="&amp;$A41,Stations!$K:$K,"="&amp;$B41,Stations!$W:$W,"=No"),SUMIFS(Stations!M:M,Stations!$J:$J,"="&amp;$A41,Stations!$K:$K,"="&amp;$B41))</f>
        <v>4</v>
      </c>
      <c r="H41" s="63">
        <f>IF($N$1,SUMIFS(Stations!O:O,Stations!$J:$J,"="&amp;$A41,Stations!$K:$K,"="&amp;$B41,Stations!$W:$W,"=No"),SUMIFS(Stations!O:O,Stations!$J:$J,"="&amp;$A41,Stations!$K:$K,"="&amp;$B41))</f>
        <v>0</v>
      </c>
      <c r="I41" s="63">
        <f>IF($N$1,SUMIFS(Stations!Q:Q,Stations!$J:$J,"="&amp;$A41,Stations!$K:$K,"="&amp;$B41,Stations!$W:$W,"=No"),SUMIFS(Stations!Q:Q,Stations!$J:$J,"="&amp;$A41,Stations!$K:$K,"="&amp;$B41))</f>
        <v>4</v>
      </c>
      <c r="J41" s="63">
        <f>IF($N$1,SUMIFS(Stations!S:S,Stations!$J:$J,"="&amp;$A41,Stations!$K:$K,"="&amp;$B41,Stations!$W:$W,"=No"),SUMIFS(Stations!S:S,Stations!$J:$J,"="&amp;$A41,Stations!$K:$K,"="&amp;$B41))</f>
        <v>3</v>
      </c>
      <c r="K41" s="141">
        <f>IF($N$1,SUMIFS(Stations!U:U,Stations!$J:$J,"="&amp;$A41,Stations!$K:$K,"="&amp;$B41,Stations!$W:$W,"=No"),SUMIFS(Stations!U:U,Stations!$J:$J,"="&amp;$A41,Stations!$K:$K,"="&amp;$B41))</f>
        <v>4</v>
      </c>
      <c r="L41" s="32"/>
      <c r="M41" s="33"/>
      <c r="N41" s="33"/>
      <c r="O41" s="33"/>
      <c r="P41" s="33"/>
      <c r="Q41" s="33"/>
      <c r="R41" s="33"/>
      <c r="S41" s="33"/>
      <c r="T41" s="33"/>
      <c r="U41" s="33"/>
      <c r="V41" s="33"/>
      <c r="W41" s="33"/>
    </row>
    <row r="42" spans="1:23">
      <c r="A42" s="76" t="s">
        <v>33</v>
      </c>
      <c r="B42" s="76" t="s">
        <v>11</v>
      </c>
      <c r="C42" s="77" t="s">
        <v>116</v>
      </c>
      <c r="D42" s="122"/>
      <c r="E42" s="78"/>
      <c r="F42" s="63">
        <f>IF($N$1,SUMIFS(Stations!L:L,Stations!$J:$J,"="&amp;$A42,Stations!$K:$K,"="&amp;$B42,Stations!$W:$W,"=No"),SUMIFS(Stations!L:L,Stations!$J:$J,"="&amp;$A42,Stations!$K:$K,"="&amp;$B42))</f>
        <v>181</v>
      </c>
      <c r="G42" s="63">
        <f>IF($N$1,SUMIFS(Stations!M:M,Stations!$J:$J,"="&amp;$A42,Stations!$K:$K,"="&amp;$B42,Stations!$W:$W,"=No"),SUMIFS(Stations!M:M,Stations!$J:$J,"="&amp;$A42,Stations!$K:$K,"="&amp;$B42))</f>
        <v>50</v>
      </c>
      <c r="H42" s="63">
        <f>IF($N$1,SUMIFS(Stations!O:O,Stations!$J:$J,"="&amp;$A42,Stations!$K:$K,"="&amp;$B42,Stations!$W:$W,"=No"),SUMIFS(Stations!O:O,Stations!$J:$J,"="&amp;$A42,Stations!$K:$K,"="&amp;$B42))</f>
        <v>46</v>
      </c>
      <c r="I42" s="63">
        <f>IF($N$1,SUMIFS(Stations!Q:Q,Stations!$J:$J,"="&amp;$A42,Stations!$K:$K,"="&amp;$B42,Stations!$W:$W,"=No"),SUMIFS(Stations!Q:Q,Stations!$J:$J,"="&amp;$A42,Stations!$K:$K,"="&amp;$B42))</f>
        <v>96</v>
      </c>
      <c r="J42" s="63">
        <f>IF($N$1,SUMIFS(Stations!S:S,Stations!$J:$J,"="&amp;$A42,Stations!$K:$K,"="&amp;$B42,Stations!$W:$W,"=No"),SUMIFS(Stations!S:S,Stations!$J:$J,"="&amp;$A42,Stations!$K:$K,"="&amp;$B42))</f>
        <v>4</v>
      </c>
      <c r="K42" s="141">
        <f>IF($N$1,SUMIFS(Stations!U:U,Stations!$J:$J,"="&amp;$A42,Stations!$K:$K,"="&amp;$B42,Stations!$W:$W,"=No"),SUMIFS(Stations!U:U,Stations!$J:$J,"="&amp;$A42,Stations!$K:$K,"="&amp;$B42))</f>
        <v>1</v>
      </c>
      <c r="L42" s="32"/>
      <c r="M42" s="33"/>
      <c r="N42" s="33"/>
      <c r="O42" s="33"/>
      <c r="P42" s="33"/>
      <c r="Q42" s="33"/>
      <c r="R42" s="33"/>
      <c r="S42" s="33"/>
      <c r="T42" s="33"/>
      <c r="U42" s="33"/>
      <c r="V42" s="33"/>
      <c r="W42" s="33"/>
    </row>
    <row r="43" spans="1:23">
      <c r="A43" s="76" t="s">
        <v>33</v>
      </c>
      <c r="B43" s="76" t="s">
        <v>15</v>
      </c>
      <c r="C43" s="77" t="s">
        <v>117</v>
      </c>
      <c r="D43" s="122"/>
      <c r="E43" s="78"/>
      <c r="F43" s="63">
        <f>IF($N$1,SUMIFS(Stations!L:L,Stations!$J:$J,"="&amp;$A43,Stations!$K:$K,"="&amp;$B43,Stations!$W:$W,"=No"),SUMIFS(Stations!L:L,Stations!$J:$J,"="&amp;$A43,Stations!$K:$K,"="&amp;$B43))</f>
        <v>63</v>
      </c>
      <c r="G43" s="63">
        <f>IF($N$1,SUMIFS(Stations!M:M,Stations!$J:$J,"="&amp;$A43,Stations!$K:$K,"="&amp;$B43,Stations!$W:$W,"=No"),SUMIFS(Stations!M:M,Stations!$J:$J,"="&amp;$A43,Stations!$K:$K,"="&amp;$B43))</f>
        <v>36</v>
      </c>
      <c r="H43" s="63">
        <f>IF($N$1,SUMIFS(Stations!O:O,Stations!$J:$J,"="&amp;$A43,Stations!$K:$K,"="&amp;$B43,Stations!$W:$W,"=No"),SUMIFS(Stations!O:O,Stations!$J:$J,"="&amp;$A43,Stations!$K:$K,"="&amp;$B43))</f>
        <v>0</v>
      </c>
      <c r="I43" s="63">
        <f>IF($N$1,SUMIFS(Stations!Q:Q,Stations!$J:$J,"="&amp;$A43,Stations!$K:$K,"="&amp;$B43,Stations!$W:$W,"=No"),SUMIFS(Stations!Q:Q,Stations!$J:$J,"="&amp;$A43,Stations!$K:$K,"="&amp;$B43))</f>
        <v>36</v>
      </c>
      <c r="J43" s="63">
        <f>IF($N$1,SUMIFS(Stations!S:S,Stations!$J:$J,"="&amp;$A43,Stations!$K:$K,"="&amp;$B43,Stations!$W:$W,"=No"),SUMIFS(Stations!S:S,Stations!$J:$J,"="&amp;$A43,Stations!$K:$K,"="&amp;$B43))</f>
        <v>0</v>
      </c>
      <c r="K43" s="141">
        <f>IF($N$1,SUMIFS(Stations!U:U,Stations!$J:$J,"="&amp;$A43,Stations!$K:$K,"="&amp;$B43,Stations!$W:$W,"=No"),SUMIFS(Stations!U:U,Stations!$J:$J,"="&amp;$A43,Stations!$K:$K,"="&amp;$B43))</f>
        <v>0</v>
      </c>
      <c r="L43" s="32"/>
      <c r="M43" s="33"/>
      <c r="N43" s="33"/>
      <c r="O43" s="33"/>
      <c r="P43" s="33"/>
      <c r="Q43" s="33"/>
      <c r="R43" s="33"/>
      <c r="S43" s="33"/>
      <c r="T43" s="33"/>
      <c r="U43" s="33"/>
      <c r="V43" s="33"/>
      <c r="W43" s="33"/>
    </row>
    <row r="44" spans="1:23" ht="13.5" thickBot="1">
      <c r="A44" s="112" t="s">
        <v>46</v>
      </c>
      <c r="B44" s="112" t="s">
        <v>11</v>
      </c>
      <c r="C44" s="113" t="s">
        <v>118</v>
      </c>
      <c r="D44" s="123"/>
      <c r="E44" s="124"/>
      <c r="F44" s="114">
        <f>IF($N$1,SUMIFS(Stations!L:L,Stations!$J:$J,"="&amp;$A44,Stations!$K:$K,"="&amp;$B44,Stations!$W:$W,"=No"),SUMIFS(Stations!L:L,Stations!$J:$J,"="&amp;$A44,Stations!$K:$K,"="&amp;$B44))</f>
        <v>415</v>
      </c>
      <c r="G44" s="114">
        <f>IF($N$1,SUMIFS(Stations!M:M,Stations!$J:$J,"="&amp;$A44,Stations!$K:$K,"="&amp;$B44,Stations!$W:$W,"=No"),SUMIFS(Stations!M:M,Stations!$J:$J,"="&amp;$A44,Stations!$K:$K,"="&amp;$B44))</f>
        <v>5</v>
      </c>
      <c r="H44" s="114">
        <f>IF($N$1,SUMIFS(Stations!O:O,Stations!$J:$J,"="&amp;$A44,Stations!$K:$K,"="&amp;$B44,Stations!$W:$W,"=No"),SUMIFS(Stations!O:O,Stations!$J:$J,"="&amp;$A44,Stations!$K:$K,"="&amp;$B44))</f>
        <v>0</v>
      </c>
      <c r="I44" s="114">
        <f>IF($N$1,SUMIFS(Stations!Q:Q,Stations!$J:$J,"="&amp;$A44,Stations!$K:$K,"="&amp;$B44,Stations!$W:$W,"=No"),SUMIFS(Stations!Q:Q,Stations!$J:$J,"="&amp;$A44,Stations!$K:$K,"="&amp;$B44))</f>
        <v>5</v>
      </c>
      <c r="J44" s="114">
        <f>IF($N$1,SUMIFS(Stations!S:S,Stations!$J:$J,"="&amp;$A44,Stations!$K:$K,"="&amp;$B44,Stations!$W:$W,"=No"),SUMIFS(Stations!S:S,Stations!$J:$J,"="&amp;$A44,Stations!$K:$K,"="&amp;$B44))</f>
        <v>0</v>
      </c>
      <c r="K44" s="142">
        <f>IF($N$1,SUMIFS(Stations!U:U,Stations!$J:$J,"="&amp;$A44,Stations!$K:$K,"="&amp;$B44,Stations!$W:$W,"=No"),SUMIFS(Stations!U:U,Stations!$J:$J,"="&amp;$A44,Stations!$K:$K,"="&amp;$B44))</f>
        <v>0</v>
      </c>
      <c r="L44" s="32"/>
      <c r="M44" s="33"/>
      <c r="N44" s="33"/>
      <c r="O44" s="33"/>
      <c r="P44" s="33"/>
      <c r="Q44" s="33"/>
      <c r="R44" s="33"/>
      <c r="S44" s="33"/>
      <c r="T44" s="33"/>
      <c r="U44" s="33"/>
      <c r="V44" s="33"/>
      <c r="W44" s="33"/>
    </row>
    <row r="45" spans="1:23" ht="13.5" thickTop="1">
      <c r="A45" s="116"/>
      <c r="B45" s="117"/>
      <c r="C45" s="143"/>
      <c r="D45" s="144"/>
      <c r="E45" s="144"/>
      <c r="F45" s="136"/>
      <c r="G45" s="136"/>
      <c r="H45" s="136"/>
      <c r="I45" s="145"/>
      <c r="J45" s="33"/>
      <c r="K45" s="133"/>
      <c r="L45" s="32"/>
      <c r="M45" s="33"/>
      <c r="N45" s="33"/>
      <c r="O45" s="33"/>
      <c r="P45" s="33"/>
      <c r="Q45" s="33"/>
      <c r="R45" s="33"/>
      <c r="S45" s="33"/>
      <c r="T45" s="33"/>
      <c r="U45" s="33"/>
      <c r="V45" s="33"/>
      <c r="W45" s="33"/>
    </row>
    <row r="46" spans="1:23" ht="15.95" customHeight="1" thickBot="1">
      <c r="A46" s="106" t="s">
        <v>1558</v>
      </c>
      <c r="B46" s="104"/>
      <c r="C46" s="104"/>
      <c r="D46" s="104"/>
      <c r="E46" s="137"/>
      <c r="F46" s="137"/>
      <c r="G46" s="137"/>
      <c r="H46" s="137"/>
      <c r="I46" s="137"/>
      <c r="J46" s="33"/>
      <c r="K46" s="133"/>
      <c r="L46" s="32"/>
      <c r="M46" s="33"/>
      <c r="N46" s="33"/>
      <c r="O46" s="33"/>
      <c r="P46" s="33"/>
      <c r="Q46" s="33"/>
      <c r="R46" s="33"/>
      <c r="S46" s="33"/>
      <c r="T46" s="33"/>
      <c r="U46" s="33"/>
      <c r="V46" s="33"/>
      <c r="W46" s="33"/>
    </row>
    <row r="47" spans="1:23" ht="23.25" thickTop="1">
      <c r="A47" s="94"/>
      <c r="B47" s="95"/>
      <c r="C47" s="95"/>
      <c r="D47" s="118" t="s">
        <v>1551</v>
      </c>
      <c r="E47" s="149" t="s">
        <v>1620</v>
      </c>
      <c r="F47" s="138" t="s">
        <v>5</v>
      </c>
      <c r="G47" s="135" t="s">
        <v>6</v>
      </c>
      <c r="H47" s="135" t="s">
        <v>7</v>
      </c>
      <c r="I47" s="135" t="s">
        <v>8</v>
      </c>
      <c r="J47" s="135" t="s">
        <v>140</v>
      </c>
      <c r="K47" s="135" t="s">
        <v>141</v>
      </c>
      <c r="L47" s="33"/>
      <c r="M47" s="33"/>
      <c r="N47" s="33"/>
      <c r="O47" s="33"/>
      <c r="P47" s="33"/>
      <c r="Q47" s="33"/>
      <c r="R47" s="33"/>
      <c r="S47" s="33"/>
      <c r="T47" s="33"/>
      <c r="U47" s="33"/>
      <c r="V47" s="33"/>
      <c r="W47" s="33"/>
    </row>
    <row r="48" spans="1:23">
      <c r="A48" s="67" t="s">
        <v>1820</v>
      </c>
      <c r="B48" s="68">
        <f>D48</f>
        <v>10</v>
      </c>
      <c r="C48" s="69"/>
      <c r="D48" s="119">
        <v>10</v>
      </c>
      <c r="E48" s="131" t="str">
        <f t="shared" ref="E48:E56" si="4">IFERROR(IF(A48="Between",A48&amp;" "&amp;FIXED(B48,0,0)&amp;" "&amp;C48&amp;" "&amp;FIXED(D48,0,0),A48&amp;" "&amp;FIXED(B48,0,0)),"invalid bin")</f>
        <v>Under 10</v>
      </c>
      <c r="F48" s="79">
        <f>IF($N$1,SUMIFS(Stations!L:L,Stations!$I:$I,"&lt;"&amp;$D48,Stations!$W:$W,"=No"),SUMIFS(Stations!L:L,Stations!$I:$I,"&lt;"&amp;$D48))</f>
        <v>687</v>
      </c>
      <c r="G48" s="80">
        <f>IF($N$1,SUMIFS(Stations!M:M,Stations!$I:$I,"&lt;"&amp;$D48,Stations!$W:$W,"=No"),SUMIFS(Stations!M:M,Stations!$I:$I,"&lt;"&amp;$D48))</f>
        <v>104</v>
      </c>
      <c r="H48" s="80">
        <f>IF($N$1,SUMIFS(Stations!O:O,Stations!$I:$I,"&lt;"&amp;$D48,Stations!$W:$W,"=No"),SUMIFS(Stations!O:O,Stations!$I:$I,"&lt;"&amp;$D48))</f>
        <v>7</v>
      </c>
      <c r="I48" s="80">
        <f>IF($N$1,SUMIFS(Stations!Q:Q,Stations!$I:$I,"&lt;"&amp;$D48,Stations!$W:$W,"=No"),SUMIFS(Stations!Q:Q,Stations!$I:$I,"&lt;"&amp;$D48))</f>
        <v>111</v>
      </c>
      <c r="J48" s="80">
        <f>IF($N$1,SUMIFS(Stations!S:S,Stations!$I:$I,"&lt;"&amp;$D48,Stations!$W:$W,"=No"),SUMIFS(Stations!S:S,Stations!$I:$I,"&lt;"&amp;$D48))</f>
        <v>16</v>
      </c>
      <c r="K48" s="81">
        <f>IF($N$1,SUMIFS(Stations!U:U,Stations!$I:$I,"&lt;"&amp;$D48,Stations!$W:$W,"=No"),SUMIFS(Stations!U:U,Stations!$I:$I,"&lt;"&amp;$D48))</f>
        <v>0</v>
      </c>
      <c r="L48" s="33"/>
      <c r="M48" s="33"/>
      <c r="N48" s="33"/>
      <c r="O48" s="33"/>
      <c r="P48" s="33"/>
      <c r="Q48" s="33"/>
      <c r="R48" s="33"/>
      <c r="S48" s="33"/>
      <c r="T48" s="33"/>
      <c r="U48" s="33"/>
      <c r="V48" s="33"/>
      <c r="W48" s="33"/>
    </row>
    <row r="49" spans="1:23">
      <c r="A49" s="67" t="str">
        <f>IF(D49&lt;&gt;"","Between","Over")</f>
        <v>Between</v>
      </c>
      <c r="B49" s="68">
        <f>D48</f>
        <v>10</v>
      </c>
      <c r="C49" s="69" t="str">
        <f>IF(D49&lt;&gt;"","and","")</f>
        <v>and</v>
      </c>
      <c r="D49" s="119">
        <v>25</v>
      </c>
      <c r="E49" s="131" t="str">
        <f t="shared" si="4"/>
        <v>Between 10 and 25</v>
      </c>
      <c r="F49" s="82">
        <f>IF($N$1,IF($A49="Between",SUMIFS(Stations!L:L,Stations!$I:$I,"&gt;="&amp;$B49,Stations!$I:$I,"&lt;"&amp;$D49,Stations!$W:$W,"=No"),SUMIFS(Stations!L:L,Stations!$I:$I,"&gt;="&amp;$B49,Stations!$W:$W,"=No")),IF($A49="Between",SUMIFS(Stations!L:L,Stations!$I:$I,"&gt;="&amp;$B49,Stations!$I:$I,"&lt;"&amp;$D49),SUMIFS(Stations!L:L,Stations!$I:$I,"&gt;="&amp;$B49)))</f>
        <v>2202</v>
      </c>
      <c r="G49" s="83">
        <f>IF($N$1,IF($A49="Between",SUMIFS(Stations!M:M,Stations!$I:$I,"&gt;="&amp;$B49,Stations!$I:$I,"&lt;"&amp;$D49,Stations!$W:$W,"=No"),SUMIFS(Stations!M:M,Stations!$I:$I,"&gt;="&amp;$B49,Stations!$W:$W,"=No")),IF($A49="Between",SUMIFS(Stations!M:M,Stations!$I:$I,"&gt;="&amp;$B49,Stations!$I:$I,"&lt;"&amp;$D49),SUMIFS(Stations!M:M,Stations!$I:$I,"&gt;="&amp;$B49)))</f>
        <v>238</v>
      </c>
      <c r="H49" s="83">
        <f>IF($N$1,IF($A49="Between",SUMIFS(Stations!O:O,Stations!$I:$I,"&gt;="&amp;$B49,Stations!$I:$I,"&lt;"&amp;$D49,Stations!$W:$W,"=No"),SUMIFS(Stations!O:O,Stations!$I:$I,"&gt;="&amp;$B49,Stations!$W:$W,"=No")),IF($A49="Between",SUMIFS(Stations!O:O,Stations!$I:$I,"&gt;="&amp;$B49,Stations!$I:$I,"&lt;"&amp;$D49),SUMIFS(Stations!O:O,Stations!$I:$I,"&gt;="&amp;$B49)))</f>
        <v>15</v>
      </c>
      <c r="I49" s="83">
        <f>IF($N$1,IF($A49="Between",SUMIFS(Stations!Q:Q,Stations!$I:$I,"&gt;="&amp;$B49,Stations!$I:$I,"&lt;"&amp;$D49,Stations!$W:$W,"=No"),SUMIFS(Stations!Q:Q,Stations!$I:$I,"&gt;="&amp;$B49,Stations!$W:$W,"=No")),IF($A49="Between",SUMIFS(Stations!Q:Q,Stations!$I:$I,"&gt;="&amp;$B49,Stations!$I:$I,"&lt;"&amp;$D49),SUMIFS(Stations!Q:Q,Stations!$I:$I,"&gt;="&amp;$B49)))</f>
        <v>253</v>
      </c>
      <c r="J49" s="83">
        <f>IF($N$1,IF($A49="Between",SUMIFS(Stations!S:S,Stations!$I:$I,"&gt;="&amp;$B49,Stations!$I:$I,"&lt;"&amp;$D49,Stations!$W:$W,"=No"),SUMIFS(Stations!S:S,Stations!$I:$I,"&gt;="&amp;$B49,Stations!$W:$W,"=No")),IF($A49="Between",SUMIFS(Stations!S:S,Stations!$I:$I,"&gt;="&amp;$B49,Stations!$I:$I,"&lt;"&amp;$D49),SUMIFS(Stations!S:S,Stations!$I:$I,"&gt;="&amp;$B49)))</f>
        <v>59</v>
      </c>
      <c r="K49" s="84">
        <f>IF($N$1,IF($A49="Between",SUMIFS(Stations!U:U,Stations!$I:$I,"&gt;="&amp;$B49,Stations!$I:$I,"&lt;"&amp;$D49,Stations!$W:$W,"=No"),SUMIFS(Stations!U:U,Stations!$I:$I,"&gt;="&amp;$B49,Stations!$W:$W,"=No")),IF($A49="Between",SUMIFS(Stations!U:U,Stations!$I:$I,"&gt;="&amp;$B49,Stations!$I:$I,"&lt;"&amp;$D49),SUMIFS(Stations!U:U,Stations!$I:$I,"&gt;="&amp;$B49)))</f>
        <v>49</v>
      </c>
      <c r="L49" s="33"/>
      <c r="M49" s="33"/>
      <c r="N49" s="33"/>
      <c r="O49" s="33"/>
      <c r="P49" s="33"/>
      <c r="Q49" s="33"/>
      <c r="R49" s="33"/>
      <c r="S49" s="33"/>
      <c r="T49" s="33"/>
      <c r="U49" s="33"/>
      <c r="V49" s="33"/>
      <c r="W49" s="33"/>
    </row>
    <row r="50" spans="1:23">
      <c r="A50" s="67" t="str">
        <f t="shared" ref="A50:A56" si="5">IF(OR(A49="Over",A49=""),"",IF(D50="","Over","Between"))</f>
        <v>Between</v>
      </c>
      <c r="B50" s="68">
        <f t="shared" ref="B50:B56" si="6">IF(D49="","",D49)</f>
        <v>25</v>
      </c>
      <c r="C50" s="69" t="str">
        <f>IF(D50&lt;&gt;"","and","")</f>
        <v>and</v>
      </c>
      <c r="D50" s="119">
        <v>50</v>
      </c>
      <c r="E50" s="131" t="str">
        <f t="shared" si="4"/>
        <v>Between 25 and 50</v>
      </c>
      <c r="F50" s="82">
        <f>IF($N$1,IF($A50="","",IF($A50="Between",SUMIFS(Stations!L:L,Stations!$I:$I,"&gt;="&amp;$B50,Stations!$I:$I,"&lt;"&amp;$D50,Stations!$W:$W,"=No"),SUMIFS(Stations!L:L,Stations!$I:$I,"&gt;="&amp;$B50,Stations!$W:$W,"=No"))),IF($A50="","",IF($A50="Between",SUMIFS(Stations!L:L,Stations!$I:$I,"&gt;="&amp;$B50,Stations!$I:$I,"&lt;"&amp;$D50),SUMIFS(Stations!L:L,Stations!$I:$I,"&gt;="&amp;$B50))))</f>
        <v>3551</v>
      </c>
      <c r="G50" s="83">
        <f>IF($N$1,IF($A50="","",IF($A50="Between",SUMIFS(Stations!M:M,Stations!$I:$I,"&gt;="&amp;$B50,Stations!$I:$I,"&lt;"&amp;$D50,Stations!$W:$W,"=No"),SUMIFS(Stations!M:M,Stations!$I:$I,"&gt;="&amp;$B50,Stations!$W:$W,"=No"))),IF($A50="","",IF($A50="Between",SUMIFS(Stations!M:M,Stations!$I:$I,"&gt;="&amp;$B50,Stations!$I:$I,"&lt;"&amp;$D50),SUMIFS(Stations!M:M,Stations!$I:$I,"&gt;="&amp;$B50))))</f>
        <v>270</v>
      </c>
      <c r="H50" s="83">
        <f>IF($N$1,IF($A50="","",IF($A50="Between",SUMIFS(Stations!O:O,Stations!$I:$I,"&gt;="&amp;$B50,Stations!$I:$I,"&lt;"&amp;$D50,Stations!$W:$W,"=No"),SUMIFS(Stations!O:O,Stations!$I:$I,"&gt;="&amp;$B50,Stations!$W:$W,"=No"))),IF($A50="","",IF($A50="Between",SUMIFS(Stations!O:O,Stations!$I:$I,"&gt;="&amp;$B50,Stations!$I:$I,"&lt;"&amp;$D50),SUMIFS(Stations!O:O,Stations!$I:$I,"&gt;="&amp;$B50))))</f>
        <v>27</v>
      </c>
      <c r="I50" s="83">
        <f>IF($N$1,IF($A50="","",IF($A50="Between",SUMIFS(Stations!Q:Q,Stations!$I:$I,"&gt;="&amp;$B50,Stations!$I:$I,"&lt;"&amp;$D50,Stations!$W:$W,"=No"),SUMIFS(Stations!Q:Q,Stations!$I:$I,"&gt;="&amp;$B50,Stations!$W:$W,"=No"))),IF($A50="","",IF($A50="Between",SUMIFS(Stations!Q:Q,Stations!$I:$I,"&gt;="&amp;$B50,Stations!$I:$I,"&lt;"&amp;$D50),SUMIFS(Stations!Q:Q,Stations!$I:$I,"&gt;="&amp;$B50))))</f>
        <v>297</v>
      </c>
      <c r="J50" s="83">
        <f>IF($N$1,IF($A50="","",IF($A50="Between",SUMIFS(Stations!S:S,Stations!$I:$I,"&gt;="&amp;$B50,Stations!$I:$I,"&lt;"&amp;$D50,Stations!$W:$W,"=No"),SUMIFS(Stations!S:S,Stations!$I:$I,"&gt;="&amp;$B50,Stations!$W:$W,"=No"))),IF($A50="","",IF($A50="Between",SUMIFS(Stations!S:S,Stations!$I:$I,"&gt;="&amp;$B50,Stations!$I:$I,"&lt;"&amp;$D50),SUMIFS(Stations!S:S,Stations!$I:$I,"&gt;="&amp;$B50))))</f>
        <v>94</v>
      </c>
      <c r="K50" s="84">
        <f>IF($N$1,IF($A50="","",IF($A50="Between",SUMIFS(Stations!U:U,Stations!$I:$I,"&gt;="&amp;$B50,Stations!$I:$I,"&lt;"&amp;$D50,Stations!$W:$W,"=No"),SUMIFS(Stations!U:U,Stations!$I:$I,"&gt;="&amp;$B50,Stations!$W:$W,"=No"))),IF($A50="","",IF($A50="Between",SUMIFS(Stations!U:U,Stations!$I:$I,"&gt;="&amp;$B50,Stations!$I:$I,"&lt;"&amp;$D50),SUMIFS(Stations!U:U,Stations!$I:$I,"&gt;="&amp;$B50))))</f>
        <v>23</v>
      </c>
      <c r="L50" s="33"/>
      <c r="M50" s="33"/>
      <c r="N50" s="33"/>
      <c r="O50" s="33"/>
      <c r="P50" s="33"/>
      <c r="Q50" s="33"/>
      <c r="R50" s="33"/>
      <c r="S50" s="33"/>
      <c r="T50" s="33"/>
      <c r="U50" s="33"/>
      <c r="V50" s="33"/>
      <c r="W50" s="33"/>
    </row>
    <row r="51" spans="1:23">
      <c r="A51" s="67" t="str">
        <f t="shared" si="5"/>
        <v>Between</v>
      </c>
      <c r="B51" s="68">
        <f t="shared" si="6"/>
        <v>50</v>
      </c>
      <c r="C51" s="69" t="str">
        <f t="shared" ref="C51:C56" si="7">IF(D51&lt;&gt;"","and","")</f>
        <v>and</v>
      </c>
      <c r="D51" s="119">
        <v>100</v>
      </c>
      <c r="E51" s="131" t="str">
        <f t="shared" si="4"/>
        <v>Between 50 and 100</v>
      </c>
      <c r="F51" s="82">
        <f>IF($N$1,IF($A51="","",IF($A51="Between",SUMIFS(Stations!L:L,Stations!$I:$I,"&gt;="&amp;$B51,Stations!$I:$I,"&lt;"&amp;$D51,Stations!$W:$W,"=No"),SUMIFS(Stations!L:L,Stations!$I:$I,"&gt;="&amp;$B51,Stations!$W:$W,"=No"))),IF($A51="","",IF($A51="Between",SUMIFS(Stations!L:L,Stations!$I:$I,"&gt;="&amp;$B51,Stations!$I:$I,"&lt;"&amp;$D51),SUMIFS(Stations!L:L,Stations!$I:$I,"&gt;="&amp;$B51))))</f>
        <v>5057</v>
      </c>
      <c r="G51" s="83">
        <f>IF($N$1,IF($A51="","",IF($A51="Between",SUMIFS(Stations!M:M,Stations!$I:$I,"&gt;="&amp;$B51,Stations!$I:$I,"&lt;"&amp;$D51,Stations!$W:$W,"=No"),SUMIFS(Stations!M:M,Stations!$I:$I,"&gt;="&amp;$B51,Stations!$W:$W,"=No"))),IF($A51="","",IF($A51="Between",SUMIFS(Stations!M:M,Stations!$I:$I,"&gt;="&amp;$B51,Stations!$I:$I,"&lt;"&amp;$D51),SUMIFS(Stations!M:M,Stations!$I:$I,"&gt;="&amp;$B51))))</f>
        <v>302</v>
      </c>
      <c r="H51" s="83">
        <f>IF($N$1,IF($A51="","",IF($A51="Between",SUMIFS(Stations!O:O,Stations!$I:$I,"&gt;="&amp;$B51,Stations!$I:$I,"&lt;"&amp;$D51,Stations!$W:$W,"=No"),SUMIFS(Stations!O:O,Stations!$I:$I,"&gt;="&amp;$B51,Stations!$W:$W,"=No"))),IF($A51="","",IF($A51="Between",SUMIFS(Stations!O:O,Stations!$I:$I,"&gt;="&amp;$B51,Stations!$I:$I,"&lt;"&amp;$D51),SUMIFS(Stations!O:O,Stations!$I:$I,"&gt;="&amp;$B51))))</f>
        <v>13</v>
      </c>
      <c r="I51" s="83">
        <f>IF($N$1,IF($A51="","",IF($A51="Between",SUMIFS(Stations!Q:Q,Stations!$I:$I,"&gt;="&amp;$B51,Stations!$I:$I,"&lt;"&amp;$D51,Stations!$W:$W,"=No"),SUMIFS(Stations!Q:Q,Stations!$I:$I,"&gt;="&amp;$B51,Stations!$W:$W,"=No"))),IF($A51="","",IF($A51="Between",SUMIFS(Stations!Q:Q,Stations!$I:$I,"&gt;="&amp;$B51,Stations!$I:$I,"&lt;"&amp;$D51),SUMIFS(Stations!Q:Q,Stations!$I:$I,"&gt;="&amp;$B51))))</f>
        <v>315</v>
      </c>
      <c r="J51" s="83">
        <f>IF($N$1,IF($A51="","",IF($A51="Between",SUMIFS(Stations!S:S,Stations!$I:$I,"&gt;="&amp;$B51,Stations!$I:$I,"&lt;"&amp;$D51,Stations!$W:$W,"=No"),SUMIFS(Stations!S:S,Stations!$I:$I,"&gt;="&amp;$B51,Stations!$W:$W,"=No"))),IF($A51="","",IF($A51="Between",SUMIFS(Stations!S:S,Stations!$I:$I,"&gt;="&amp;$B51,Stations!$I:$I,"&lt;"&amp;$D51),SUMIFS(Stations!S:S,Stations!$I:$I,"&gt;="&amp;$B51))))</f>
        <v>155</v>
      </c>
      <c r="K51" s="84">
        <f>IF($N$1,IF($A51="","",IF($A51="Between",SUMIFS(Stations!U:U,Stations!$I:$I,"&gt;="&amp;$B51,Stations!$I:$I,"&lt;"&amp;$D51,Stations!$W:$W,"=No"),SUMIFS(Stations!U:U,Stations!$I:$I,"&gt;="&amp;$B51,Stations!$W:$W,"=No"))),IF($A51="","",IF($A51="Between",SUMIFS(Stations!U:U,Stations!$I:$I,"&gt;="&amp;$B51,Stations!$I:$I,"&lt;"&amp;$D51),SUMIFS(Stations!U:U,Stations!$I:$I,"&gt;="&amp;$B51))))</f>
        <v>95</v>
      </c>
      <c r="L51" s="33"/>
      <c r="M51" s="33"/>
      <c r="N51" s="33"/>
      <c r="O51" s="33"/>
      <c r="P51" s="33"/>
      <c r="Q51" s="33"/>
      <c r="R51" s="33"/>
      <c r="S51" s="33"/>
      <c r="T51" s="33"/>
      <c r="U51" s="33"/>
      <c r="V51" s="33"/>
      <c r="W51" s="33"/>
    </row>
    <row r="52" spans="1:23">
      <c r="A52" s="67" t="str">
        <f t="shared" si="5"/>
        <v>Between</v>
      </c>
      <c r="B52" s="68">
        <f t="shared" si="6"/>
        <v>100</v>
      </c>
      <c r="C52" s="69" t="str">
        <f t="shared" si="7"/>
        <v>and</v>
      </c>
      <c r="D52" s="119">
        <v>250</v>
      </c>
      <c r="E52" s="131" t="str">
        <f t="shared" si="4"/>
        <v>Between 100 and 250</v>
      </c>
      <c r="F52" s="82">
        <f>IF($N$1,IF($A52="","",IF($A52="Between",SUMIFS(Stations!L:L,Stations!$I:$I,"&gt;="&amp;$B52,Stations!$I:$I,"&lt;"&amp;$D52,Stations!$W:$W,"=No"),SUMIFS(Stations!L:L,Stations!$I:$I,"&gt;="&amp;$B52,Stations!$W:$W,"=No"))),IF($A52="","",IF($A52="Between",SUMIFS(Stations!L:L,Stations!$I:$I,"&gt;="&amp;$B52,Stations!$I:$I,"&lt;"&amp;$D52),SUMIFS(Stations!L:L,Stations!$I:$I,"&gt;="&amp;$B52))))</f>
        <v>7348</v>
      </c>
      <c r="G52" s="83">
        <f>IF($N$1,IF($A52="","",IF($A52="Between",SUMIFS(Stations!M:M,Stations!$I:$I,"&gt;="&amp;$B52,Stations!$I:$I,"&lt;"&amp;$D52,Stations!$W:$W,"=No"),SUMIFS(Stations!M:M,Stations!$I:$I,"&gt;="&amp;$B52,Stations!$W:$W,"=No"))),IF($A52="","",IF($A52="Between",SUMIFS(Stations!M:M,Stations!$I:$I,"&gt;="&amp;$B52,Stations!$I:$I,"&lt;"&amp;$D52),SUMIFS(Stations!M:M,Stations!$I:$I,"&gt;="&amp;$B52))))</f>
        <v>473</v>
      </c>
      <c r="H52" s="83">
        <f>IF($N$1,IF($A52="","",IF($A52="Between",SUMIFS(Stations!O:O,Stations!$I:$I,"&gt;="&amp;$B52,Stations!$I:$I,"&lt;"&amp;$D52,Stations!$W:$W,"=No"),SUMIFS(Stations!O:O,Stations!$I:$I,"&gt;="&amp;$B52,Stations!$W:$W,"=No"))),IF($A52="","",IF($A52="Between",SUMIFS(Stations!O:O,Stations!$I:$I,"&gt;="&amp;$B52,Stations!$I:$I,"&lt;"&amp;$D52),SUMIFS(Stations!O:O,Stations!$I:$I,"&gt;="&amp;$B52))))</f>
        <v>6</v>
      </c>
      <c r="I52" s="83">
        <f>IF($N$1,IF($A52="","",IF($A52="Between",SUMIFS(Stations!Q:Q,Stations!$I:$I,"&gt;="&amp;$B52,Stations!$I:$I,"&lt;"&amp;$D52,Stations!$W:$W,"=No"),SUMIFS(Stations!Q:Q,Stations!$I:$I,"&gt;="&amp;$B52,Stations!$W:$W,"=No"))),IF($A52="","",IF($A52="Between",SUMIFS(Stations!Q:Q,Stations!$I:$I,"&gt;="&amp;$B52,Stations!$I:$I,"&lt;"&amp;$D52),SUMIFS(Stations!Q:Q,Stations!$I:$I,"&gt;="&amp;$B52))))</f>
        <v>479</v>
      </c>
      <c r="J52" s="83">
        <f>IF($N$1,IF($A52="","",IF($A52="Between",SUMIFS(Stations!S:S,Stations!$I:$I,"&gt;="&amp;$B52,Stations!$I:$I,"&lt;"&amp;$D52,Stations!$W:$W,"=No"),SUMIFS(Stations!S:S,Stations!$I:$I,"&gt;="&amp;$B52,Stations!$W:$W,"=No"))),IF($A52="","",IF($A52="Between",SUMIFS(Stations!S:S,Stations!$I:$I,"&gt;="&amp;$B52,Stations!$I:$I,"&lt;"&amp;$D52),SUMIFS(Stations!S:S,Stations!$I:$I,"&gt;="&amp;$B52))))</f>
        <v>171</v>
      </c>
      <c r="K52" s="84">
        <f>IF($N$1,IF($A52="","",IF($A52="Between",SUMIFS(Stations!U:U,Stations!$I:$I,"&gt;="&amp;$B52,Stations!$I:$I,"&lt;"&amp;$D52,Stations!$W:$W,"=No"),SUMIFS(Stations!U:U,Stations!$I:$I,"&gt;="&amp;$B52,Stations!$W:$W,"=No"))),IF($A52="","",IF($A52="Between",SUMIFS(Stations!U:U,Stations!$I:$I,"&gt;="&amp;$B52,Stations!$I:$I,"&lt;"&amp;$D52),SUMIFS(Stations!U:U,Stations!$I:$I,"&gt;="&amp;$B52))))</f>
        <v>120</v>
      </c>
      <c r="L52" s="33"/>
      <c r="M52" s="33"/>
      <c r="N52" s="33"/>
      <c r="O52" s="33"/>
      <c r="P52" s="33"/>
      <c r="Q52" s="33"/>
      <c r="R52" s="33"/>
      <c r="S52" s="33"/>
      <c r="T52" s="33"/>
      <c r="U52" s="33"/>
      <c r="V52" s="33"/>
      <c r="W52" s="33"/>
    </row>
    <row r="53" spans="1:23">
      <c r="A53" s="67" t="str">
        <f t="shared" si="5"/>
        <v>Between</v>
      </c>
      <c r="B53" s="68">
        <f t="shared" si="6"/>
        <v>250</v>
      </c>
      <c r="C53" s="69" t="str">
        <f t="shared" si="7"/>
        <v>and</v>
      </c>
      <c r="D53" s="119">
        <v>500</v>
      </c>
      <c r="E53" s="131" t="str">
        <f t="shared" si="4"/>
        <v>Between 250 and 500</v>
      </c>
      <c r="F53" s="82">
        <f>IF($N$1,IF($A53="","",IF($A53="Between",SUMIFS(Stations!L:L,Stations!$I:$I,"&gt;="&amp;$B53,Stations!$I:$I,"&lt;"&amp;$D53,Stations!$W:$W,"=No"),SUMIFS(Stations!L:L,Stations!$I:$I,"&gt;="&amp;$B53,Stations!$W:$W,"=No"))),IF($A53="","",IF($A53="Between",SUMIFS(Stations!L:L,Stations!$I:$I,"&gt;="&amp;$B53,Stations!$I:$I,"&lt;"&amp;$D53),SUMIFS(Stations!L:L,Stations!$I:$I,"&gt;="&amp;$B53))))</f>
        <v>8894</v>
      </c>
      <c r="G53" s="83">
        <f>IF($N$1,IF($A53="","",IF($A53="Between",SUMIFS(Stations!M:M,Stations!$I:$I,"&gt;="&amp;$B53,Stations!$I:$I,"&lt;"&amp;$D53,Stations!$W:$W,"=No"),SUMIFS(Stations!M:M,Stations!$I:$I,"&gt;="&amp;$B53,Stations!$W:$W,"=No"))),IF($A53="","",IF($A53="Between",SUMIFS(Stations!M:M,Stations!$I:$I,"&gt;="&amp;$B53,Stations!$I:$I,"&lt;"&amp;$D53),SUMIFS(Stations!M:M,Stations!$I:$I,"&gt;="&amp;$B53))))</f>
        <v>399</v>
      </c>
      <c r="H53" s="83">
        <f>IF($N$1,IF($A53="","",IF($A53="Between",SUMIFS(Stations!O:O,Stations!$I:$I,"&gt;="&amp;$B53,Stations!$I:$I,"&lt;"&amp;$D53,Stations!$W:$W,"=No"),SUMIFS(Stations!O:O,Stations!$I:$I,"&gt;="&amp;$B53,Stations!$W:$W,"=No"))),IF($A53="","",IF($A53="Between",SUMIFS(Stations!O:O,Stations!$I:$I,"&gt;="&amp;$B53,Stations!$I:$I,"&lt;"&amp;$D53),SUMIFS(Stations!O:O,Stations!$I:$I,"&gt;="&amp;$B53))))</f>
        <v>31</v>
      </c>
      <c r="I53" s="83">
        <f>IF($N$1,IF($A53="","",IF($A53="Between",SUMIFS(Stations!Q:Q,Stations!$I:$I,"&gt;="&amp;$B53,Stations!$I:$I,"&lt;"&amp;$D53,Stations!$W:$W,"=No"),SUMIFS(Stations!Q:Q,Stations!$I:$I,"&gt;="&amp;$B53,Stations!$W:$W,"=No"))),IF($A53="","",IF($A53="Between",SUMIFS(Stations!Q:Q,Stations!$I:$I,"&gt;="&amp;$B53,Stations!$I:$I,"&lt;"&amp;$D53),SUMIFS(Stations!Q:Q,Stations!$I:$I,"&gt;="&amp;$B53))))</f>
        <v>430</v>
      </c>
      <c r="J53" s="83">
        <f>IF($N$1,IF($A53="","",IF($A53="Between",SUMIFS(Stations!S:S,Stations!$I:$I,"&gt;="&amp;$B53,Stations!$I:$I,"&lt;"&amp;$D53,Stations!$W:$W,"=No"),SUMIFS(Stations!S:S,Stations!$I:$I,"&gt;="&amp;$B53,Stations!$W:$W,"=No"))),IF($A53="","",IF($A53="Between",SUMIFS(Stations!S:S,Stations!$I:$I,"&gt;="&amp;$B53,Stations!$I:$I,"&lt;"&amp;$D53),SUMIFS(Stations!S:S,Stations!$I:$I,"&gt;="&amp;$B53))))</f>
        <v>197</v>
      </c>
      <c r="K53" s="84">
        <f>IF($N$1,IF($A53="","",IF($A53="Between",SUMIFS(Stations!U:U,Stations!$I:$I,"&gt;="&amp;$B53,Stations!$I:$I,"&lt;"&amp;$D53,Stations!$W:$W,"=No"),SUMIFS(Stations!U:U,Stations!$I:$I,"&gt;="&amp;$B53,Stations!$W:$W,"=No"))),IF($A53="","",IF($A53="Between",SUMIFS(Stations!U:U,Stations!$I:$I,"&gt;="&amp;$B53,Stations!$I:$I,"&lt;"&amp;$D53),SUMIFS(Stations!U:U,Stations!$I:$I,"&gt;="&amp;$B53))))</f>
        <v>167</v>
      </c>
      <c r="L53" s="33"/>
      <c r="M53" s="33"/>
      <c r="N53" s="33"/>
      <c r="O53" s="33"/>
      <c r="P53" s="33"/>
      <c r="Q53" s="33"/>
      <c r="R53" s="33"/>
      <c r="S53" s="33"/>
      <c r="T53" s="33"/>
      <c r="U53" s="33"/>
      <c r="V53" s="33"/>
      <c r="W53" s="33"/>
    </row>
    <row r="54" spans="1:23">
      <c r="A54" s="67" t="str">
        <f t="shared" si="5"/>
        <v>Between</v>
      </c>
      <c r="B54" s="68">
        <f t="shared" si="6"/>
        <v>500</v>
      </c>
      <c r="C54" s="69" t="str">
        <f t="shared" si="7"/>
        <v>and</v>
      </c>
      <c r="D54" s="119">
        <v>1000</v>
      </c>
      <c r="E54" s="131" t="str">
        <f t="shared" si="4"/>
        <v>Between 500 and 1,000</v>
      </c>
      <c r="F54" s="82">
        <f>IF($N$1,IF($A54="","",IF($A54="Between",SUMIFS(Stations!L:L,Stations!$I:$I,"&gt;="&amp;$B54,Stations!$I:$I,"&lt;"&amp;$D54,Stations!$W:$W,"=No"),SUMIFS(Stations!L:L,Stations!$I:$I,"&gt;="&amp;$B54,Stations!$W:$W,"=No"))),IF($A54="","",IF($A54="Between",SUMIFS(Stations!L:L,Stations!$I:$I,"&gt;="&amp;$B54,Stations!$I:$I,"&lt;"&amp;$D54),SUMIFS(Stations!L:L,Stations!$I:$I,"&gt;="&amp;$B54))))</f>
        <v>8831</v>
      </c>
      <c r="G54" s="83">
        <f>IF($N$1,IF($A54="","",IF($A54="Between",SUMIFS(Stations!M:M,Stations!$I:$I,"&gt;="&amp;$B54,Stations!$I:$I,"&lt;"&amp;$D54,Stations!$W:$W,"=No"),SUMIFS(Stations!M:M,Stations!$I:$I,"&gt;="&amp;$B54,Stations!$W:$W,"=No"))),IF($A54="","",IF($A54="Between",SUMIFS(Stations!M:M,Stations!$I:$I,"&gt;="&amp;$B54,Stations!$I:$I,"&lt;"&amp;$D54),SUMIFS(Stations!M:M,Stations!$I:$I,"&gt;="&amp;$B54))))</f>
        <v>482</v>
      </c>
      <c r="H54" s="83">
        <f>IF($N$1,IF($A54="","",IF($A54="Between",SUMIFS(Stations!O:O,Stations!$I:$I,"&gt;="&amp;$B54,Stations!$I:$I,"&lt;"&amp;$D54,Stations!$W:$W,"=No"),SUMIFS(Stations!O:O,Stations!$I:$I,"&gt;="&amp;$B54,Stations!$W:$W,"=No"))),IF($A54="","",IF($A54="Between",SUMIFS(Stations!O:O,Stations!$I:$I,"&gt;="&amp;$B54,Stations!$I:$I,"&lt;"&amp;$D54),SUMIFS(Stations!O:O,Stations!$I:$I,"&gt;="&amp;$B54))))</f>
        <v>0</v>
      </c>
      <c r="I54" s="83">
        <f>IF($N$1,IF($A54="","",IF($A54="Between",SUMIFS(Stations!Q:Q,Stations!$I:$I,"&gt;="&amp;$B54,Stations!$I:$I,"&lt;"&amp;$D54,Stations!$W:$W,"=No"),SUMIFS(Stations!Q:Q,Stations!$I:$I,"&gt;="&amp;$B54,Stations!$W:$W,"=No"))),IF($A54="","",IF($A54="Between",SUMIFS(Stations!Q:Q,Stations!$I:$I,"&gt;="&amp;$B54,Stations!$I:$I,"&lt;"&amp;$D54),SUMIFS(Stations!Q:Q,Stations!$I:$I,"&gt;="&amp;$B54))))</f>
        <v>482</v>
      </c>
      <c r="J54" s="83">
        <f>IF($N$1,IF($A54="","",IF($A54="Between",SUMIFS(Stations!S:S,Stations!$I:$I,"&gt;="&amp;$B54,Stations!$I:$I,"&lt;"&amp;$D54,Stations!$W:$W,"=No"),SUMIFS(Stations!S:S,Stations!$I:$I,"&gt;="&amp;$B54,Stations!$W:$W,"=No"))),IF($A54="","",IF($A54="Between",SUMIFS(Stations!S:S,Stations!$I:$I,"&gt;="&amp;$B54,Stations!$I:$I,"&lt;"&amp;$D54),SUMIFS(Stations!S:S,Stations!$I:$I,"&gt;="&amp;$B54))))</f>
        <v>381</v>
      </c>
      <c r="K54" s="84">
        <f>IF($N$1,IF($A54="","",IF($A54="Between",SUMIFS(Stations!U:U,Stations!$I:$I,"&gt;="&amp;$B54,Stations!$I:$I,"&lt;"&amp;$D54,Stations!$W:$W,"=No"),SUMIFS(Stations!U:U,Stations!$I:$I,"&gt;="&amp;$B54,Stations!$W:$W,"=No"))),IF($A54="","",IF($A54="Between",SUMIFS(Stations!U:U,Stations!$I:$I,"&gt;="&amp;$B54,Stations!$I:$I,"&lt;"&amp;$D54),SUMIFS(Stations!U:U,Stations!$I:$I,"&gt;="&amp;$B54))))</f>
        <v>435</v>
      </c>
      <c r="L54" s="33"/>
      <c r="M54" s="33"/>
      <c r="N54" s="33"/>
      <c r="O54" s="33"/>
      <c r="P54" s="33"/>
      <c r="Q54" s="33"/>
      <c r="R54" s="33"/>
      <c r="S54" s="33"/>
      <c r="T54" s="33"/>
      <c r="U54" s="33"/>
      <c r="V54" s="33"/>
      <c r="W54" s="33"/>
    </row>
    <row r="55" spans="1:23">
      <c r="A55" s="67" t="str">
        <f t="shared" si="5"/>
        <v>Between</v>
      </c>
      <c r="B55" s="68">
        <f t="shared" si="6"/>
        <v>1000</v>
      </c>
      <c r="C55" s="69" t="str">
        <f t="shared" si="7"/>
        <v>and</v>
      </c>
      <c r="D55" s="119">
        <v>2000</v>
      </c>
      <c r="E55" s="131" t="str">
        <f t="shared" si="4"/>
        <v>Between 1,000 and 2,000</v>
      </c>
      <c r="F55" s="82">
        <f>IF($N$1,IF($A55="","",IF($A55="Between",SUMIFS(Stations!L:L,Stations!$I:$I,"&gt;="&amp;$B55,Stations!$I:$I,"&lt;"&amp;$D55,Stations!$W:$W,"=No"),SUMIFS(Stations!L:L,Stations!$I:$I,"&gt;="&amp;$B55,Stations!$W:$W,"=No"))),IF($A55="","",IF($A55="Between",SUMIFS(Stations!L:L,Stations!$I:$I,"&gt;="&amp;$B55,Stations!$I:$I,"&lt;"&amp;$D55),SUMIFS(Stations!L:L,Stations!$I:$I,"&gt;="&amp;$B55))))</f>
        <v>9739</v>
      </c>
      <c r="G55" s="83">
        <f>IF($N$1,IF($A55="","",IF($A55="Between",SUMIFS(Stations!M:M,Stations!$I:$I,"&gt;="&amp;$B55,Stations!$I:$I,"&lt;"&amp;$D55,Stations!$W:$W,"=No"),SUMIFS(Stations!M:M,Stations!$I:$I,"&gt;="&amp;$B55,Stations!$W:$W,"=No"))),IF($A55="","",IF($A55="Between",SUMIFS(Stations!M:M,Stations!$I:$I,"&gt;="&amp;$B55,Stations!$I:$I,"&lt;"&amp;$D55),SUMIFS(Stations!M:M,Stations!$I:$I,"&gt;="&amp;$B55))))</f>
        <v>918</v>
      </c>
      <c r="H55" s="83">
        <f>IF($N$1,IF($A55="","",IF($A55="Between",SUMIFS(Stations!O:O,Stations!$I:$I,"&gt;="&amp;$B55,Stations!$I:$I,"&lt;"&amp;$D55,Stations!$W:$W,"=No"),SUMIFS(Stations!O:O,Stations!$I:$I,"&gt;="&amp;$B55,Stations!$W:$W,"=No"))),IF($A55="","",IF($A55="Between",SUMIFS(Stations!O:O,Stations!$I:$I,"&gt;="&amp;$B55,Stations!$I:$I,"&lt;"&amp;$D55),SUMIFS(Stations!O:O,Stations!$I:$I,"&gt;="&amp;$B55))))</f>
        <v>196</v>
      </c>
      <c r="I55" s="83">
        <f>IF($N$1,IF($A55="","",IF($A55="Between",SUMIFS(Stations!Q:Q,Stations!$I:$I,"&gt;="&amp;$B55,Stations!$I:$I,"&lt;"&amp;$D55,Stations!$W:$W,"=No"),SUMIFS(Stations!Q:Q,Stations!$I:$I,"&gt;="&amp;$B55,Stations!$W:$W,"=No"))),IF($A55="","",IF($A55="Between",SUMIFS(Stations!Q:Q,Stations!$I:$I,"&gt;="&amp;$B55,Stations!$I:$I,"&lt;"&amp;$D55),SUMIFS(Stations!Q:Q,Stations!$I:$I,"&gt;="&amp;$B55))))</f>
        <v>1114</v>
      </c>
      <c r="J55" s="83">
        <f>IF($N$1,IF($A55="","",IF($A55="Between",SUMIFS(Stations!S:S,Stations!$I:$I,"&gt;="&amp;$B55,Stations!$I:$I,"&lt;"&amp;$D55,Stations!$W:$W,"=No"),SUMIFS(Stations!S:S,Stations!$I:$I,"&gt;="&amp;$B55,Stations!$W:$W,"=No"))),IF($A55="","",IF($A55="Between",SUMIFS(Stations!S:S,Stations!$I:$I,"&gt;="&amp;$B55,Stations!$I:$I,"&lt;"&amp;$D55),SUMIFS(Stations!S:S,Stations!$I:$I,"&gt;="&amp;$B55))))</f>
        <v>510</v>
      </c>
      <c r="K55" s="84">
        <f>IF($N$1,IF($A55="","",IF($A55="Between",SUMIFS(Stations!U:U,Stations!$I:$I,"&gt;="&amp;$B55,Stations!$I:$I,"&lt;"&amp;$D55,Stations!$W:$W,"=No"),SUMIFS(Stations!U:U,Stations!$I:$I,"&gt;="&amp;$B55,Stations!$W:$W,"=No"))),IF($A55="","",IF($A55="Between",SUMIFS(Stations!U:U,Stations!$I:$I,"&gt;="&amp;$B55,Stations!$I:$I,"&lt;"&amp;$D55),SUMIFS(Stations!U:U,Stations!$I:$I,"&gt;="&amp;$B55))))</f>
        <v>301</v>
      </c>
      <c r="L55" s="33"/>
      <c r="M55" s="33"/>
      <c r="N55" s="33"/>
      <c r="O55" s="33"/>
      <c r="P55" s="33"/>
      <c r="Q55" s="33"/>
      <c r="R55" s="33"/>
      <c r="S55" s="33"/>
      <c r="T55" s="33"/>
      <c r="U55" s="33"/>
      <c r="V55" s="33"/>
      <c r="W55" s="33"/>
    </row>
    <row r="56" spans="1:23">
      <c r="A56" s="70" t="str">
        <f t="shared" si="5"/>
        <v>Over</v>
      </c>
      <c r="B56" s="71">
        <f t="shared" si="6"/>
        <v>2000</v>
      </c>
      <c r="C56" s="72" t="str">
        <f t="shared" si="7"/>
        <v/>
      </c>
      <c r="D56" s="120"/>
      <c r="E56" s="153" t="str">
        <f t="shared" si="4"/>
        <v>Over 2,000</v>
      </c>
      <c r="F56" s="85">
        <f>IF($N$1,IF($A56="","",IF($A56="Between",SUMIFS(Stations!L:L,Stations!$I:$I,"&gt;="&amp;$B56,Stations!$I:$I,"&lt;"&amp;$D56,Stations!$W:$W,"=No"),SUMIFS(Stations!L:L,Stations!$I:$I,"&gt;="&amp;$B56,Stations!$W:$W,"=No"))),IF($A56="","",IF($A56="Between",SUMIFS(Stations!L:L,Stations!$I:$I,"&gt;="&amp;$B56,Stations!$I:$I,"&lt;"&amp;$D56),SUMIFS(Stations!L:L,Stations!$I:$I,"&gt;="&amp;$B56))))</f>
        <v>25582</v>
      </c>
      <c r="G56" s="86">
        <f>IF($N$1,IF($A56="","",IF($A56="Between",SUMIFS(Stations!M:M,Stations!$I:$I,"&gt;="&amp;$B56,Stations!$I:$I,"&lt;"&amp;$D56,Stations!$W:$W,"=No"),SUMIFS(Stations!M:M,Stations!$I:$I,"&gt;="&amp;$B56,Stations!$W:$W,"=No"))),IF($A56="","",IF($A56="Between",SUMIFS(Stations!M:M,Stations!$I:$I,"&gt;="&amp;$B56,Stations!$I:$I,"&lt;"&amp;$D56),SUMIFS(Stations!M:M,Stations!$I:$I,"&gt;="&amp;$B56))))</f>
        <v>1194</v>
      </c>
      <c r="H56" s="86">
        <f>IF($N$1,IF($A56="","",IF($A56="Between",SUMIFS(Stations!O:O,Stations!$I:$I,"&gt;="&amp;$B56,Stations!$I:$I,"&lt;"&amp;$D56,Stations!$W:$W,"=No"),SUMIFS(Stations!O:O,Stations!$I:$I,"&gt;="&amp;$B56,Stations!$W:$W,"=No"))),IF($A56="","",IF($A56="Between",SUMIFS(Stations!O:O,Stations!$I:$I,"&gt;="&amp;$B56,Stations!$I:$I,"&lt;"&amp;$D56),SUMIFS(Stations!O:O,Stations!$I:$I,"&gt;="&amp;$B56))))</f>
        <v>738</v>
      </c>
      <c r="I56" s="86">
        <f>IF($N$1,IF($A56="","",IF($A56="Between",SUMIFS(Stations!Q:Q,Stations!$I:$I,"&gt;="&amp;$B56,Stations!$I:$I,"&lt;"&amp;$D56,Stations!$W:$W,"=No"),SUMIFS(Stations!Q:Q,Stations!$I:$I,"&gt;="&amp;$B56,Stations!$W:$W,"=No"))),IF($A56="","",IF($A56="Between",SUMIFS(Stations!Q:Q,Stations!$I:$I,"&gt;="&amp;$B56,Stations!$I:$I,"&lt;"&amp;$D56),SUMIFS(Stations!Q:Q,Stations!$I:$I,"&gt;="&amp;$B56))))</f>
        <v>1932</v>
      </c>
      <c r="J56" s="86">
        <f>IF($N$1,IF($A56="","",IF($A56="Between",SUMIFS(Stations!S:S,Stations!$I:$I,"&gt;="&amp;$B56,Stations!$I:$I,"&lt;"&amp;$D56,Stations!$W:$W,"=No"),SUMIFS(Stations!S:S,Stations!$I:$I,"&gt;="&amp;$B56,Stations!$W:$W,"=No"))),IF($A56="","",IF($A56="Between",SUMIFS(Stations!S:S,Stations!$I:$I,"&gt;="&amp;$B56,Stations!$I:$I,"&lt;"&amp;$D56),SUMIFS(Stations!S:S,Stations!$I:$I,"&gt;="&amp;$B56))))</f>
        <v>1452</v>
      </c>
      <c r="K56" s="87">
        <f>IF($N$1,IF($A56="","",IF($A56="Between",SUMIFS(Stations!U:U,Stations!$I:$I,"&gt;="&amp;$B56,Stations!$I:$I,"&lt;"&amp;$D56,Stations!$W:$W,"=No"),SUMIFS(Stations!U:U,Stations!$I:$I,"&gt;="&amp;$B56,Stations!$W:$W,"=No"))),IF($A56="","",IF($A56="Between",SUMIFS(Stations!U:U,Stations!$I:$I,"&gt;="&amp;$B56,Stations!$I:$I,"&lt;"&amp;$D56),SUMIFS(Stations!U:U,Stations!$I:$I,"&gt;="&amp;$B56))))</f>
        <v>1628</v>
      </c>
      <c r="L56" s="33"/>
      <c r="M56" s="33"/>
      <c r="N56" s="33"/>
      <c r="O56" s="33"/>
      <c r="P56" s="33"/>
      <c r="Q56" s="33"/>
      <c r="R56" s="33"/>
      <c r="S56" s="33"/>
      <c r="T56" s="33"/>
      <c r="U56" s="33"/>
      <c r="V56" s="33"/>
      <c r="W56" s="33"/>
    </row>
    <row r="57" spans="1:23" ht="11.45" customHeight="1">
      <c r="A57" s="50"/>
      <c r="B57" s="51"/>
      <c r="C57" s="51"/>
      <c r="D57" s="52"/>
      <c r="E57" s="154"/>
      <c r="F57" s="53"/>
      <c r="G57" s="53"/>
      <c r="H57" s="53"/>
      <c r="I57" s="53"/>
      <c r="J57" s="53"/>
      <c r="K57" s="53"/>
      <c r="L57" s="32"/>
      <c r="M57" s="33"/>
      <c r="N57" s="33"/>
      <c r="O57" s="33"/>
      <c r="P57" s="33"/>
      <c r="Q57" s="33"/>
      <c r="R57" s="33"/>
      <c r="S57" s="33"/>
      <c r="T57" s="33"/>
      <c r="U57" s="33"/>
      <c r="V57" s="33"/>
      <c r="W57" s="33"/>
    </row>
    <row r="58" spans="1:23" ht="11.1" customHeight="1" thickBot="1">
      <c r="A58" s="54"/>
      <c r="B58" s="55"/>
      <c r="C58" s="55"/>
      <c r="D58" s="55"/>
      <c r="E58" s="43"/>
      <c r="F58" s="56"/>
      <c r="G58" s="56"/>
      <c r="H58" s="56"/>
      <c r="I58" s="57"/>
      <c r="J58" s="53"/>
      <c r="K58" s="53"/>
      <c r="L58" s="32"/>
      <c r="M58" s="33"/>
      <c r="N58" s="33"/>
      <c r="O58" s="33"/>
      <c r="P58" s="33"/>
      <c r="Q58" s="33"/>
      <c r="R58" s="33"/>
      <c r="S58" s="33"/>
      <c r="T58" s="33"/>
      <c r="U58" s="33"/>
      <c r="V58" s="33"/>
      <c r="W58" s="33"/>
    </row>
    <row r="59" spans="1:23" ht="14.25" thickTop="1" thickBot="1">
      <c r="A59" s="47" t="s">
        <v>1559</v>
      </c>
      <c r="B59" s="36"/>
      <c r="C59" s="36"/>
      <c r="D59" s="59"/>
      <c r="E59" s="59"/>
      <c r="F59" s="59"/>
      <c r="G59" s="59"/>
      <c r="H59" s="59"/>
      <c r="I59" s="59"/>
      <c r="J59" s="59"/>
      <c r="K59" s="105"/>
      <c r="L59" s="32"/>
      <c r="M59" s="33"/>
      <c r="N59" s="33"/>
      <c r="O59" s="33"/>
      <c r="P59" s="33"/>
      <c r="Q59" s="33"/>
      <c r="R59" s="33"/>
      <c r="S59" s="33"/>
      <c r="T59" s="33"/>
      <c r="U59" s="33"/>
      <c r="V59" s="33"/>
      <c r="W59" s="33"/>
    </row>
    <row r="60" spans="1:23" ht="23.25" thickTop="1">
      <c r="A60" s="35"/>
      <c r="B60" s="35"/>
      <c r="C60" s="58" t="s">
        <v>1560</v>
      </c>
      <c r="D60" s="152" t="s">
        <v>0</v>
      </c>
      <c r="E60" s="147" t="s">
        <v>1620</v>
      </c>
      <c r="F60" s="138" t="s">
        <v>5</v>
      </c>
      <c r="G60" s="135" t="s">
        <v>6</v>
      </c>
      <c r="H60" s="135" t="s">
        <v>7</v>
      </c>
      <c r="I60" s="135" t="s">
        <v>8</v>
      </c>
      <c r="J60" s="135" t="s">
        <v>140</v>
      </c>
      <c r="K60" s="135" t="s">
        <v>141</v>
      </c>
      <c r="L60" s="33"/>
      <c r="M60" s="33"/>
      <c r="N60" s="33"/>
      <c r="O60" s="33"/>
      <c r="P60" s="33"/>
      <c r="Q60" s="33"/>
      <c r="R60" s="33"/>
      <c r="S60" s="33"/>
      <c r="T60" s="33"/>
      <c r="U60" s="33"/>
      <c r="V60" s="33"/>
      <c r="W60" s="33"/>
    </row>
    <row r="61" spans="1:23">
      <c r="A61" s="35"/>
      <c r="B61" s="35"/>
      <c r="C61" s="88" t="s">
        <v>9</v>
      </c>
      <c r="D61" s="125" t="s">
        <v>1561</v>
      </c>
      <c r="E61" s="89"/>
      <c r="F61" s="61">
        <f>IF($N$1,SUMIFS(Stations!L:L,Stations!$C:$C,"="&amp;$C61,Stations!$W:$W,"=No"),SUMIFS(Stations!L:L,Stations!$C:$C,"="&amp;$C61))</f>
        <v>117</v>
      </c>
      <c r="G61" s="61">
        <f>IF($N$1,SUMIFS(Stations!M:M,Stations!$C:$C,"="&amp;$C61,Stations!$W:$W,"=No"),SUMIFS(Stations!M:M,Stations!$C:$C,"="&amp;$C61))</f>
        <v>17</v>
      </c>
      <c r="H61" s="61">
        <f>IF($N$1,SUMIFS(Stations!O:O,Stations!$C:$C,"="&amp;$C61,Stations!$W:$W,"=No"),SUMIFS(Stations!O:O,Stations!$C:$C,"="&amp;$C61))</f>
        <v>0</v>
      </c>
      <c r="I61" s="61">
        <f>IF($N$1,SUMIFS(Stations!Q:Q,Stations!$C:$C,"="&amp;$C61,Stations!$W:$W,"=No"),SUMIFS(Stations!Q:Q,Stations!$C:$C,"="&amp;$C61))</f>
        <v>17</v>
      </c>
      <c r="J61" s="61">
        <f>IF($N$1,SUMIFS(Stations!S:S,Stations!$C:$C,"="&amp;$C61,Stations!$W:$W,"=No"),SUMIFS(Stations!S:S,Stations!$C:$C,"="&amp;$C61))</f>
        <v>2</v>
      </c>
      <c r="K61" s="62">
        <f>IF($N$1,SUMIFS(Stations!U:U,Stations!$C:$C,"="&amp;$C61,Stations!$W:$W,"=No"),SUMIFS(Stations!U:U,Stations!$C:$C,"="&amp;$C61))</f>
        <v>2</v>
      </c>
      <c r="L61" s="33"/>
      <c r="M61" s="33"/>
      <c r="N61" s="33"/>
      <c r="O61" s="33"/>
      <c r="P61" s="33"/>
      <c r="Q61" s="33"/>
      <c r="R61" s="33"/>
      <c r="S61" s="33"/>
      <c r="T61" s="33"/>
      <c r="U61" s="33"/>
      <c r="V61" s="33"/>
      <c r="W61" s="33"/>
    </row>
    <row r="62" spans="1:23">
      <c r="A62" s="35"/>
      <c r="B62" s="35"/>
      <c r="C62" s="67" t="s">
        <v>13</v>
      </c>
      <c r="D62" s="126" t="s">
        <v>1562</v>
      </c>
      <c r="E62" s="90"/>
      <c r="F62" s="63">
        <f>IF($N$1,SUMIFS(Stations!L:L,Stations!$C:$C,"="&amp;$C62,Stations!$W:$W,"=No"),SUMIFS(Stations!L:L,Stations!$C:$C,"="&amp;$C62))</f>
        <v>142</v>
      </c>
      <c r="G62" s="63">
        <f>IF($N$1,SUMIFS(Stations!M:M,Stations!$C:$C,"="&amp;$C62,Stations!$W:$W,"=No"),SUMIFS(Stations!M:M,Stations!$C:$C,"="&amp;$C62))</f>
        <v>9</v>
      </c>
      <c r="H62" s="63">
        <f>IF($N$1,SUMIFS(Stations!O:O,Stations!$C:$C,"="&amp;$C62,Stations!$W:$W,"=No"),SUMIFS(Stations!O:O,Stations!$C:$C,"="&amp;$C62))</f>
        <v>0</v>
      </c>
      <c r="I62" s="63">
        <f>IF($N$1,SUMIFS(Stations!Q:Q,Stations!$C:$C,"="&amp;$C62,Stations!$W:$W,"=No"),SUMIFS(Stations!Q:Q,Stations!$C:$C,"="&amp;$C62))</f>
        <v>9</v>
      </c>
      <c r="J62" s="63">
        <f>IF($N$1,SUMIFS(Stations!S:S,Stations!$C:$C,"="&amp;$C62,Stations!$W:$W,"=No"),SUMIFS(Stations!S:S,Stations!$C:$C,"="&amp;$C62))</f>
        <v>6</v>
      </c>
      <c r="K62" s="64">
        <f>IF($N$1,SUMIFS(Stations!U:U,Stations!$C:$C,"="&amp;$C62,Stations!$W:$W,"=No"),SUMIFS(Stations!U:U,Stations!$C:$C,"="&amp;$C62))</f>
        <v>1</v>
      </c>
      <c r="L62" s="33"/>
      <c r="M62" s="33"/>
      <c r="N62" s="33"/>
      <c r="O62" s="33"/>
      <c r="P62" s="33"/>
      <c r="Q62" s="33"/>
      <c r="R62" s="33"/>
      <c r="S62" s="33"/>
      <c r="T62" s="33"/>
      <c r="U62" s="33"/>
      <c r="V62" s="33"/>
      <c r="W62" s="33"/>
    </row>
    <row r="63" spans="1:23">
      <c r="A63" s="35"/>
      <c r="B63" s="35"/>
      <c r="C63" s="67" t="s">
        <v>10</v>
      </c>
      <c r="D63" s="126" t="s">
        <v>1563</v>
      </c>
      <c r="E63" s="90"/>
      <c r="F63" s="63">
        <f>IF($N$1,SUMIFS(Stations!L:L,Stations!$C:$C,"="&amp;$C63,Stations!$W:$W,"=No"),SUMIFS(Stations!L:L,Stations!$C:$C,"="&amp;$C63))</f>
        <v>109</v>
      </c>
      <c r="G63" s="63">
        <f>IF($N$1,SUMIFS(Stations!M:M,Stations!$C:$C,"="&amp;$C63,Stations!$W:$W,"=No"),SUMIFS(Stations!M:M,Stations!$C:$C,"="&amp;$C63))</f>
        <v>6</v>
      </c>
      <c r="H63" s="63">
        <f>IF($N$1,SUMIFS(Stations!O:O,Stations!$C:$C,"="&amp;$C63,Stations!$W:$W,"=No"),SUMIFS(Stations!O:O,Stations!$C:$C,"="&amp;$C63))</f>
        <v>0</v>
      </c>
      <c r="I63" s="63">
        <f>IF($N$1,SUMIFS(Stations!Q:Q,Stations!$C:$C,"="&amp;$C63,Stations!$W:$W,"=No"),SUMIFS(Stations!Q:Q,Stations!$C:$C,"="&amp;$C63))</f>
        <v>6</v>
      </c>
      <c r="J63" s="63">
        <f>IF($N$1,SUMIFS(Stations!S:S,Stations!$C:$C,"="&amp;$C63,Stations!$W:$W,"=No"),SUMIFS(Stations!S:S,Stations!$C:$C,"="&amp;$C63))</f>
        <v>2</v>
      </c>
      <c r="K63" s="64">
        <f>IF($N$1,SUMIFS(Stations!U:U,Stations!$C:$C,"="&amp;$C63,Stations!$W:$W,"=No"),SUMIFS(Stations!U:U,Stations!$C:$C,"="&amp;$C63))</f>
        <v>0</v>
      </c>
      <c r="L63" s="33"/>
      <c r="M63" s="33"/>
      <c r="N63" s="33"/>
      <c r="O63" s="33"/>
      <c r="P63" s="33"/>
      <c r="Q63" s="33"/>
      <c r="R63" s="33"/>
      <c r="S63" s="33"/>
      <c r="T63" s="33"/>
      <c r="U63" s="33"/>
      <c r="V63" s="33"/>
      <c r="W63" s="33"/>
    </row>
    <row r="64" spans="1:23">
      <c r="A64" s="35"/>
      <c r="B64" s="35"/>
      <c r="C64" s="67" t="s">
        <v>1564</v>
      </c>
      <c r="D64" s="126" t="s">
        <v>1565</v>
      </c>
      <c r="E64" s="90"/>
      <c r="F64" s="63">
        <f>IF($N$1,SUMIFS(Stations!L:L,Stations!$C:$C,"="&amp;$C64,Stations!$W:$W,"=No"),SUMIFS(Stations!L:L,Stations!$C:$C,"="&amp;$C64))</f>
        <v>0</v>
      </c>
      <c r="G64" s="63">
        <f>IF($N$1,SUMIFS(Stations!M:M,Stations!$C:$C,"="&amp;$C64,Stations!$W:$W,"=No"),SUMIFS(Stations!M:M,Stations!$C:$C,"="&amp;$C64))</f>
        <v>0</v>
      </c>
      <c r="H64" s="63">
        <f>IF($N$1,SUMIFS(Stations!O:O,Stations!$C:$C,"="&amp;$C64,Stations!$W:$W,"=No"),SUMIFS(Stations!O:O,Stations!$C:$C,"="&amp;$C64))</f>
        <v>0</v>
      </c>
      <c r="I64" s="63">
        <f>IF($N$1,SUMIFS(Stations!Q:Q,Stations!$C:$C,"="&amp;$C64,Stations!$W:$W,"=No"),SUMIFS(Stations!Q:Q,Stations!$C:$C,"="&amp;$C64))</f>
        <v>0</v>
      </c>
      <c r="J64" s="63">
        <f>IF($N$1,SUMIFS(Stations!S:S,Stations!$C:$C,"="&amp;$C64,Stations!$W:$W,"=No"),SUMIFS(Stations!S:S,Stations!$C:$C,"="&amp;$C64))</f>
        <v>0</v>
      </c>
      <c r="K64" s="64">
        <f>IF($N$1,SUMIFS(Stations!U:U,Stations!$C:$C,"="&amp;$C64,Stations!$W:$W,"=No"),SUMIFS(Stations!U:U,Stations!$C:$C,"="&amp;$C64))</f>
        <v>0</v>
      </c>
      <c r="L64" s="33"/>
      <c r="M64" s="33"/>
      <c r="N64" s="33"/>
      <c r="O64" s="33"/>
      <c r="P64" s="33"/>
      <c r="Q64" s="33"/>
      <c r="R64" s="33"/>
      <c r="S64" s="33"/>
      <c r="T64" s="33"/>
      <c r="U64" s="33"/>
      <c r="V64" s="33"/>
      <c r="W64" s="33"/>
    </row>
    <row r="65" spans="1:23">
      <c r="A65" s="35"/>
      <c r="B65" s="35"/>
      <c r="C65" s="67" t="s">
        <v>16</v>
      </c>
      <c r="D65" s="126" t="s">
        <v>1566</v>
      </c>
      <c r="E65" s="90"/>
      <c r="F65" s="63">
        <f>IF($N$1,SUMIFS(Stations!L:L,Stations!$C:$C,"="&amp;$C65,Stations!$W:$W,"=No"),SUMIFS(Stations!L:L,Stations!$C:$C,"="&amp;$C65))</f>
        <v>1073</v>
      </c>
      <c r="G65" s="63">
        <f>IF($N$1,SUMIFS(Stations!M:M,Stations!$C:$C,"="&amp;$C65,Stations!$W:$W,"=No"),SUMIFS(Stations!M:M,Stations!$C:$C,"="&amp;$C65))</f>
        <v>55</v>
      </c>
      <c r="H65" s="63">
        <f>IF($N$1,SUMIFS(Stations!O:O,Stations!$C:$C,"="&amp;$C65,Stations!$W:$W,"=No"),SUMIFS(Stations!O:O,Stations!$C:$C,"="&amp;$C65))</f>
        <v>0</v>
      </c>
      <c r="I65" s="63">
        <f>IF($N$1,SUMIFS(Stations!Q:Q,Stations!$C:$C,"="&amp;$C65,Stations!$W:$W,"=No"),SUMIFS(Stations!Q:Q,Stations!$C:$C,"="&amp;$C65))</f>
        <v>55</v>
      </c>
      <c r="J65" s="63">
        <f>IF($N$1,SUMIFS(Stations!S:S,Stations!$C:$C,"="&amp;$C65,Stations!$W:$W,"=No"),SUMIFS(Stations!S:S,Stations!$C:$C,"="&amp;$C65))</f>
        <v>1</v>
      </c>
      <c r="K65" s="64">
        <f>IF($N$1,SUMIFS(Stations!U:U,Stations!$C:$C,"="&amp;$C65,Stations!$W:$W,"=No"),SUMIFS(Stations!U:U,Stations!$C:$C,"="&amp;$C65))</f>
        <v>1</v>
      </c>
      <c r="L65" s="33"/>
      <c r="M65" s="33"/>
      <c r="N65" s="33"/>
      <c r="O65" s="33"/>
      <c r="P65" s="33"/>
      <c r="Q65" s="33"/>
      <c r="R65" s="33"/>
      <c r="S65" s="33"/>
      <c r="T65" s="33"/>
      <c r="U65" s="33"/>
      <c r="V65" s="33"/>
      <c r="W65" s="33"/>
    </row>
    <row r="66" spans="1:23">
      <c r="A66" s="35"/>
      <c r="B66" s="35"/>
      <c r="C66" s="67" t="s">
        <v>19</v>
      </c>
      <c r="D66" s="126" t="s">
        <v>1567</v>
      </c>
      <c r="E66" s="90"/>
      <c r="F66" s="63">
        <f>IF($N$1,SUMIFS(Stations!L:L,Stations!$C:$C,"="&amp;$C66,Stations!$W:$W,"=No"),SUMIFS(Stations!L:L,Stations!$C:$C,"="&amp;$C66))</f>
        <v>10557</v>
      </c>
      <c r="G66" s="63">
        <f>IF($N$1,SUMIFS(Stations!M:M,Stations!$C:$C,"="&amp;$C66,Stations!$W:$W,"=No"),SUMIFS(Stations!M:M,Stations!$C:$C,"="&amp;$C66))</f>
        <v>777</v>
      </c>
      <c r="H66" s="63">
        <f>IF($N$1,SUMIFS(Stations!O:O,Stations!$C:$C,"="&amp;$C66,Stations!$W:$W,"=No"),SUMIFS(Stations!O:O,Stations!$C:$C,"="&amp;$C66))</f>
        <v>7</v>
      </c>
      <c r="I66" s="63">
        <f>IF($N$1,SUMIFS(Stations!Q:Q,Stations!$C:$C,"="&amp;$C66,Stations!$W:$W,"=No"),SUMIFS(Stations!Q:Q,Stations!$C:$C,"="&amp;$C66))</f>
        <v>784</v>
      </c>
      <c r="J66" s="63">
        <f>IF($N$1,SUMIFS(Stations!S:S,Stations!$C:$C,"="&amp;$C66,Stations!$W:$W,"=No"),SUMIFS(Stations!S:S,Stations!$C:$C,"="&amp;$C66))</f>
        <v>533</v>
      </c>
      <c r="K66" s="64">
        <f>IF($N$1,SUMIFS(Stations!U:U,Stations!$C:$C,"="&amp;$C66,Stations!$W:$W,"=No"),SUMIFS(Stations!U:U,Stations!$C:$C,"="&amp;$C66))</f>
        <v>468</v>
      </c>
      <c r="L66" s="33"/>
      <c r="M66" s="33"/>
      <c r="N66" s="33"/>
      <c r="O66" s="33"/>
      <c r="P66" s="33"/>
      <c r="Q66" s="33"/>
      <c r="R66" s="33"/>
      <c r="S66" s="33"/>
      <c r="T66" s="33"/>
      <c r="U66" s="33"/>
      <c r="V66" s="33"/>
      <c r="W66" s="33"/>
    </row>
    <row r="67" spans="1:23">
      <c r="A67" s="35"/>
      <c r="B67" s="35"/>
      <c r="C67" s="67" t="s">
        <v>28</v>
      </c>
      <c r="D67" s="126" t="s">
        <v>1568</v>
      </c>
      <c r="E67" s="90"/>
      <c r="F67" s="63">
        <f>IF($N$1,SUMIFS(Stations!L:L,Stations!$C:$C,"="&amp;$C67,Stations!$W:$W,"=No"),SUMIFS(Stations!L:L,Stations!$C:$C,"="&amp;$C67))</f>
        <v>1171</v>
      </c>
      <c r="G67" s="63">
        <f>IF($N$1,SUMIFS(Stations!M:M,Stations!$C:$C,"="&amp;$C67,Stations!$W:$W,"=No"),SUMIFS(Stations!M:M,Stations!$C:$C,"="&amp;$C67))</f>
        <v>78</v>
      </c>
      <c r="H67" s="63">
        <f>IF($N$1,SUMIFS(Stations!O:O,Stations!$C:$C,"="&amp;$C67,Stations!$W:$W,"=No"),SUMIFS(Stations!O:O,Stations!$C:$C,"="&amp;$C67))</f>
        <v>0</v>
      </c>
      <c r="I67" s="63">
        <f>IF($N$1,SUMIFS(Stations!Q:Q,Stations!$C:$C,"="&amp;$C67,Stations!$W:$W,"=No"),SUMIFS(Stations!Q:Q,Stations!$C:$C,"="&amp;$C67))</f>
        <v>78</v>
      </c>
      <c r="J67" s="63">
        <f>IF($N$1,SUMIFS(Stations!S:S,Stations!$C:$C,"="&amp;$C67,Stations!$W:$W,"=No"),SUMIFS(Stations!S:S,Stations!$C:$C,"="&amp;$C67))</f>
        <v>74</v>
      </c>
      <c r="K67" s="64">
        <f>IF($N$1,SUMIFS(Stations!U:U,Stations!$C:$C,"="&amp;$C67,Stations!$W:$W,"=No"),SUMIFS(Stations!U:U,Stations!$C:$C,"="&amp;$C67))</f>
        <v>12</v>
      </c>
      <c r="L67" s="33"/>
      <c r="M67" s="33"/>
      <c r="N67" s="33"/>
      <c r="O67" s="33"/>
      <c r="P67" s="33"/>
      <c r="Q67" s="33"/>
      <c r="R67" s="33"/>
      <c r="S67" s="33"/>
      <c r="T67" s="33"/>
      <c r="U67" s="33"/>
      <c r="V67" s="33"/>
      <c r="W67" s="33"/>
    </row>
    <row r="68" spans="1:23">
      <c r="A68" s="35"/>
      <c r="B68" s="35"/>
      <c r="C68" s="67" t="s">
        <v>29</v>
      </c>
      <c r="D68" s="126" t="s">
        <v>1569</v>
      </c>
      <c r="E68" s="90"/>
      <c r="F68" s="63">
        <f>IF($N$1,SUMIFS(Stations!L:L,Stations!$C:$C,"="&amp;$C68,Stations!$W:$W,"=No"),SUMIFS(Stations!L:L,Stations!$C:$C,"="&amp;$C68))</f>
        <v>652</v>
      </c>
      <c r="G68" s="63">
        <f>IF($N$1,SUMIFS(Stations!M:M,Stations!$C:$C,"="&amp;$C68,Stations!$W:$W,"=No"),SUMIFS(Stations!M:M,Stations!$C:$C,"="&amp;$C68))</f>
        <v>12</v>
      </c>
      <c r="H68" s="63">
        <f>IF($N$1,SUMIFS(Stations!O:O,Stations!$C:$C,"="&amp;$C68,Stations!$W:$W,"=No"),SUMIFS(Stations!O:O,Stations!$C:$C,"="&amp;$C68))</f>
        <v>1</v>
      </c>
      <c r="I68" s="63">
        <f>IF($N$1,SUMIFS(Stations!Q:Q,Stations!$C:$C,"="&amp;$C68,Stations!$W:$W,"=No"),SUMIFS(Stations!Q:Q,Stations!$C:$C,"="&amp;$C68))</f>
        <v>13</v>
      </c>
      <c r="J68" s="63">
        <f>IF($N$1,SUMIFS(Stations!S:S,Stations!$C:$C,"="&amp;$C68,Stations!$W:$W,"=No"),SUMIFS(Stations!S:S,Stations!$C:$C,"="&amp;$C68))</f>
        <v>5</v>
      </c>
      <c r="K68" s="64">
        <f>IF($N$1,SUMIFS(Stations!U:U,Stations!$C:$C,"="&amp;$C68,Stations!$W:$W,"=No"),SUMIFS(Stations!U:U,Stations!$C:$C,"="&amp;$C68))</f>
        <v>1</v>
      </c>
      <c r="L68" s="33"/>
      <c r="M68" s="33"/>
      <c r="N68" s="33"/>
      <c r="O68" s="33"/>
      <c r="P68" s="33"/>
      <c r="Q68" s="33"/>
      <c r="R68" s="33"/>
      <c r="S68" s="33"/>
      <c r="T68" s="33"/>
      <c r="U68" s="33"/>
      <c r="V68" s="33"/>
      <c r="W68" s="33"/>
    </row>
    <row r="69" spans="1:23">
      <c r="A69" s="35"/>
      <c r="B69" s="35"/>
      <c r="C69" s="67" t="s">
        <v>31</v>
      </c>
      <c r="D69" s="126" t="s">
        <v>1570</v>
      </c>
      <c r="E69" s="90"/>
      <c r="F69" s="63">
        <f>IF($N$1,SUMIFS(Stations!L:L,Stations!$C:$C,"="&amp;$C69,Stations!$W:$W,"=No"),SUMIFS(Stations!L:L,Stations!$C:$C,"="&amp;$C69))</f>
        <v>2297</v>
      </c>
      <c r="G69" s="63">
        <f>IF($N$1,SUMIFS(Stations!M:M,Stations!$C:$C,"="&amp;$C69,Stations!$W:$W,"=No"),SUMIFS(Stations!M:M,Stations!$C:$C,"="&amp;$C69))</f>
        <v>94</v>
      </c>
      <c r="H69" s="63">
        <f>IF($N$1,SUMIFS(Stations!O:O,Stations!$C:$C,"="&amp;$C69,Stations!$W:$W,"=No"),SUMIFS(Stations!O:O,Stations!$C:$C,"="&amp;$C69))</f>
        <v>0</v>
      </c>
      <c r="I69" s="63">
        <f>IF($N$1,SUMIFS(Stations!Q:Q,Stations!$C:$C,"="&amp;$C69,Stations!$W:$W,"=No"),SUMIFS(Stations!Q:Q,Stations!$C:$C,"="&amp;$C69))</f>
        <v>94</v>
      </c>
      <c r="J69" s="63">
        <f>IF($N$1,SUMIFS(Stations!S:S,Stations!$C:$C,"="&amp;$C69,Stations!$W:$W,"=No"),SUMIFS(Stations!S:S,Stations!$C:$C,"="&amp;$C69))</f>
        <v>278</v>
      </c>
      <c r="K69" s="64">
        <f>IF($N$1,SUMIFS(Stations!U:U,Stations!$C:$C,"="&amp;$C69,Stations!$W:$W,"=No"),SUMIFS(Stations!U:U,Stations!$C:$C,"="&amp;$C69))</f>
        <v>618</v>
      </c>
      <c r="L69" s="33"/>
      <c r="M69" s="33"/>
      <c r="N69" s="33"/>
      <c r="O69" s="33"/>
      <c r="P69" s="33"/>
      <c r="Q69" s="33"/>
      <c r="R69" s="33"/>
      <c r="S69" s="33"/>
      <c r="T69" s="33"/>
      <c r="U69" s="33"/>
      <c r="V69" s="33"/>
      <c r="W69" s="33"/>
    </row>
    <row r="70" spans="1:23">
      <c r="A70" s="35"/>
      <c r="B70" s="35"/>
      <c r="C70" s="67" t="s">
        <v>120</v>
      </c>
      <c r="D70" s="126" t="s">
        <v>736</v>
      </c>
      <c r="E70" s="90"/>
      <c r="F70" s="63">
        <f>IF($N$1,SUMIFS(Stations!L:L,Stations!$C:$C,"="&amp;$C70,Stations!$W:$W,"=No"),SUMIFS(Stations!L:L,Stations!$C:$C,"="&amp;$C70))</f>
        <v>195</v>
      </c>
      <c r="G70" s="63">
        <f>IF($N$1,SUMIFS(Stations!M:M,Stations!$C:$C,"="&amp;$C70,Stations!$W:$W,"=No"),SUMIFS(Stations!M:M,Stations!$C:$C,"="&amp;$C70))</f>
        <v>8</v>
      </c>
      <c r="H70" s="63">
        <f>IF($N$1,SUMIFS(Stations!O:O,Stations!$C:$C,"="&amp;$C70,Stations!$W:$W,"=No"),SUMIFS(Stations!O:O,Stations!$C:$C,"="&amp;$C70))</f>
        <v>0</v>
      </c>
      <c r="I70" s="63">
        <f>IF($N$1,SUMIFS(Stations!Q:Q,Stations!$C:$C,"="&amp;$C70,Stations!$W:$W,"=No"),SUMIFS(Stations!Q:Q,Stations!$C:$C,"="&amp;$C70))</f>
        <v>8</v>
      </c>
      <c r="J70" s="63">
        <f>IF($N$1,SUMIFS(Stations!S:S,Stations!$C:$C,"="&amp;$C70,Stations!$W:$W,"=No"),SUMIFS(Stations!S:S,Stations!$C:$C,"="&amp;$C70))</f>
        <v>2</v>
      </c>
      <c r="K70" s="64">
        <f>IF($N$1,SUMIFS(Stations!U:U,Stations!$C:$C,"="&amp;$C70,Stations!$W:$W,"=No"),SUMIFS(Stations!U:U,Stations!$C:$C,"="&amp;$C70))</f>
        <v>2</v>
      </c>
      <c r="L70" s="33"/>
      <c r="M70" s="33"/>
      <c r="N70" s="33"/>
      <c r="O70" s="33"/>
      <c r="P70" s="33"/>
      <c r="Q70" s="33"/>
      <c r="R70" s="33"/>
      <c r="S70" s="33"/>
      <c r="T70" s="33"/>
      <c r="U70" s="33"/>
      <c r="V70" s="33"/>
      <c r="W70" s="33"/>
    </row>
    <row r="71" spans="1:23">
      <c r="A71" s="35"/>
      <c r="B71" s="35"/>
      <c r="C71" s="67" t="s">
        <v>32</v>
      </c>
      <c r="D71" s="126" t="s">
        <v>1571</v>
      </c>
      <c r="E71" s="90"/>
      <c r="F71" s="63">
        <f>IF($N$1,SUMIFS(Stations!L:L,Stations!$C:$C,"="&amp;$C71,Stations!$W:$W,"=No"),SUMIFS(Stations!L:L,Stations!$C:$C,"="&amp;$C71))</f>
        <v>2811</v>
      </c>
      <c r="G71" s="63">
        <f>IF($N$1,SUMIFS(Stations!M:M,Stations!$C:$C,"="&amp;$C71,Stations!$W:$W,"=No"),SUMIFS(Stations!M:M,Stations!$C:$C,"="&amp;$C71))</f>
        <v>148</v>
      </c>
      <c r="H71" s="63">
        <f>IF($N$1,SUMIFS(Stations!O:O,Stations!$C:$C,"="&amp;$C71,Stations!$W:$W,"=No"),SUMIFS(Stations!O:O,Stations!$C:$C,"="&amp;$C71))</f>
        <v>7</v>
      </c>
      <c r="I71" s="63">
        <f>IF($N$1,SUMIFS(Stations!Q:Q,Stations!$C:$C,"="&amp;$C71,Stations!$W:$W,"=No"),SUMIFS(Stations!Q:Q,Stations!$C:$C,"="&amp;$C71))</f>
        <v>155</v>
      </c>
      <c r="J71" s="63">
        <f>IF($N$1,SUMIFS(Stations!S:S,Stations!$C:$C,"="&amp;$C71,Stations!$W:$W,"=No"),SUMIFS(Stations!S:S,Stations!$C:$C,"="&amp;$C71))</f>
        <v>136</v>
      </c>
      <c r="K71" s="64">
        <f>IF($N$1,SUMIFS(Stations!U:U,Stations!$C:$C,"="&amp;$C71,Stations!$W:$W,"=No"),SUMIFS(Stations!U:U,Stations!$C:$C,"="&amp;$C71))</f>
        <v>115</v>
      </c>
      <c r="L71" s="33"/>
      <c r="M71" s="33"/>
      <c r="N71" s="33"/>
      <c r="O71" s="33"/>
      <c r="P71" s="33"/>
      <c r="Q71" s="33"/>
      <c r="R71" s="33"/>
      <c r="S71" s="33"/>
      <c r="T71" s="33"/>
      <c r="U71" s="33"/>
      <c r="V71" s="33"/>
      <c r="W71" s="33"/>
    </row>
    <row r="72" spans="1:23">
      <c r="A72" s="35"/>
      <c r="B72" s="35"/>
      <c r="C72" s="67" t="s">
        <v>35</v>
      </c>
      <c r="D72" s="126" t="s">
        <v>1572</v>
      </c>
      <c r="E72" s="90"/>
      <c r="F72" s="63">
        <f>IF($N$1,SUMIFS(Stations!L:L,Stations!$C:$C,"="&amp;$C72,Stations!$W:$W,"=No"),SUMIFS(Stations!L:L,Stations!$C:$C,"="&amp;$C72))</f>
        <v>1169</v>
      </c>
      <c r="G72" s="63">
        <f>IF($N$1,SUMIFS(Stations!M:M,Stations!$C:$C,"="&amp;$C72,Stations!$W:$W,"=No"),SUMIFS(Stations!M:M,Stations!$C:$C,"="&amp;$C72))</f>
        <v>70</v>
      </c>
      <c r="H72" s="63">
        <f>IF($N$1,SUMIFS(Stations!O:O,Stations!$C:$C,"="&amp;$C72,Stations!$W:$W,"=No"),SUMIFS(Stations!O:O,Stations!$C:$C,"="&amp;$C72))</f>
        <v>0</v>
      </c>
      <c r="I72" s="63">
        <f>IF($N$1,SUMIFS(Stations!Q:Q,Stations!$C:$C,"="&amp;$C72,Stations!$W:$W,"=No"),SUMIFS(Stations!Q:Q,Stations!$C:$C,"="&amp;$C72))</f>
        <v>70</v>
      </c>
      <c r="J72" s="63">
        <f>IF($N$1,SUMIFS(Stations!S:S,Stations!$C:$C,"="&amp;$C72,Stations!$W:$W,"=No"),SUMIFS(Stations!S:S,Stations!$C:$C,"="&amp;$C72))</f>
        <v>137</v>
      </c>
      <c r="K72" s="64">
        <f>IF($N$1,SUMIFS(Stations!U:U,Stations!$C:$C,"="&amp;$C72,Stations!$W:$W,"=No"),SUMIFS(Stations!U:U,Stations!$C:$C,"="&amp;$C72))</f>
        <v>234</v>
      </c>
      <c r="L72" s="33"/>
      <c r="M72" s="33"/>
      <c r="N72" s="33"/>
      <c r="O72" s="33"/>
      <c r="P72" s="33"/>
      <c r="Q72" s="33"/>
      <c r="R72" s="33"/>
      <c r="S72" s="33"/>
      <c r="T72" s="33"/>
      <c r="U72" s="33"/>
      <c r="V72" s="33"/>
      <c r="W72" s="33"/>
    </row>
    <row r="73" spans="1:23">
      <c r="A73" s="35"/>
      <c r="B73" s="35"/>
      <c r="C73" s="67" t="s">
        <v>1573</v>
      </c>
      <c r="D73" s="126" t="s">
        <v>1574</v>
      </c>
      <c r="E73" s="90"/>
      <c r="F73" s="63">
        <f>IF($N$1,SUMIFS(Stations!L:L,Stations!$C:$C,"="&amp;$C73,Stations!$W:$W,"=No"),SUMIFS(Stations!L:L,Stations!$C:$C,"="&amp;$C73))</f>
        <v>0</v>
      </c>
      <c r="G73" s="63">
        <f>IF($N$1,SUMIFS(Stations!M:M,Stations!$C:$C,"="&amp;$C73,Stations!$W:$W,"=No"),SUMIFS(Stations!M:M,Stations!$C:$C,"="&amp;$C73))</f>
        <v>0</v>
      </c>
      <c r="H73" s="63">
        <f>IF($N$1,SUMIFS(Stations!O:O,Stations!$C:$C,"="&amp;$C73,Stations!$W:$W,"=No"),SUMIFS(Stations!O:O,Stations!$C:$C,"="&amp;$C73))</f>
        <v>0</v>
      </c>
      <c r="I73" s="63">
        <f>IF($N$1,SUMIFS(Stations!Q:Q,Stations!$C:$C,"="&amp;$C73,Stations!$W:$W,"=No"),SUMIFS(Stations!Q:Q,Stations!$C:$C,"="&amp;$C73))</f>
        <v>0</v>
      </c>
      <c r="J73" s="63">
        <f>IF($N$1,SUMIFS(Stations!S:S,Stations!$C:$C,"="&amp;$C73,Stations!$W:$W,"=No"),SUMIFS(Stations!S:S,Stations!$C:$C,"="&amp;$C73))</f>
        <v>0</v>
      </c>
      <c r="K73" s="64">
        <f>IF($N$1,SUMIFS(Stations!U:U,Stations!$C:$C,"="&amp;$C73,Stations!$W:$W,"=No"),SUMIFS(Stations!U:U,Stations!$C:$C,"="&amp;$C73))</f>
        <v>0</v>
      </c>
      <c r="L73" s="33"/>
      <c r="M73" s="33"/>
      <c r="N73" s="33"/>
      <c r="O73" s="33"/>
      <c r="P73" s="33"/>
      <c r="Q73" s="33"/>
      <c r="R73" s="33"/>
      <c r="S73" s="33"/>
      <c r="T73" s="33"/>
      <c r="U73" s="33"/>
      <c r="V73" s="33"/>
      <c r="W73" s="33"/>
    </row>
    <row r="74" spans="1:23">
      <c r="A74" s="35"/>
      <c r="B74" s="35"/>
      <c r="C74" s="67" t="s">
        <v>36</v>
      </c>
      <c r="D74" s="126" t="s">
        <v>1575</v>
      </c>
      <c r="E74" s="90"/>
      <c r="F74" s="63">
        <f>IF($N$1,SUMIFS(Stations!L:L,Stations!$C:$C,"="&amp;$C74,Stations!$W:$W,"=No"),SUMIFS(Stations!L:L,Stations!$C:$C,"="&amp;$C74))</f>
        <v>472</v>
      </c>
      <c r="G74" s="63">
        <f>IF($N$1,SUMIFS(Stations!M:M,Stations!$C:$C,"="&amp;$C74,Stations!$W:$W,"=No"),SUMIFS(Stations!M:M,Stations!$C:$C,"="&amp;$C74))</f>
        <v>2</v>
      </c>
      <c r="H74" s="63">
        <f>IF($N$1,SUMIFS(Stations!O:O,Stations!$C:$C,"="&amp;$C74,Stations!$W:$W,"=No"),SUMIFS(Stations!O:O,Stations!$C:$C,"="&amp;$C74))</f>
        <v>0</v>
      </c>
      <c r="I74" s="63">
        <f>IF($N$1,SUMIFS(Stations!Q:Q,Stations!$C:$C,"="&amp;$C74,Stations!$W:$W,"=No"),SUMIFS(Stations!Q:Q,Stations!$C:$C,"="&amp;$C74))</f>
        <v>2</v>
      </c>
      <c r="J74" s="63">
        <f>IF($N$1,SUMIFS(Stations!S:S,Stations!$C:$C,"="&amp;$C74,Stations!$W:$W,"=No"),SUMIFS(Stations!S:S,Stations!$C:$C,"="&amp;$C74))</f>
        <v>0</v>
      </c>
      <c r="K74" s="64">
        <f>IF($N$1,SUMIFS(Stations!U:U,Stations!$C:$C,"="&amp;$C74,Stations!$W:$W,"=No"),SUMIFS(Stations!U:U,Stations!$C:$C,"="&amp;$C74))</f>
        <v>0</v>
      </c>
      <c r="L74" s="33"/>
      <c r="M74" s="33"/>
      <c r="N74" s="33"/>
      <c r="O74" s="33"/>
      <c r="P74" s="33"/>
      <c r="Q74" s="33"/>
      <c r="R74" s="33"/>
      <c r="S74" s="33"/>
      <c r="T74" s="33"/>
      <c r="U74" s="33"/>
      <c r="V74" s="33"/>
      <c r="W74" s="33"/>
    </row>
    <row r="75" spans="1:23">
      <c r="A75" s="35"/>
      <c r="B75" s="35"/>
      <c r="C75" s="67" t="s">
        <v>37</v>
      </c>
      <c r="D75" s="126" t="s">
        <v>1576</v>
      </c>
      <c r="E75" s="90"/>
      <c r="F75" s="63">
        <f>IF($N$1,SUMIFS(Stations!L:L,Stations!$C:$C,"="&amp;$C75,Stations!$W:$W,"=No"),SUMIFS(Stations!L:L,Stations!$C:$C,"="&amp;$C75))</f>
        <v>339</v>
      </c>
      <c r="G75" s="63">
        <f>IF($N$1,SUMIFS(Stations!M:M,Stations!$C:$C,"="&amp;$C75,Stations!$W:$W,"=No"),SUMIFS(Stations!M:M,Stations!$C:$C,"="&amp;$C75))</f>
        <v>10</v>
      </c>
      <c r="H75" s="63">
        <f>IF($N$1,SUMIFS(Stations!O:O,Stations!$C:$C,"="&amp;$C75,Stations!$W:$W,"=No"),SUMIFS(Stations!O:O,Stations!$C:$C,"="&amp;$C75))</f>
        <v>0</v>
      </c>
      <c r="I75" s="63">
        <f>IF($N$1,SUMIFS(Stations!Q:Q,Stations!$C:$C,"="&amp;$C75,Stations!$W:$W,"=No"),SUMIFS(Stations!Q:Q,Stations!$C:$C,"="&amp;$C75))</f>
        <v>10</v>
      </c>
      <c r="J75" s="63">
        <f>IF($N$1,SUMIFS(Stations!S:S,Stations!$C:$C,"="&amp;$C75,Stations!$W:$W,"=No"),SUMIFS(Stations!S:S,Stations!$C:$C,"="&amp;$C75))</f>
        <v>9</v>
      </c>
      <c r="K75" s="64">
        <f>IF($N$1,SUMIFS(Stations!U:U,Stations!$C:$C,"="&amp;$C75,Stations!$W:$W,"=No"),SUMIFS(Stations!U:U,Stations!$C:$C,"="&amp;$C75))</f>
        <v>0</v>
      </c>
      <c r="L75" s="33"/>
      <c r="M75" s="33"/>
      <c r="N75" s="33"/>
      <c r="O75" s="33"/>
      <c r="P75" s="33"/>
      <c r="Q75" s="33"/>
      <c r="R75" s="33"/>
      <c r="S75" s="33"/>
      <c r="T75" s="33"/>
      <c r="U75" s="33"/>
      <c r="V75" s="33"/>
      <c r="W75" s="33"/>
    </row>
    <row r="76" spans="1:23">
      <c r="A76" s="35"/>
      <c r="B76" s="35"/>
      <c r="C76" s="67" t="s">
        <v>2</v>
      </c>
      <c r="D76" s="126" t="s">
        <v>1577</v>
      </c>
      <c r="E76" s="90"/>
      <c r="F76" s="63">
        <f>IF($N$1,SUMIFS(Stations!L:L,Stations!$C:$C,"="&amp;$C76,Stations!$W:$W,"=No"),SUMIFS(Stations!L:L,Stations!$C:$C,"="&amp;$C76))</f>
        <v>85</v>
      </c>
      <c r="G76" s="63">
        <f>IF($N$1,SUMIFS(Stations!M:M,Stations!$C:$C,"="&amp;$C76,Stations!$W:$W,"=No"),SUMIFS(Stations!M:M,Stations!$C:$C,"="&amp;$C76))</f>
        <v>3</v>
      </c>
      <c r="H76" s="63">
        <f>IF($N$1,SUMIFS(Stations!O:O,Stations!$C:$C,"="&amp;$C76,Stations!$W:$W,"=No"),SUMIFS(Stations!O:O,Stations!$C:$C,"="&amp;$C76))</f>
        <v>0</v>
      </c>
      <c r="I76" s="63">
        <f>IF($N$1,SUMIFS(Stations!Q:Q,Stations!$C:$C,"="&amp;$C76,Stations!$W:$W,"=No"),SUMIFS(Stations!Q:Q,Stations!$C:$C,"="&amp;$C76))</f>
        <v>3</v>
      </c>
      <c r="J76" s="63">
        <f>IF($N$1,SUMIFS(Stations!S:S,Stations!$C:$C,"="&amp;$C76,Stations!$W:$W,"=No"),SUMIFS(Stations!S:S,Stations!$C:$C,"="&amp;$C76))</f>
        <v>1</v>
      </c>
      <c r="K76" s="64">
        <f>IF($N$1,SUMIFS(Stations!U:U,Stations!$C:$C,"="&amp;$C76,Stations!$W:$W,"=No"),SUMIFS(Stations!U:U,Stations!$C:$C,"="&amp;$C76))</f>
        <v>0</v>
      </c>
      <c r="L76" s="33"/>
      <c r="M76" s="33"/>
      <c r="N76" s="33"/>
      <c r="O76" s="33"/>
      <c r="P76" s="33"/>
      <c r="Q76" s="33"/>
      <c r="R76" s="33"/>
      <c r="S76" s="33"/>
      <c r="T76" s="33"/>
      <c r="U76" s="33"/>
      <c r="V76" s="33"/>
      <c r="W76" s="33"/>
    </row>
    <row r="77" spans="1:23">
      <c r="A77" s="35"/>
      <c r="B77" s="35"/>
      <c r="C77" s="67" t="s">
        <v>39</v>
      </c>
      <c r="D77" s="126" t="s">
        <v>1578</v>
      </c>
      <c r="E77" s="90"/>
      <c r="F77" s="63">
        <f>IF($N$1,SUMIFS(Stations!L:L,Stations!$C:$C,"="&amp;$C77,Stations!$W:$W,"=No"),SUMIFS(Stations!L:L,Stations!$C:$C,"="&amp;$C77))</f>
        <v>4979</v>
      </c>
      <c r="G77" s="63">
        <f>IF($N$1,SUMIFS(Stations!M:M,Stations!$C:$C,"="&amp;$C77,Stations!$W:$W,"=No"),SUMIFS(Stations!M:M,Stations!$C:$C,"="&amp;$C77))</f>
        <v>465</v>
      </c>
      <c r="H77" s="63">
        <f>IF($N$1,SUMIFS(Stations!O:O,Stations!$C:$C,"="&amp;$C77,Stations!$W:$W,"=No"),SUMIFS(Stations!O:O,Stations!$C:$C,"="&amp;$C77))</f>
        <v>137</v>
      </c>
      <c r="I77" s="63">
        <f>IF($N$1,SUMIFS(Stations!Q:Q,Stations!$C:$C,"="&amp;$C77,Stations!$W:$W,"=No"),SUMIFS(Stations!Q:Q,Stations!$C:$C,"="&amp;$C77))</f>
        <v>602</v>
      </c>
      <c r="J77" s="63">
        <f>IF($N$1,SUMIFS(Stations!S:S,Stations!$C:$C,"="&amp;$C77,Stations!$W:$W,"=No"),SUMIFS(Stations!S:S,Stations!$C:$C,"="&amp;$C77))</f>
        <v>244</v>
      </c>
      <c r="K77" s="64">
        <f>IF($N$1,SUMIFS(Stations!U:U,Stations!$C:$C,"="&amp;$C77,Stations!$W:$W,"=No"),SUMIFS(Stations!U:U,Stations!$C:$C,"="&amp;$C77))</f>
        <v>213</v>
      </c>
      <c r="L77" s="33"/>
      <c r="M77" s="33"/>
      <c r="N77" s="33"/>
      <c r="O77" s="33"/>
      <c r="P77" s="33"/>
      <c r="Q77" s="33"/>
      <c r="R77" s="33"/>
      <c r="S77" s="33"/>
      <c r="T77" s="33"/>
      <c r="U77" s="33"/>
      <c r="V77" s="33"/>
      <c r="W77" s="33"/>
    </row>
    <row r="78" spans="1:23">
      <c r="A78" s="35"/>
      <c r="B78" s="35"/>
      <c r="C78" s="67" t="s">
        <v>40</v>
      </c>
      <c r="D78" s="126" t="s">
        <v>1579</v>
      </c>
      <c r="E78" s="90"/>
      <c r="F78" s="63">
        <f>IF($N$1,SUMIFS(Stations!L:L,Stations!$C:$C,"="&amp;$C78,Stations!$W:$W,"=No"),SUMIFS(Stations!L:L,Stations!$C:$C,"="&amp;$C78))</f>
        <v>472</v>
      </c>
      <c r="G78" s="63">
        <f>IF($N$1,SUMIFS(Stations!M:M,Stations!$C:$C,"="&amp;$C78,Stations!$W:$W,"=No"),SUMIFS(Stations!M:M,Stations!$C:$C,"="&amp;$C78))</f>
        <v>29</v>
      </c>
      <c r="H78" s="63">
        <f>IF($N$1,SUMIFS(Stations!O:O,Stations!$C:$C,"="&amp;$C78,Stations!$W:$W,"=No"),SUMIFS(Stations!O:O,Stations!$C:$C,"="&amp;$C78))</f>
        <v>5</v>
      </c>
      <c r="I78" s="63">
        <f>IF($N$1,SUMIFS(Stations!Q:Q,Stations!$C:$C,"="&amp;$C78,Stations!$W:$W,"=No"),SUMIFS(Stations!Q:Q,Stations!$C:$C,"="&amp;$C78))</f>
        <v>34</v>
      </c>
      <c r="J78" s="63">
        <f>IF($N$1,SUMIFS(Stations!S:S,Stations!$C:$C,"="&amp;$C78,Stations!$W:$W,"=No"),SUMIFS(Stations!S:S,Stations!$C:$C,"="&amp;$C78))</f>
        <v>10</v>
      </c>
      <c r="K78" s="64">
        <f>IF($N$1,SUMIFS(Stations!U:U,Stations!$C:$C,"="&amp;$C78,Stations!$W:$W,"=No"),SUMIFS(Stations!U:U,Stations!$C:$C,"="&amp;$C78))</f>
        <v>2</v>
      </c>
      <c r="L78" s="33"/>
      <c r="M78" s="33"/>
      <c r="N78" s="33"/>
      <c r="O78" s="33"/>
      <c r="P78" s="33"/>
      <c r="Q78" s="33"/>
      <c r="R78" s="33"/>
      <c r="S78" s="33"/>
      <c r="T78" s="33"/>
      <c r="U78" s="33"/>
      <c r="V78" s="33"/>
      <c r="W78" s="33"/>
    </row>
    <row r="79" spans="1:23">
      <c r="A79" s="35"/>
      <c r="B79" s="35"/>
      <c r="C79" s="67" t="s">
        <v>42</v>
      </c>
      <c r="D79" s="126" t="s">
        <v>1580</v>
      </c>
      <c r="E79" s="90"/>
      <c r="F79" s="63">
        <f>IF($N$1,SUMIFS(Stations!L:L,Stations!$C:$C,"="&amp;$C79,Stations!$W:$W,"=No"),SUMIFS(Stations!L:L,Stations!$C:$C,"="&amp;$C79))</f>
        <v>173</v>
      </c>
      <c r="G79" s="63">
        <f>IF($N$1,SUMIFS(Stations!M:M,Stations!$C:$C,"="&amp;$C79,Stations!$W:$W,"=No"),SUMIFS(Stations!M:M,Stations!$C:$C,"="&amp;$C79))</f>
        <v>3</v>
      </c>
      <c r="H79" s="63">
        <f>IF($N$1,SUMIFS(Stations!O:O,Stations!$C:$C,"="&amp;$C79,Stations!$W:$W,"=No"),SUMIFS(Stations!O:O,Stations!$C:$C,"="&amp;$C79))</f>
        <v>0</v>
      </c>
      <c r="I79" s="63">
        <f>IF($N$1,SUMIFS(Stations!Q:Q,Stations!$C:$C,"="&amp;$C79,Stations!$W:$W,"=No"),SUMIFS(Stations!Q:Q,Stations!$C:$C,"="&amp;$C79))</f>
        <v>3</v>
      </c>
      <c r="J79" s="63">
        <f>IF($N$1,SUMIFS(Stations!S:S,Stations!$C:$C,"="&amp;$C79,Stations!$W:$W,"=No"),SUMIFS(Stations!S:S,Stations!$C:$C,"="&amp;$C79))</f>
        <v>0</v>
      </c>
      <c r="K79" s="64">
        <f>IF($N$1,SUMIFS(Stations!U:U,Stations!$C:$C,"="&amp;$C79,Stations!$W:$W,"=No"),SUMIFS(Stations!U:U,Stations!$C:$C,"="&amp;$C79))</f>
        <v>0</v>
      </c>
      <c r="L79" s="33"/>
      <c r="M79" s="33"/>
      <c r="N79" s="33"/>
      <c r="O79" s="33"/>
      <c r="P79" s="33"/>
      <c r="Q79" s="33"/>
      <c r="R79" s="33"/>
      <c r="S79" s="33"/>
      <c r="T79" s="33"/>
      <c r="U79" s="33"/>
      <c r="V79" s="33"/>
      <c r="W79" s="33"/>
    </row>
    <row r="80" spans="1:23">
      <c r="A80" s="35"/>
      <c r="B80" s="35"/>
      <c r="C80" s="67" t="s">
        <v>43</v>
      </c>
      <c r="D80" s="126" t="s">
        <v>1581</v>
      </c>
      <c r="E80" s="90"/>
      <c r="F80" s="63">
        <f>IF($N$1,SUMIFS(Stations!L:L,Stations!$C:$C,"="&amp;$C80,Stations!$W:$W,"=No"),SUMIFS(Stations!L:L,Stations!$C:$C,"="&amp;$C80))</f>
        <v>359</v>
      </c>
      <c r="G80" s="63">
        <f>IF($N$1,SUMIFS(Stations!M:M,Stations!$C:$C,"="&amp;$C80,Stations!$W:$W,"=No"),SUMIFS(Stations!M:M,Stations!$C:$C,"="&amp;$C80))</f>
        <v>5</v>
      </c>
      <c r="H80" s="63">
        <f>IF($N$1,SUMIFS(Stations!O:O,Stations!$C:$C,"="&amp;$C80,Stations!$W:$W,"=No"),SUMIFS(Stations!O:O,Stations!$C:$C,"="&amp;$C80))</f>
        <v>0</v>
      </c>
      <c r="I80" s="63">
        <f>IF($N$1,SUMIFS(Stations!Q:Q,Stations!$C:$C,"="&amp;$C80,Stations!$W:$W,"=No"),SUMIFS(Stations!Q:Q,Stations!$C:$C,"="&amp;$C80))</f>
        <v>5</v>
      </c>
      <c r="J80" s="63">
        <f>IF($N$1,SUMIFS(Stations!S:S,Stations!$C:$C,"="&amp;$C80,Stations!$W:$W,"=No"),SUMIFS(Stations!S:S,Stations!$C:$C,"="&amp;$C80))</f>
        <v>1</v>
      </c>
      <c r="K80" s="64">
        <f>IF($N$1,SUMIFS(Stations!U:U,Stations!$C:$C,"="&amp;$C80,Stations!$W:$W,"=No"),SUMIFS(Stations!U:U,Stations!$C:$C,"="&amp;$C80))</f>
        <v>0</v>
      </c>
      <c r="L80" s="33"/>
      <c r="M80" s="33"/>
      <c r="N80" s="33"/>
      <c r="O80" s="33"/>
      <c r="P80" s="33"/>
      <c r="Q80" s="33"/>
      <c r="R80" s="33"/>
      <c r="S80" s="33"/>
      <c r="T80" s="33"/>
      <c r="U80" s="33"/>
      <c r="V80" s="33"/>
      <c r="W80" s="33"/>
    </row>
    <row r="81" spans="1:23">
      <c r="A81" s="35"/>
      <c r="B81" s="35"/>
      <c r="C81" s="67" t="s">
        <v>44</v>
      </c>
      <c r="D81" s="126" t="s">
        <v>1582</v>
      </c>
      <c r="E81" s="90"/>
      <c r="F81" s="63">
        <f>IF($N$1,SUMIFS(Stations!L:L,Stations!$C:$C,"="&amp;$C81,Stations!$W:$W,"=No"),SUMIFS(Stations!L:L,Stations!$C:$C,"="&amp;$C81))</f>
        <v>302</v>
      </c>
      <c r="G81" s="63">
        <f>IF($N$1,SUMIFS(Stations!M:M,Stations!$C:$C,"="&amp;$C81,Stations!$W:$W,"=No"),SUMIFS(Stations!M:M,Stations!$C:$C,"="&amp;$C81))</f>
        <v>33</v>
      </c>
      <c r="H81" s="63">
        <f>IF($N$1,SUMIFS(Stations!O:O,Stations!$C:$C,"="&amp;$C81,Stations!$W:$W,"=No"),SUMIFS(Stations!O:O,Stations!$C:$C,"="&amp;$C81))</f>
        <v>0</v>
      </c>
      <c r="I81" s="63">
        <f>IF($N$1,SUMIFS(Stations!Q:Q,Stations!$C:$C,"="&amp;$C81,Stations!$W:$W,"=No"),SUMIFS(Stations!Q:Q,Stations!$C:$C,"="&amp;$C81))</f>
        <v>33</v>
      </c>
      <c r="J81" s="63">
        <f>IF($N$1,SUMIFS(Stations!S:S,Stations!$C:$C,"="&amp;$C81,Stations!$W:$W,"=No"),SUMIFS(Stations!S:S,Stations!$C:$C,"="&amp;$C81))</f>
        <v>2</v>
      </c>
      <c r="K81" s="64">
        <f>IF($N$1,SUMIFS(Stations!U:U,Stations!$C:$C,"="&amp;$C81,Stations!$W:$W,"=No"),SUMIFS(Stations!U:U,Stations!$C:$C,"="&amp;$C81))</f>
        <v>0</v>
      </c>
      <c r="L81" s="33"/>
      <c r="M81" s="33"/>
      <c r="N81" s="33"/>
      <c r="O81" s="33"/>
      <c r="P81" s="33"/>
      <c r="Q81" s="33"/>
      <c r="R81" s="33"/>
      <c r="S81" s="33"/>
      <c r="T81" s="33"/>
      <c r="U81" s="33"/>
      <c r="V81" s="33"/>
      <c r="W81" s="33"/>
    </row>
    <row r="82" spans="1:23">
      <c r="A82" s="35"/>
      <c r="B82" s="35"/>
      <c r="C82" s="67" t="s">
        <v>45</v>
      </c>
      <c r="D82" s="126" t="s">
        <v>1583</v>
      </c>
      <c r="E82" s="90"/>
      <c r="F82" s="63">
        <f>IF($N$1,SUMIFS(Stations!L:L,Stations!$C:$C,"="&amp;$C82,Stations!$W:$W,"=No"),SUMIFS(Stations!L:L,Stations!$C:$C,"="&amp;$C82))</f>
        <v>2363</v>
      </c>
      <c r="G82" s="63">
        <f>IF($N$1,SUMIFS(Stations!M:M,Stations!$C:$C,"="&amp;$C82,Stations!$W:$W,"=No"),SUMIFS(Stations!M:M,Stations!$C:$C,"="&amp;$C82))</f>
        <v>297</v>
      </c>
      <c r="H82" s="63">
        <f>IF($N$1,SUMIFS(Stations!O:O,Stations!$C:$C,"="&amp;$C82,Stations!$W:$W,"=No"),SUMIFS(Stations!O:O,Stations!$C:$C,"="&amp;$C82))</f>
        <v>72</v>
      </c>
      <c r="I82" s="63">
        <f>IF($N$1,SUMIFS(Stations!Q:Q,Stations!$C:$C,"="&amp;$C82,Stations!$W:$W,"=No"),SUMIFS(Stations!Q:Q,Stations!$C:$C,"="&amp;$C82))</f>
        <v>369</v>
      </c>
      <c r="J82" s="63">
        <f>IF($N$1,SUMIFS(Stations!S:S,Stations!$C:$C,"="&amp;$C82,Stations!$W:$W,"=No"),SUMIFS(Stations!S:S,Stations!$C:$C,"="&amp;$C82))</f>
        <v>202</v>
      </c>
      <c r="K82" s="64">
        <f>IF($N$1,SUMIFS(Stations!U:U,Stations!$C:$C,"="&amp;$C82,Stations!$W:$W,"=No"),SUMIFS(Stations!U:U,Stations!$C:$C,"="&amp;$C82))</f>
        <v>199</v>
      </c>
      <c r="L82" s="33"/>
      <c r="M82" s="33"/>
      <c r="N82" s="33"/>
      <c r="O82" s="33"/>
      <c r="P82" s="33"/>
      <c r="Q82" s="33"/>
      <c r="R82" s="33"/>
      <c r="S82" s="33"/>
      <c r="T82" s="33"/>
      <c r="U82" s="33"/>
      <c r="V82" s="33"/>
      <c r="W82" s="33"/>
    </row>
    <row r="83" spans="1:23">
      <c r="A83" s="35"/>
      <c r="B83" s="35"/>
      <c r="C83" s="67" t="s">
        <v>47</v>
      </c>
      <c r="D83" s="126" t="s">
        <v>1584</v>
      </c>
      <c r="E83" s="90"/>
      <c r="F83" s="63">
        <f>IF($N$1,SUMIFS(Stations!L:L,Stations!$C:$C,"="&amp;$C83,Stations!$W:$W,"=No"),SUMIFS(Stations!L:L,Stations!$C:$C,"="&amp;$C83))</f>
        <v>1640</v>
      </c>
      <c r="G83" s="63">
        <f>IF($N$1,SUMIFS(Stations!M:M,Stations!$C:$C,"="&amp;$C83,Stations!$W:$W,"=No"),SUMIFS(Stations!M:M,Stations!$C:$C,"="&amp;$C83))</f>
        <v>83</v>
      </c>
      <c r="H83" s="63">
        <f>IF($N$1,SUMIFS(Stations!O:O,Stations!$C:$C,"="&amp;$C83,Stations!$W:$W,"=No"),SUMIFS(Stations!O:O,Stations!$C:$C,"="&amp;$C83))</f>
        <v>23</v>
      </c>
      <c r="I83" s="63">
        <f>IF($N$1,SUMIFS(Stations!Q:Q,Stations!$C:$C,"="&amp;$C83,Stations!$W:$W,"=No"),SUMIFS(Stations!Q:Q,Stations!$C:$C,"="&amp;$C83))</f>
        <v>106</v>
      </c>
      <c r="J83" s="63">
        <f>IF($N$1,SUMIFS(Stations!S:S,Stations!$C:$C,"="&amp;$C83,Stations!$W:$W,"=No"),SUMIFS(Stations!S:S,Stations!$C:$C,"="&amp;$C83))</f>
        <v>34</v>
      </c>
      <c r="K83" s="64">
        <f>IF($N$1,SUMIFS(Stations!U:U,Stations!$C:$C,"="&amp;$C83,Stations!$W:$W,"=No"),SUMIFS(Stations!U:U,Stations!$C:$C,"="&amp;$C83))</f>
        <v>91</v>
      </c>
      <c r="L83" s="33"/>
      <c r="M83" s="33"/>
      <c r="N83" s="33"/>
      <c r="O83" s="33"/>
      <c r="P83" s="33"/>
      <c r="Q83" s="33"/>
      <c r="R83" s="33"/>
      <c r="S83" s="33"/>
      <c r="T83" s="33"/>
      <c r="U83" s="33"/>
      <c r="V83" s="33"/>
      <c r="W83" s="33"/>
    </row>
    <row r="84" spans="1:23">
      <c r="A84" s="35"/>
      <c r="B84" s="35"/>
      <c r="C84" s="67" t="s">
        <v>50</v>
      </c>
      <c r="D84" s="126" t="s">
        <v>1585</v>
      </c>
      <c r="E84" s="90"/>
      <c r="F84" s="63">
        <f>IF($N$1,SUMIFS(Stations!L:L,Stations!$C:$C,"="&amp;$C84,Stations!$W:$W,"=No"),SUMIFS(Stations!L:L,Stations!$C:$C,"="&amp;$C84))</f>
        <v>118</v>
      </c>
      <c r="G84" s="63">
        <f>IF($N$1,SUMIFS(Stations!M:M,Stations!$C:$C,"="&amp;$C84,Stations!$W:$W,"=No"),SUMIFS(Stations!M:M,Stations!$C:$C,"="&amp;$C84))</f>
        <v>18</v>
      </c>
      <c r="H84" s="63">
        <f>IF($N$1,SUMIFS(Stations!O:O,Stations!$C:$C,"="&amp;$C84,Stations!$W:$W,"=No"),SUMIFS(Stations!O:O,Stations!$C:$C,"="&amp;$C84))</f>
        <v>0</v>
      </c>
      <c r="I84" s="63">
        <f>IF($N$1,SUMIFS(Stations!Q:Q,Stations!$C:$C,"="&amp;$C84,Stations!$W:$W,"=No"),SUMIFS(Stations!Q:Q,Stations!$C:$C,"="&amp;$C84))</f>
        <v>18</v>
      </c>
      <c r="J84" s="63">
        <f>IF($N$1,SUMIFS(Stations!S:S,Stations!$C:$C,"="&amp;$C84,Stations!$W:$W,"=No"),SUMIFS(Stations!S:S,Stations!$C:$C,"="&amp;$C84))</f>
        <v>2</v>
      </c>
      <c r="K84" s="64">
        <f>IF($N$1,SUMIFS(Stations!U:U,Stations!$C:$C,"="&amp;$C84,Stations!$W:$W,"=No"),SUMIFS(Stations!U:U,Stations!$C:$C,"="&amp;$C84))</f>
        <v>1</v>
      </c>
      <c r="L84" s="33"/>
      <c r="M84" s="33"/>
      <c r="N84" s="33"/>
      <c r="O84" s="33"/>
      <c r="P84" s="33"/>
      <c r="Q84" s="33"/>
      <c r="R84" s="33"/>
      <c r="S84" s="33"/>
      <c r="T84" s="33"/>
      <c r="U84" s="33"/>
      <c r="V84" s="33"/>
      <c r="W84" s="33"/>
    </row>
    <row r="85" spans="1:23">
      <c r="A85" s="35"/>
      <c r="B85" s="35"/>
      <c r="C85" s="67" t="s">
        <v>51</v>
      </c>
      <c r="D85" s="126" t="s">
        <v>1586</v>
      </c>
      <c r="E85" s="90"/>
      <c r="F85" s="63">
        <f>IF($N$1,SUMIFS(Stations!L:L,Stations!$C:$C,"="&amp;$C85,Stations!$W:$W,"=No"),SUMIFS(Stations!L:L,Stations!$C:$C,"="&amp;$C85))</f>
        <v>1066</v>
      </c>
      <c r="G85" s="63">
        <f>IF($N$1,SUMIFS(Stations!M:M,Stations!$C:$C,"="&amp;$C85,Stations!$W:$W,"=No"),SUMIFS(Stations!M:M,Stations!$C:$C,"="&amp;$C85))</f>
        <v>37</v>
      </c>
      <c r="H85" s="63">
        <f>IF($N$1,SUMIFS(Stations!O:O,Stations!$C:$C,"="&amp;$C85,Stations!$W:$W,"=No"),SUMIFS(Stations!O:O,Stations!$C:$C,"="&amp;$C85))</f>
        <v>0</v>
      </c>
      <c r="I85" s="63">
        <f>IF($N$1,SUMIFS(Stations!Q:Q,Stations!$C:$C,"="&amp;$C85,Stations!$W:$W,"=No"),SUMIFS(Stations!Q:Q,Stations!$C:$C,"="&amp;$C85))</f>
        <v>37</v>
      </c>
      <c r="J85" s="63">
        <f>IF($N$1,SUMIFS(Stations!S:S,Stations!$C:$C,"="&amp;$C85,Stations!$W:$W,"=No"),SUMIFS(Stations!S:S,Stations!$C:$C,"="&amp;$C85))</f>
        <v>17</v>
      </c>
      <c r="K85" s="64">
        <f>IF($N$1,SUMIFS(Stations!U:U,Stations!$C:$C,"="&amp;$C85,Stations!$W:$W,"=No"),SUMIFS(Stations!U:U,Stations!$C:$C,"="&amp;$C85))</f>
        <v>18</v>
      </c>
      <c r="L85" s="33"/>
      <c r="M85" s="33"/>
      <c r="N85" s="33"/>
      <c r="O85" s="33"/>
      <c r="P85" s="33"/>
      <c r="Q85" s="33"/>
      <c r="R85" s="33"/>
      <c r="S85" s="33"/>
      <c r="T85" s="33"/>
      <c r="U85" s="33"/>
      <c r="V85" s="33"/>
      <c r="W85" s="33"/>
    </row>
    <row r="86" spans="1:23">
      <c r="A86" s="35"/>
      <c r="B86" s="35"/>
      <c r="C86" s="67" t="s">
        <v>52</v>
      </c>
      <c r="D86" s="126" t="s">
        <v>1587</v>
      </c>
      <c r="E86" s="90"/>
      <c r="F86" s="63">
        <f>IF($N$1,SUMIFS(Stations!L:L,Stations!$C:$C,"="&amp;$C86,Stations!$W:$W,"=No"),SUMIFS(Stations!L:L,Stations!$C:$C,"="&amp;$C86))</f>
        <v>1324</v>
      </c>
      <c r="G86" s="63">
        <f>IF($N$1,SUMIFS(Stations!M:M,Stations!$C:$C,"="&amp;$C86,Stations!$W:$W,"=No"),SUMIFS(Stations!M:M,Stations!$C:$C,"="&amp;$C86))</f>
        <v>112</v>
      </c>
      <c r="H86" s="63">
        <f>IF($N$1,SUMIFS(Stations!O:O,Stations!$C:$C,"="&amp;$C86,Stations!$W:$W,"=No"),SUMIFS(Stations!O:O,Stations!$C:$C,"="&amp;$C86))</f>
        <v>0</v>
      </c>
      <c r="I86" s="63">
        <f>IF($N$1,SUMIFS(Stations!Q:Q,Stations!$C:$C,"="&amp;$C86,Stations!$W:$W,"=No"),SUMIFS(Stations!Q:Q,Stations!$C:$C,"="&amp;$C86))</f>
        <v>112</v>
      </c>
      <c r="J86" s="63">
        <f>IF($N$1,SUMIFS(Stations!S:S,Stations!$C:$C,"="&amp;$C86,Stations!$W:$W,"=No"),SUMIFS(Stations!S:S,Stations!$C:$C,"="&amp;$C86))</f>
        <v>93</v>
      </c>
      <c r="K86" s="64">
        <f>IF($N$1,SUMIFS(Stations!U:U,Stations!$C:$C,"="&amp;$C86,Stations!$W:$W,"=No"),SUMIFS(Stations!U:U,Stations!$C:$C,"="&amp;$C86))</f>
        <v>36</v>
      </c>
      <c r="L86" s="33"/>
      <c r="M86" s="33"/>
      <c r="N86" s="33"/>
      <c r="O86" s="33"/>
      <c r="P86" s="33"/>
      <c r="Q86" s="33"/>
      <c r="R86" s="33"/>
      <c r="S86" s="33"/>
      <c r="T86" s="33"/>
      <c r="U86" s="33"/>
      <c r="V86" s="33"/>
      <c r="W86" s="33"/>
    </row>
    <row r="87" spans="1:23">
      <c r="A87" s="35"/>
      <c r="B87" s="35"/>
      <c r="C87" s="67" t="s">
        <v>54</v>
      </c>
      <c r="D87" s="126" t="s">
        <v>1588</v>
      </c>
      <c r="E87" s="90"/>
      <c r="F87" s="63">
        <f>IF($N$1,SUMIFS(Stations!L:L,Stations!$C:$C,"="&amp;$C87,Stations!$W:$W,"=No"),SUMIFS(Stations!L:L,Stations!$C:$C,"="&amp;$C87))</f>
        <v>643</v>
      </c>
      <c r="G87" s="63">
        <f>IF($N$1,SUMIFS(Stations!M:M,Stations!$C:$C,"="&amp;$C87,Stations!$W:$W,"=No"),SUMIFS(Stations!M:M,Stations!$C:$C,"="&amp;$C87))</f>
        <v>71</v>
      </c>
      <c r="H87" s="63">
        <f>IF($N$1,SUMIFS(Stations!O:O,Stations!$C:$C,"="&amp;$C87,Stations!$W:$W,"=No"),SUMIFS(Stations!O:O,Stations!$C:$C,"="&amp;$C87))</f>
        <v>0</v>
      </c>
      <c r="I87" s="63">
        <f>IF($N$1,SUMIFS(Stations!Q:Q,Stations!$C:$C,"="&amp;$C87,Stations!$W:$W,"=No"),SUMIFS(Stations!Q:Q,Stations!$C:$C,"="&amp;$C87))</f>
        <v>71</v>
      </c>
      <c r="J87" s="63">
        <f>IF($N$1,SUMIFS(Stations!S:S,Stations!$C:$C,"="&amp;$C87,Stations!$W:$W,"=No"),SUMIFS(Stations!S:S,Stations!$C:$C,"="&amp;$C87))</f>
        <v>19</v>
      </c>
      <c r="K87" s="64">
        <f>IF($N$1,SUMIFS(Stations!U:U,Stations!$C:$C,"="&amp;$C87,Stations!$W:$W,"=No"),SUMIFS(Stations!U:U,Stations!$C:$C,"="&amp;$C87))</f>
        <v>8</v>
      </c>
      <c r="L87" s="33"/>
      <c r="M87" s="33"/>
      <c r="N87" s="33"/>
      <c r="O87" s="33"/>
      <c r="P87" s="33"/>
      <c r="Q87" s="33"/>
      <c r="R87" s="33"/>
      <c r="S87" s="33"/>
      <c r="T87" s="33"/>
      <c r="U87" s="33"/>
      <c r="V87" s="33"/>
      <c r="W87" s="33"/>
    </row>
    <row r="88" spans="1:23">
      <c r="A88" s="35"/>
      <c r="B88" s="35"/>
      <c r="C88" s="67" t="s">
        <v>1589</v>
      </c>
      <c r="D88" s="126" t="s">
        <v>1590</v>
      </c>
      <c r="E88" s="90"/>
      <c r="F88" s="63">
        <f>IF($N$1,SUMIFS(Stations!L:L,Stations!$C:$C,"="&amp;$C88,Stations!$W:$W,"=No"),SUMIFS(Stations!L:L,Stations!$C:$C,"="&amp;$C88))</f>
        <v>0</v>
      </c>
      <c r="G88" s="63">
        <f>IF($N$1,SUMIFS(Stations!M:M,Stations!$C:$C,"="&amp;$C88,Stations!$W:$W,"=No"),SUMIFS(Stations!M:M,Stations!$C:$C,"="&amp;$C88))</f>
        <v>0</v>
      </c>
      <c r="H88" s="63">
        <f>IF($N$1,SUMIFS(Stations!O:O,Stations!$C:$C,"="&amp;$C88,Stations!$W:$W,"=No"),SUMIFS(Stations!O:O,Stations!$C:$C,"="&amp;$C88))</f>
        <v>0</v>
      </c>
      <c r="I88" s="63">
        <f>IF($N$1,SUMIFS(Stations!Q:Q,Stations!$C:$C,"="&amp;$C88,Stations!$W:$W,"=No"),SUMIFS(Stations!Q:Q,Stations!$C:$C,"="&amp;$C88))</f>
        <v>0</v>
      </c>
      <c r="J88" s="63">
        <f>IF($N$1,SUMIFS(Stations!S:S,Stations!$C:$C,"="&amp;$C88,Stations!$W:$W,"=No"),SUMIFS(Stations!S:S,Stations!$C:$C,"="&amp;$C88))</f>
        <v>0</v>
      </c>
      <c r="K88" s="64">
        <f>IF($N$1,SUMIFS(Stations!U:U,Stations!$C:$C,"="&amp;$C88,Stations!$W:$W,"=No"),SUMIFS(Stations!U:U,Stations!$C:$C,"="&amp;$C88))</f>
        <v>0</v>
      </c>
      <c r="L88" s="33"/>
      <c r="M88" s="33"/>
      <c r="N88" s="33"/>
      <c r="O88" s="33"/>
      <c r="P88" s="33"/>
      <c r="Q88" s="33"/>
      <c r="R88" s="33"/>
      <c r="S88" s="33"/>
      <c r="T88" s="33"/>
      <c r="U88" s="33"/>
      <c r="V88" s="33"/>
      <c r="W88" s="33"/>
    </row>
    <row r="89" spans="1:23">
      <c r="A89" s="35"/>
      <c r="B89" s="35"/>
      <c r="C89" s="67" t="s">
        <v>55</v>
      </c>
      <c r="D89" s="126" t="s">
        <v>1591</v>
      </c>
      <c r="E89" s="90"/>
      <c r="F89" s="63">
        <f>IF($N$1,SUMIFS(Stations!L:L,Stations!$C:$C,"="&amp;$C89,Stations!$W:$W,"=No"),SUMIFS(Stations!L:L,Stations!$C:$C,"="&amp;$C89))</f>
        <v>38</v>
      </c>
      <c r="G89" s="63">
        <f>IF($N$1,SUMIFS(Stations!M:M,Stations!$C:$C,"="&amp;$C89,Stations!$W:$W,"=No"),SUMIFS(Stations!M:M,Stations!$C:$C,"="&amp;$C89))</f>
        <v>10</v>
      </c>
      <c r="H89" s="63">
        <f>IF($N$1,SUMIFS(Stations!O:O,Stations!$C:$C,"="&amp;$C89,Stations!$W:$W,"=No"),SUMIFS(Stations!O:O,Stations!$C:$C,"="&amp;$C89))</f>
        <v>0</v>
      </c>
      <c r="I89" s="63">
        <f>IF($N$1,SUMIFS(Stations!Q:Q,Stations!$C:$C,"="&amp;$C89,Stations!$W:$W,"=No"),SUMIFS(Stations!Q:Q,Stations!$C:$C,"="&amp;$C89))</f>
        <v>10</v>
      </c>
      <c r="J89" s="63">
        <f>IF($N$1,SUMIFS(Stations!S:S,Stations!$C:$C,"="&amp;$C89,Stations!$W:$W,"=No"),SUMIFS(Stations!S:S,Stations!$C:$C,"="&amp;$C89))</f>
        <v>2</v>
      </c>
      <c r="K89" s="64">
        <f>IF($N$1,SUMIFS(Stations!U:U,Stations!$C:$C,"="&amp;$C89,Stations!$W:$W,"=No"),SUMIFS(Stations!U:U,Stations!$C:$C,"="&amp;$C89))</f>
        <v>0</v>
      </c>
      <c r="L89" s="33"/>
      <c r="M89" s="33"/>
      <c r="N89" s="33"/>
      <c r="O89" s="33"/>
      <c r="P89" s="33"/>
      <c r="Q89" s="33"/>
      <c r="R89" s="33"/>
      <c r="S89" s="33"/>
      <c r="T89" s="33"/>
      <c r="U89" s="33"/>
      <c r="V89" s="33"/>
      <c r="W89" s="33"/>
    </row>
    <row r="90" spans="1:23">
      <c r="A90" s="35"/>
      <c r="B90" s="35"/>
      <c r="C90" s="67" t="s">
        <v>56</v>
      </c>
      <c r="D90" s="126" t="s">
        <v>1592</v>
      </c>
      <c r="E90" s="90"/>
      <c r="F90" s="63">
        <f>IF($N$1,SUMIFS(Stations!L:L,Stations!$C:$C,"="&amp;$C90,Stations!$W:$W,"=No"),SUMIFS(Stations!L:L,Stations!$C:$C,"="&amp;$C90))</f>
        <v>76</v>
      </c>
      <c r="G90" s="63">
        <f>IF($N$1,SUMIFS(Stations!M:M,Stations!$C:$C,"="&amp;$C90,Stations!$W:$W,"=No"),SUMIFS(Stations!M:M,Stations!$C:$C,"="&amp;$C90))</f>
        <v>4</v>
      </c>
      <c r="H90" s="63">
        <f>IF($N$1,SUMIFS(Stations!O:O,Stations!$C:$C,"="&amp;$C90,Stations!$W:$W,"=No"),SUMIFS(Stations!O:O,Stations!$C:$C,"="&amp;$C90))</f>
        <v>0</v>
      </c>
      <c r="I90" s="63">
        <f>IF($N$1,SUMIFS(Stations!Q:Q,Stations!$C:$C,"="&amp;$C90,Stations!$W:$W,"=No"),SUMIFS(Stations!Q:Q,Stations!$C:$C,"="&amp;$C90))</f>
        <v>4</v>
      </c>
      <c r="J90" s="63">
        <f>IF($N$1,SUMIFS(Stations!S:S,Stations!$C:$C,"="&amp;$C90,Stations!$W:$W,"=No"),SUMIFS(Stations!S:S,Stations!$C:$C,"="&amp;$C90))</f>
        <v>1</v>
      </c>
      <c r="K90" s="64">
        <f>IF($N$1,SUMIFS(Stations!U:U,Stations!$C:$C,"="&amp;$C90,Stations!$W:$W,"=No"),SUMIFS(Stations!U:U,Stations!$C:$C,"="&amp;$C90))</f>
        <v>0</v>
      </c>
      <c r="L90" s="33"/>
      <c r="M90" s="33"/>
      <c r="N90" s="33"/>
      <c r="O90" s="33"/>
      <c r="P90" s="33"/>
      <c r="Q90" s="33"/>
      <c r="R90" s="33"/>
      <c r="S90" s="33"/>
      <c r="T90" s="33"/>
      <c r="U90" s="33"/>
      <c r="V90" s="33"/>
      <c r="W90" s="33"/>
    </row>
    <row r="91" spans="1:23">
      <c r="A91" s="35"/>
      <c r="B91" s="35"/>
      <c r="C91" s="67" t="s">
        <v>57</v>
      </c>
      <c r="D91" s="126" t="s">
        <v>1593</v>
      </c>
      <c r="E91" s="90"/>
      <c r="F91" s="63">
        <f>IF($N$1,SUMIFS(Stations!L:L,Stations!$C:$C,"="&amp;$C91,Stations!$W:$W,"=No"),SUMIFS(Stations!L:L,Stations!$C:$C,"="&amp;$C91))</f>
        <v>867</v>
      </c>
      <c r="G91" s="63">
        <f>IF($N$1,SUMIFS(Stations!M:M,Stations!$C:$C,"="&amp;$C91,Stations!$W:$W,"=No"),SUMIFS(Stations!M:M,Stations!$C:$C,"="&amp;$C91))</f>
        <v>46</v>
      </c>
      <c r="H91" s="63">
        <f>IF($N$1,SUMIFS(Stations!O:O,Stations!$C:$C,"="&amp;$C91,Stations!$W:$W,"=No"),SUMIFS(Stations!O:O,Stations!$C:$C,"="&amp;$C91))</f>
        <v>0</v>
      </c>
      <c r="I91" s="63">
        <f>IF($N$1,SUMIFS(Stations!Q:Q,Stations!$C:$C,"="&amp;$C91,Stations!$W:$W,"=No"),SUMIFS(Stations!Q:Q,Stations!$C:$C,"="&amp;$C91))</f>
        <v>46</v>
      </c>
      <c r="J91" s="63">
        <f>IF($N$1,SUMIFS(Stations!S:S,Stations!$C:$C,"="&amp;$C91,Stations!$W:$W,"=No"),SUMIFS(Stations!S:S,Stations!$C:$C,"="&amp;$C91))</f>
        <v>16</v>
      </c>
      <c r="K91" s="64">
        <f>IF($N$1,SUMIFS(Stations!U:U,Stations!$C:$C,"="&amp;$C91,Stations!$W:$W,"=No"),SUMIFS(Stations!U:U,Stations!$C:$C,"="&amp;$C91))</f>
        <v>1</v>
      </c>
      <c r="L91" s="33"/>
      <c r="M91" s="33"/>
      <c r="N91" s="33"/>
      <c r="O91" s="33"/>
      <c r="P91" s="33"/>
      <c r="Q91" s="33"/>
      <c r="R91" s="33"/>
      <c r="S91" s="33"/>
      <c r="T91" s="33"/>
      <c r="U91" s="33"/>
      <c r="V91" s="33"/>
      <c r="W91" s="33"/>
    </row>
    <row r="92" spans="1:23">
      <c r="A92" s="35"/>
      <c r="B92" s="35"/>
      <c r="C92" s="67" t="s">
        <v>58</v>
      </c>
      <c r="D92" s="126" t="s">
        <v>1594</v>
      </c>
      <c r="E92" s="90"/>
      <c r="F92" s="63">
        <f>IF($N$1,SUMIFS(Stations!L:L,Stations!$C:$C,"="&amp;$C92,Stations!$W:$W,"=No"),SUMIFS(Stations!L:L,Stations!$C:$C,"="&amp;$C92))</f>
        <v>42</v>
      </c>
      <c r="G92" s="63">
        <f>IF($N$1,SUMIFS(Stations!M:M,Stations!$C:$C,"="&amp;$C92,Stations!$W:$W,"=No"),SUMIFS(Stations!M:M,Stations!$C:$C,"="&amp;$C92))</f>
        <v>4</v>
      </c>
      <c r="H92" s="63">
        <f>IF($N$1,SUMIFS(Stations!O:O,Stations!$C:$C,"="&amp;$C92,Stations!$W:$W,"=No"),SUMIFS(Stations!O:O,Stations!$C:$C,"="&amp;$C92))</f>
        <v>0</v>
      </c>
      <c r="I92" s="63">
        <f>IF($N$1,SUMIFS(Stations!Q:Q,Stations!$C:$C,"="&amp;$C92,Stations!$W:$W,"=No"),SUMIFS(Stations!Q:Q,Stations!$C:$C,"="&amp;$C92))</f>
        <v>4</v>
      </c>
      <c r="J92" s="63">
        <f>IF($N$1,SUMIFS(Stations!S:S,Stations!$C:$C,"="&amp;$C92,Stations!$W:$W,"=No"),SUMIFS(Stations!S:S,Stations!$C:$C,"="&amp;$C92))</f>
        <v>1</v>
      </c>
      <c r="K92" s="64">
        <f>IF($N$1,SUMIFS(Stations!U:U,Stations!$C:$C,"="&amp;$C92,Stations!$W:$W,"=No"),SUMIFS(Stations!U:U,Stations!$C:$C,"="&amp;$C92))</f>
        <v>0</v>
      </c>
      <c r="L92" s="33"/>
      <c r="M92" s="33"/>
      <c r="N92" s="33"/>
      <c r="O92" s="33"/>
      <c r="P92" s="33"/>
      <c r="Q92" s="33"/>
      <c r="R92" s="33"/>
      <c r="S92" s="33"/>
      <c r="T92" s="33"/>
      <c r="U92" s="33"/>
      <c r="V92" s="33"/>
      <c r="W92" s="33"/>
    </row>
    <row r="93" spans="1:23">
      <c r="A93" s="35"/>
      <c r="B93" s="35"/>
      <c r="C93" s="67" t="s">
        <v>59</v>
      </c>
      <c r="D93" s="126" t="s">
        <v>1595</v>
      </c>
      <c r="E93" s="90"/>
      <c r="F93" s="63">
        <f>IF($N$1,SUMIFS(Stations!L:L,Stations!$C:$C,"="&amp;$C93,Stations!$W:$W,"=No"),SUMIFS(Stations!L:L,Stations!$C:$C,"="&amp;$C93))</f>
        <v>150</v>
      </c>
      <c r="G93" s="63">
        <f>IF($N$1,SUMIFS(Stations!M:M,Stations!$C:$C,"="&amp;$C93,Stations!$W:$W,"=No"),SUMIFS(Stations!M:M,Stations!$C:$C,"="&amp;$C93))</f>
        <v>2</v>
      </c>
      <c r="H93" s="63">
        <f>IF($N$1,SUMIFS(Stations!O:O,Stations!$C:$C,"="&amp;$C93,Stations!$W:$W,"=No"),SUMIFS(Stations!O:O,Stations!$C:$C,"="&amp;$C93))</f>
        <v>0</v>
      </c>
      <c r="I93" s="63">
        <f>IF($N$1,SUMIFS(Stations!Q:Q,Stations!$C:$C,"="&amp;$C93,Stations!$W:$W,"=No"),SUMIFS(Stations!Q:Q,Stations!$C:$C,"="&amp;$C93))</f>
        <v>2</v>
      </c>
      <c r="J93" s="63">
        <f>IF($N$1,SUMIFS(Stations!S:S,Stations!$C:$C,"="&amp;$C93,Stations!$W:$W,"=No"),SUMIFS(Stations!S:S,Stations!$C:$C,"="&amp;$C93))</f>
        <v>1</v>
      </c>
      <c r="K93" s="64">
        <f>IF($N$1,SUMIFS(Stations!U:U,Stations!$C:$C,"="&amp;$C93,Stations!$W:$W,"=No"),SUMIFS(Stations!U:U,Stations!$C:$C,"="&amp;$C93))</f>
        <v>0</v>
      </c>
      <c r="L93" s="33"/>
      <c r="M93" s="33"/>
      <c r="N93" s="33"/>
      <c r="O93" s="33"/>
      <c r="P93" s="33"/>
      <c r="Q93" s="33"/>
      <c r="R93" s="33"/>
      <c r="S93" s="33"/>
      <c r="T93" s="33"/>
      <c r="U93" s="33"/>
      <c r="V93" s="33"/>
      <c r="W93" s="33"/>
    </row>
    <row r="94" spans="1:23">
      <c r="A94" s="35"/>
      <c r="B94" s="35"/>
      <c r="C94" s="67" t="s">
        <v>61</v>
      </c>
      <c r="D94" s="126" t="s">
        <v>1596</v>
      </c>
      <c r="E94" s="90"/>
      <c r="F94" s="63">
        <f>IF($N$1,SUMIFS(Stations!L:L,Stations!$C:$C,"="&amp;$C94,Stations!$W:$W,"=No"),SUMIFS(Stations!L:L,Stations!$C:$C,"="&amp;$C94))</f>
        <v>117</v>
      </c>
      <c r="G94" s="63">
        <f>IF($N$1,SUMIFS(Stations!M:M,Stations!$C:$C,"="&amp;$C94,Stations!$W:$W,"=No"),SUMIFS(Stations!M:M,Stations!$C:$C,"="&amp;$C94))</f>
        <v>15</v>
      </c>
      <c r="H94" s="63">
        <f>IF($N$1,SUMIFS(Stations!O:O,Stations!$C:$C,"="&amp;$C94,Stations!$W:$W,"=No"),SUMIFS(Stations!O:O,Stations!$C:$C,"="&amp;$C94))</f>
        <v>0</v>
      </c>
      <c r="I94" s="63">
        <f>IF($N$1,SUMIFS(Stations!Q:Q,Stations!$C:$C,"="&amp;$C94,Stations!$W:$W,"=No"),SUMIFS(Stations!Q:Q,Stations!$C:$C,"="&amp;$C94))</f>
        <v>15</v>
      </c>
      <c r="J94" s="63">
        <f>IF($N$1,SUMIFS(Stations!S:S,Stations!$C:$C,"="&amp;$C94,Stations!$W:$W,"=No"),SUMIFS(Stations!S:S,Stations!$C:$C,"="&amp;$C94))</f>
        <v>0</v>
      </c>
      <c r="K94" s="64">
        <f>IF($N$1,SUMIFS(Stations!U:U,Stations!$C:$C,"="&amp;$C94,Stations!$W:$W,"=No"),SUMIFS(Stations!U:U,Stations!$C:$C,"="&amp;$C94))</f>
        <v>0</v>
      </c>
      <c r="L94" s="33"/>
      <c r="M94" s="33"/>
      <c r="N94" s="33"/>
      <c r="O94" s="33"/>
      <c r="P94" s="33"/>
      <c r="Q94" s="33"/>
      <c r="R94" s="33"/>
      <c r="S94" s="33"/>
      <c r="T94" s="33"/>
      <c r="U94" s="33"/>
      <c r="V94" s="33"/>
      <c r="W94" s="33"/>
    </row>
    <row r="95" spans="1:23">
      <c r="A95" s="35"/>
      <c r="B95" s="35"/>
      <c r="C95" s="67" t="s">
        <v>62</v>
      </c>
      <c r="D95" s="126" t="s">
        <v>1597</v>
      </c>
      <c r="E95" s="90"/>
      <c r="F95" s="63">
        <f>IF($N$1,SUMIFS(Stations!L:L,Stations!$C:$C,"="&amp;$C95,Stations!$W:$W,"=No"),SUMIFS(Stations!L:L,Stations!$C:$C,"="&amp;$C95))</f>
        <v>4693</v>
      </c>
      <c r="G95" s="63">
        <f>IF($N$1,SUMIFS(Stations!M:M,Stations!$C:$C,"="&amp;$C95,Stations!$W:$W,"=No"),SUMIFS(Stations!M:M,Stations!$C:$C,"="&amp;$C95))</f>
        <v>212</v>
      </c>
      <c r="H95" s="63">
        <f>IF($N$1,SUMIFS(Stations!O:O,Stations!$C:$C,"="&amp;$C95,Stations!$W:$W,"=No"),SUMIFS(Stations!O:O,Stations!$C:$C,"="&amp;$C95))</f>
        <v>106</v>
      </c>
      <c r="I95" s="63">
        <f>IF($N$1,SUMIFS(Stations!Q:Q,Stations!$C:$C,"="&amp;$C95,Stations!$W:$W,"=No"),SUMIFS(Stations!Q:Q,Stations!$C:$C,"="&amp;$C95))</f>
        <v>318</v>
      </c>
      <c r="J95" s="63">
        <f>IF($N$1,SUMIFS(Stations!S:S,Stations!$C:$C,"="&amp;$C95,Stations!$W:$W,"=No"),SUMIFS(Stations!S:S,Stations!$C:$C,"="&amp;$C95))</f>
        <v>185</v>
      </c>
      <c r="K95" s="64">
        <f>IF($N$1,SUMIFS(Stations!U:U,Stations!$C:$C,"="&amp;$C95,Stations!$W:$W,"=No"),SUMIFS(Stations!U:U,Stations!$C:$C,"="&amp;$C95))</f>
        <v>130</v>
      </c>
      <c r="L95" s="33"/>
      <c r="M95" s="33"/>
      <c r="N95" s="33"/>
      <c r="O95" s="33"/>
      <c r="P95" s="33"/>
      <c r="Q95" s="33"/>
      <c r="R95" s="33"/>
      <c r="S95" s="33"/>
      <c r="T95" s="33"/>
      <c r="U95" s="33"/>
      <c r="V95" s="33"/>
      <c r="W95" s="33"/>
    </row>
    <row r="96" spans="1:23">
      <c r="A96" s="35"/>
      <c r="B96" s="35"/>
      <c r="C96" s="67" t="s">
        <v>67</v>
      </c>
      <c r="D96" s="126" t="s">
        <v>1598</v>
      </c>
      <c r="E96" s="90"/>
      <c r="F96" s="63">
        <f>IF($N$1,SUMIFS(Stations!L:L,Stations!$C:$C,"="&amp;$C96,Stations!$W:$W,"=No"),SUMIFS(Stations!L:L,Stations!$C:$C,"="&amp;$C96))</f>
        <v>222</v>
      </c>
      <c r="G96" s="63">
        <f>IF($N$1,SUMIFS(Stations!M:M,Stations!$C:$C,"="&amp;$C96,Stations!$W:$W,"=No"),SUMIFS(Stations!M:M,Stations!$C:$C,"="&amp;$C96))</f>
        <v>20</v>
      </c>
      <c r="H96" s="63">
        <f>IF($N$1,SUMIFS(Stations!O:O,Stations!$C:$C,"="&amp;$C96,Stations!$W:$W,"=No"),SUMIFS(Stations!O:O,Stations!$C:$C,"="&amp;$C96))</f>
        <v>0</v>
      </c>
      <c r="I96" s="63">
        <f>IF($N$1,SUMIFS(Stations!Q:Q,Stations!$C:$C,"="&amp;$C96,Stations!$W:$W,"=No"),SUMIFS(Stations!Q:Q,Stations!$C:$C,"="&amp;$C96))</f>
        <v>20</v>
      </c>
      <c r="J96" s="63">
        <f>IF($N$1,SUMIFS(Stations!S:S,Stations!$C:$C,"="&amp;$C96,Stations!$W:$W,"=No"),SUMIFS(Stations!S:S,Stations!$C:$C,"="&amp;$C96))</f>
        <v>1</v>
      </c>
      <c r="K96" s="64">
        <f>IF($N$1,SUMIFS(Stations!U:U,Stations!$C:$C,"="&amp;$C96,Stations!$W:$W,"=No"),SUMIFS(Stations!U:U,Stations!$C:$C,"="&amp;$C96))</f>
        <v>0</v>
      </c>
      <c r="L96" s="33"/>
      <c r="M96" s="33"/>
      <c r="N96" s="33"/>
      <c r="O96" s="33"/>
      <c r="P96" s="33"/>
      <c r="Q96" s="33"/>
      <c r="R96" s="33"/>
      <c r="S96" s="33"/>
      <c r="T96" s="33"/>
      <c r="U96" s="33"/>
      <c r="V96" s="33"/>
      <c r="W96" s="33"/>
    </row>
    <row r="97" spans="1:23">
      <c r="A97" s="35"/>
      <c r="B97" s="35"/>
      <c r="C97" s="67" t="s">
        <v>68</v>
      </c>
      <c r="D97" s="126" t="s">
        <v>1599</v>
      </c>
      <c r="E97" s="90"/>
      <c r="F97" s="63">
        <f>IF($N$1,SUMIFS(Stations!L:L,Stations!$C:$C,"="&amp;$C97,Stations!$W:$W,"=No"),SUMIFS(Stations!L:L,Stations!$C:$C,"="&amp;$C97))</f>
        <v>397</v>
      </c>
      <c r="G97" s="63">
        <f>IF($N$1,SUMIFS(Stations!M:M,Stations!$C:$C,"="&amp;$C97,Stations!$W:$W,"=No"),SUMIFS(Stations!M:M,Stations!$C:$C,"="&amp;$C97))</f>
        <v>18</v>
      </c>
      <c r="H97" s="63">
        <f>IF($N$1,SUMIFS(Stations!O:O,Stations!$C:$C,"="&amp;$C97,Stations!$W:$W,"=No"),SUMIFS(Stations!O:O,Stations!$C:$C,"="&amp;$C97))</f>
        <v>3</v>
      </c>
      <c r="I97" s="63">
        <f>IF($N$1,SUMIFS(Stations!Q:Q,Stations!$C:$C,"="&amp;$C97,Stations!$W:$W,"=No"),SUMIFS(Stations!Q:Q,Stations!$C:$C,"="&amp;$C97))</f>
        <v>21</v>
      </c>
      <c r="J97" s="63">
        <f>IF($N$1,SUMIFS(Stations!S:S,Stations!$C:$C,"="&amp;$C97,Stations!$W:$W,"=No"),SUMIFS(Stations!S:S,Stations!$C:$C,"="&amp;$C97))</f>
        <v>15</v>
      </c>
      <c r="K97" s="64">
        <f>IF($N$1,SUMIFS(Stations!U:U,Stations!$C:$C,"="&amp;$C97,Stations!$W:$W,"=No"),SUMIFS(Stations!U:U,Stations!$C:$C,"="&amp;$C97))</f>
        <v>22</v>
      </c>
      <c r="L97" s="33"/>
      <c r="M97" s="33"/>
      <c r="N97" s="33"/>
      <c r="O97" s="33"/>
      <c r="P97" s="33"/>
      <c r="Q97" s="33"/>
      <c r="R97" s="33"/>
      <c r="S97" s="33"/>
      <c r="T97" s="33"/>
      <c r="U97" s="33"/>
      <c r="V97" s="33"/>
      <c r="W97" s="33"/>
    </row>
    <row r="98" spans="1:23">
      <c r="A98" s="35"/>
      <c r="B98" s="35"/>
      <c r="C98" s="67" t="s">
        <v>69</v>
      </c>
      <c r="D98" s="126" t="s">
        <v>351</v>
      </c>
      <c r="E98" s="90"/>
      <c r="F98" s="63">
        <f>IF($N$1,SUMIFS(Stations!L:L,Stations!$C:$C,"="&amp;$C98,Stations!$W:$W,"=No"),SUMIFS(Stations!L:L,Stations!$C:$C,"="&amp;$C98))</f>
        <v>14537</v>
      </c>
      <c r="G98" s="63">
        <f>IF($N$1,SUMIFS(Stations!M:M,Stations!$C:$C,"="&amp;$C98,Stations!$W:$W,"=No"),SUMIFS(Stations!M:M,Stations!$C:$C,"="&amp;$C98))</f>
        <v>348</v>
      </c>
      <c r="H98" s="63">
        <f>IF($N$1,SUMIFS(Stations!O:O,Stations!$C:$C,"="&amp;$C98,Stations!$W:$W,"=No"),SUMIFS(Stations!O:O,Stations!$C:$C,"="&amp;$C98))</f>
        <v>466</v>
      </c>
      <c r="I98" s="63">
        <f>IF($N$1,SUMIFS(Stations!Q:Q,Stations!$C:$C,"="&amp;$C98,Stations!$W:$W,"=No"),SUMIFS(Stations!Q:Q,Stations!$C:$C,"="&amp;$C98))</f>
        <v>814</v>
      </c>
      <c r="J98" s="63">
        <f>IF($N$1,SUMIFS(Stations!S:S,Stations!$C:$C,"="&amp;$C98,Stations!$W:$W,"=No"),SUMIFS(Stations!S:S,Stations!$C:$C,"="&amp;$C98))</f>
        <v>507</v>
      </c>
      <c r="K98" s="64">
        <f>IF($N$1,SUMIFS(Stations!U:U,Stations!$C:$C,"="&amp;$C98,Stations!$W:$W,"=No"),SUMIFS(Stations!U:U,Stations!$C:$C,"="&amp;$C98))</f>
        <v>347</v>
      </c>
      <c r="L98" s="33"/>
      <c r="M98" s="33"/>
      <c r="N98" s="33"/>
      <c r="O98" s="33"/>
      <c r="P98" s="33"/>
      <c r="Q98" s="33"/>
      <c r="R98" s="33"/>
      <c r="S98" s="33"/>
      <c r="T98" s="33"/>
      <c r="U98" s="33"/>
      <c r="V98" s="33"/>
      <c r="W98" s="33"/>
    </row>
    <row r="99" spans="1:23">
      <c r="A99" s="35"/>
      <c r="B99" s="35"/>
      <c r="C99" s="67" t="s">
        <v>71</v>
      </c>
      <c r="D99" s="126" t="s">
        <v>1600</v>
      </c>
      <c r="E99" s="90"/>
      <c r="F99" s="63">
        <f>IF($N$1,SUMIFS(Stations!L:L,Stations!$C:$C,"="&amp;$C99,Stations!$W:$W,"=No"),SUMIFS(Stations!L:L,Stations!$C:$C,"="&amp;$C99))</f>
        <v>1478</v>
      </c>
      <c r="G99" s="63">
        <f>IF($N$1,SUMIFS(Stations!M:M,Stations!$C:$C,"="&amp;$C99,Stations!$W:$W,"=No"),SUMIFS(Stations!M:M,Stations!$C:$C,"="&amp;$C99))</f>
        <v>99</v>
      </c>
      <c r="H99" s="63">
        <f>IF($N$1,SUMIFS(Stations!O:O,Stations!$C:$C,"="&amp;$C99,Stations!$W:$W,"=No"),SUMIFS(Stations!O:O,Stations!$C:$C,"="&amp;$C99))</f>
        <v>24</v>
      </c>
      <c r="I99" s="63">
        <f>IF($N$1,SUMIFS(Stations!Q:Q,Stations!$C:$C,"="&amp;$C99,Stations!$W:$W,"=No"),SUMIFS(Stations!Q:Q,Stations!$C:$C,"="&amp;$C99))</f>
        <v>123</v>
      </c>
      <c r="J99" s="63">
        <f>IF($N$1,SUMIFS(Stations!S:S,Stations!$C:$C,"="&amp;$C99,Stations!$W:$W,"=No"),SUMIFS(Stations!S:S,Stations!$C:$C,"="&amp;$C99))</f>
        <v>29</v>
      </c>
      <c r="K99" s="64">
        <f>IF($N$1,SUMIFS(Stations!U:U,Stations!$C:$C,"="&amp;$C99,Stations!$W:$W,"=No"),SUMIFS(Stations!U:U,Stations!$C:$C,"="&amp;$C99))</f>
        <v>14</v>
      </c>
      <c r="L99" s="33"/>
      <c r="M99" s="33"/>
      <c r="N99" s="33"/>
      <c r="O99" s="33"/>
      <c r="P99" s="33"/>
      <c r="Q99" s="33"/>
      <c r="R99" s="33"/>
      <c r="S99" s="33"/>
      <c r="T99" s="33"/>
      <c r="U99" s="33"/>
      <c r="V99" s="33"/>
      <c r="W99" s="33"/>
    </row>
    <row r="100" spans="1:23">
      <c r="A100" s="35"/>
      <c r="B100" s="35"/>
      <c r="C100" s="67" t="s">
        <v>73</v>
      </c>
      <c r="D100" s="126" t="s">
        <v>1601</v>
      </c>
      <c r="E100" s="90"/>
      <c r="F100" s="63">
        <f>IF($N$1,SUMIFS(Stations!L:L,Stations!$C:$C,"="&amp;$C100,Stations!$W:$W,"=No"),SUMIFS(Stations!L:L,Stations!$C:$C,"="&amp;$C100))</f>
        <v>159</v>
      </c>
      <c r="G100" s="63">
        <f>IF($N$1,SUMIFS(Stations!M:M,Stations!$C:$C,"="&amp;$C100,Stations!$W:$W,"=No"),SUMIFS(Stations!M:M,Stations!$C:$C,"="&amp;$C100))</f>
        <v>12</v>
      </c>
      <c r="H100" s="63">
        <f>IF($N$1,SUMIFS(Stations!O:O,Stations!$C:$C,"="&amp;$C100,Stations!$W:$W,"=No"),SUMIFS(Stations!O:O,Stations!$C:$C,"="&amp;$C100))</f>
        <v>0</v>
      </c>
      <c r="I100" s="63">
        <f>IF($N$1,SUMIFS(Stations!Q:Q,Stations!$C:$C,"="&amp;$C100,Stations!$W:$W,"=No"),SUMIFS(Stations!Q:Q,Stations!$C:$C,"="&amp;$C100))</f>
        <v>12</v>
      </c>
      <c r="J100" s="63">
        <f>IF($N$1,SUMIFS(Stations!S:S,Stations!$C:$C,"="&amp;$C100,Stations!$W:$W,"=No"),SUMIFS(Stations!S:S,Stations!$C:$C,"="&amp;$C100))</f>
        <v>0</v>
      </c>
      <c r="K100" s="64">
        <f>IF($N$1,SUMIFS(Stations!U:U,Stations!$C:$C,"="&amp;$C100,Stations!$W:$W,"=No"),SUMIFS(Stations!U:U,Stations!$C:$C,"="&amp;$C100))</f>
        <v>0</v>
      </c>
      <c r="L100" s="33"/>
      <c r="M100" s="33"/>
      <c r="N100" s="33"/>
      <c r="O100" s="33"/>
      <c r="P100" s="33"/>
      <c r="Q100" s="33"/>
      <c r="R100" s="33"/>
      <c r="S100" s="33"/>
      <c r="T100" s="33"/>
      <c r="U100" s="33"/>
      <c r="V100" s="33"/>
      <c r="W100" s="33"/>
    </row>
    <row r="101" spans="1:23">
      <c r="A101" s="35"/>
      <c r="B101" s="35"/>
      <c r="C101" s="67" t="s">
        <v>74</v>
      </c>
      <c r="D101" s="126" t="s">
        <v>1602</v>
      </c>
      <c r="E101" s="90"/>
      <c r="F101" s="63">
        <f>IF($N$1,SUMIFS(Stations!L:L,Stations!$C:$C,"="&amp;$C101,Stations!$W:$W,"=No"),SUMIFS(Stations!L:L,Stations!$C:$C,"="&amp;$C101))</f>
        <v>931</v>
      </c>
      <c r="G101" s="63">
        <f>IF($N$1,SUMIFS(Stations!M:M,Stations!$C:$C,"="&amp;$C101,Stations!$W:$W,"=No"),SUMIFS(Stations!M:M,Stations!$C:$C,"="&amp;$C101))</f>
        <v>83</v>
      </c>
      <c r="H101" s="63">
        <f>IF($N$1,SUMIFS(Stations!O:O,Stations!$C:$C,"="&amp;$C101,Stations!$W:$W,"=No"),SUMIFS(Stations!O:O,Stations!$C:$C,"="&amp;$C101))</f>
        <v>0</v>
      </c>
      <c r="I101" s="63">
        <f>IF($N$1,SUMIFS(Stations!Q:Q,Stations!$C:$C,"="&amp;$C101,Stations!$W:$W,"=No"),SUMIFS(Stations!Q:Q,Stations!$C:$C,"="&amp;$C101))</f>
        <v>83</v>
      </c>
      <c r="J101" s="63">
        <f>IF($N$1,SUMIFS(Stations!S:S,Stations!$C:$C,"="&amp;$C101,Stations!$W:$W,"=No"),SUMIFS(Stations!S:S,Stations!$C:$C,"="&amp;$C101))</f>
        <v>17</v>
      </c>
      <c r="K101" s="64">
        <f>IF($N$1,SUMIFS(Stations!U:U,Stations!$C:$C,"="&amp;$C101,Stations!$W:$W,"=No"),SUMIFS(Stations!U:U,Stations!$C:$C,"="&amp;$C101))</f>
        <v>0</v>
      </c>
      <c r="L101" s="33"/>
      <c r="M101" s="33"/>
      <c r="N101" s="33"/>
      <c r="O101" s="33"/>
      <c r="P101" s="33"/>
      <c r="Q101" s="33"/>
      <c r="R101" s="33"/>
      <c r="S101" s="33"/>
      <c r="T101" s="33"/>
      <c r="U101" s="33"/>
      <c r="V101" s="33"/>
      <c r="W101" s="33"/>
    </row>
    <row r="102" spans="1:23">
      <c r="A102" s="35"/>
      <c r="B102" s="35"/>
      <c r="C102" s="67" t="s">
        <v>75</v>
      </c>
      <c r="D102" s="126" t="s">
        <v>1603</v>
      </c>
      <c r="E102" s="90"/>
      <c r="F102" s="63">
        <f>IF($N$1,SUMIFS(Stations!L:L,Stations!$C:$C,"="&amp;$C102,Stations!$W:$W,"=No"),SUMIFS(Stations!L:L,Stations!$C:$C,"="&amp;$C102))</f>
        <v>3404</v>
      </c>
      <c r="G102" s="63">
        <f>IF($N$1,SUMIFS(Stations!M:M,Stations!$C:$C,"="&amp;$C102,Stations!$W:$W,"=No"),SUMIFS(Stations!M:M,Stations!$C:$C,"="&amp;$C102))</f>
        <v>204</v>
      </c>
      <c r="H102" s="63">
        <f>IF($N$1,SUMIFS(Stations!O:O,Stations!$C:$C,"="&amp;$C102,Stations!$W:$W,"=No"),SUMIFS(Stations!O:O,Stations!$C:$C,"="&amp;$C102))</f>
        <v>174</v>
      </c>
      <c r="I102" s="63">
        <f>IF($N$1,SUMIFS(Stations!Q:Q,Stations!$C:$C,"="&amp;$C102,Stations!$W:$W,"=No"),SUMIFS(Stations!Q:Q,Stations!$C:$C,"="&amp;$C102))</f>
        <v>378</v>
      </c>
      <c r="J102" s="63">
        <f>IF($N$1,SUMIFS(Stations!S:S,Stations!$C:$C,"="&amp;$C102,Stations!$W:$W,"=No"),SUMIFS(Stations!S:S,Stations!$C:$C,"="&amp;$C102))</f>
        <v>168</v>
      </c>
      <c r="K102" s="64">
        <f>IF($N$1,SUMIFS(Stations!U:U,Stations!$C:$C,"="&amp;$C102,Stations!$W:$W,"=No"),SUMIFS(Stations!U:U,Stations!$C:$C,"="&amp;$C102))</f>
        <v>85</v>
      </c>
      <c r="L102" s="33"/>
      <c r="M102" s="33"/>
      <c r="N102" s="33"/>
      <c r="O102" s="33"/>
      <c r="P102" s="33"/>
      <c r="Q102" s="33"/>
      <c r="R102" s="33"/>
      <c r="S102" s="33"/>
      <c r="T102" s="33"/>
      <c r="U102" s="33"/>
      <c r="V102" s="33"/>
      <c r="W102" s="33"/>
    </row>
    <row r="103" spans="1:23">
      <c r="A103" s="35"/>
      <c r="B103" s="35"/>
      <c r="C103" s="67" t="s">
        <v>77</v>
      </c>
      <c r="D103" s="126" t="s">
        <v>1604</v>
      </c>
      <c r="E103" s="90"/>
      <c r="F103" s="63">
        <f>IF($N$1,SUMIFS(Stations!L:L,Stations!$C:$C,"="&amp;$C103,Stations!$W:$W,"=No"),SUMIFS(Stations!L:L,Stations!$C:$C,"="&amp;$C103))</f>
        <v>336</v>
      </c>
      <c r="G103" s="63">
        <f>IF($N$1,SUMIFS(Stations!M:M,Stations!$C:$C,"="&amp;$C103,Stations!$W:$W,"=No"),SUMIFS(Stations!M:M,Stations!$C:$C,"="&amp;$C103))</f>
        <v>57</v>
      </c>
      <c r="H103" s="63">
        <f>IF($N$1,SUMIFS(Stations!O:O,Stations!$C:$C,"="&amp;$C103,Stations!$W:$W,"=No"),SUMIFS(Stations!O:O,Stations!$C:$C,"="&amp;$C103))</f>
        <v>0</v>
      </c>
      <c r="I103" s="63">
        <f>IF($N$1,SUMIFS(Stations!Q:Q,Stations!$C:$C,"="&amp;$C103,Stations!$W:$W,"=No"),SUMIFS(Stations!Q:Q,Stations!$C:$C,"="&amp;$C103))</f>
        <v>57</v>
      </c>
      <c r="J103" s="63">
        <f>IF($N$1,SUMIFS(Stations!S:S,Stations!$C:$C,"="&amp;$C103,Stations!$W:$W,"=No"),SUMIFS(Stations!S:S,Stations!$C:$C,"="&amp;$C103))</f>
        <v>40</v>
      </c>
      <c r="K103" s="64">
        <f>IF($N$1,SUMIFS(Stations!U:U,Stations!$C:$C,"="&amp;$C103,Stations!$W:$W,"=No"),SUMIFS(Stations!U:U,Stations!$C:$C,"="&amp;$C103))</f>
        <v>57</v>
      </c>
      <c r="L103" s="33"/>
      <c r="M103" s="33"/>
      <c r="N103" s="33"/>
      <c r="O103" s="33"/>
      <c r="P103" s="33"/>
      <c r="Q103" s="33"/>
      <c r="R103" s="33"/>
      <c r="S103" s="33"/>
      <c r="T103" s="33"/>
      <c r="U103" s="33"/>
      <c r="V103" s="33"/>
      <c r="W103" s="33"/>
    </row>
    <row r="104" spans="1:23">
      <c r="A104" s="35"/>
      <c r="B104" s="35"/>
      <c r="C104" s="67" t="s">
        <v>80</v>
      </c>
      <c r="D104" s="126" t="s">
        <v>1605</v>
      </c>
      <c r="E104" s="90"/>
      <c r="F104" s="63">
        <f>IF($N$1,SUMIFS(Stations!L:L,Stations!$C:$C,"="&amp;$C104,Stations!$W:$W,"=No"),SUMIFS(Stations!L:L,Stations!$C:$C,"="&amp;$C104))</f>
        <v>196</v>
      </c>
      <c r="G104" s="63">
        <f>IF($N$1,SUMIFS(Stations!M:M,Stations!$C:$C,"="&amp;$C104,Stations!$W:$W,"=No"),SUMIFS(Stations!M:M,Stations!$C:$C,"="&amp;$C104))</f>
        <v>3</v>
      </c>
      <c r="H104" s="63">
        <f>IF($N$1,SUMIFS(Stations!O:O,Stations!$C:$C,"="&amp;$C104,Stations!$W:$W,"=No"),SUMIFS(Stations!O:O,Stations!$C:$C,"="&amp;$C104))</f>
        <v>0</v>
      </c>
      <c r="I104" s="63">
        <f>IF($N$1,SUMIFS(Stations!Q:Q,Stations!$C:$C,"="&amp;$C104,Stations!$W:$W,"=No"),SUMIFS(Stations!Q:Q,Stations!$C:$C,"="&amp;$C104))</f>
        <v>3</v>
      </c>
      <c r="J104" s="63">
        <f>IF($N$1,SUMIFS(Stations!S:S,Stations!$C:$C,"="&amp;$C104,Stations!$W:$W,"=No"),SUMIFS(Stations!S:S,Stations!$C:$C,"="&amp;$C104))</f>
        <v>0</v>
      </c>
      <c r="K104" s="64">
        <f>IF($N$1,SUMIFS(Stations!U:U,Stations!$C:$C,"="&amp;$C104,Stations!$W:$W,"=No"),SUMIFS(Stations!U:U,Stations!$C:$C,"="&amp;$C104))</f>
        <v>0</v>
      </c>
      <c r="L104" s="33"/>
      <c r="M104" s="33"/>
      <c r="N104" s="33"/>
      <c r="O104" s="33"/>
      <c r="P104" s="33"/>
      <c r="Q104" s="33"/>
      <c r="R104" s="33"/>
      <c r="S104" s="33"/>
      <c r="T104" s="33"/>
      <c r="U104" s="33"/>
      <c r="V104" s="33"/>
      <c r="W104" s="33"/>
    </row>
    <row r="105" spans="1:23">
      <c r="A105" s="35"/>
      <c r="B105" s="35"/>
      <c r="C105" s="67" t="s">
        <v>81</v>
      </c>
      <c r="D105" s="126" t="s">
        <v>1606</v>
      </c>
      <c r="E105" s="90"/>
      <c r="F105" s="63">
        <f>IF($N$1,SUMIFS(Stations!L:L,Stations!$C:$C,"="&amp;$C105,Stations!$W:$W,"=No"),SUMIFS(Stations!L:L,Stations!$C:$C,"="&amp;$C105))</f>
        <v>224</v>
      </c>
      <c r="G105" s="63">
        <f>IF($N$1,SUMIFS(Stations!M:M,Stations!$C:$C,"="&amp;$C105,Stations!$W:$W,"=No"),SUMIFS(Stations!M:M,Stations!$C:$C,"="&amp;$C105))</f>
        <v>12</v>
      </c>
      <c r="H105" s="63">
        <f>IF($N$1,SUMIFS(Stations!O:O,Stations!$C:$C,"="&amp;$C105,Stations!$W:$W,"=No"),SUMIFS(Stations!O:O,Stations!$C:$C,"="&amp;$C105))</f>
        <v>0</v>
      </c>
      <c r="I105" s="63">
        <f>IF($N$1,SUMIFS(Stations!Q:Q,Stations!$C:$C,"="&amp;$C105,Stations!$W:$W,"=No"),SUMIFS(Stations!Q:Q,Stations!$C:$C,"="&amp;$C105))</f>
        <v>12</v>
      </c>
      <c r="J105" s="63">
        <f>IF($N$1,SUMIFS(Stations!S:S,Stations!$C:$C,"="&amp;$C105,Stations!$W:$W,"=No"),SUMIFS(Stations!S:S,Stations!$C:$C,"="&amp;$C105))</f>
        <v>1</v>
      </c>
      <c r="K105" s="64">
        <f>IF($N$1,SUMIFS(Stations!U:U,Stations!$C:$C,"="&amp;$C105,Stations!$W:$W,"=No"),SUMIFS(Stations!U:U,Stations!$C:$C,"="&amp;$C105))</f>
        <v>0</v>
      </c>
      <c r="L105" s="33"/>
      <c r="M105" s="33"/>
      <c r="N105" s="33"/>
      <c r="O105" s="33"/>
      <c r="P105" s="33"/>
      <c r="Q105" s="33"/>
      <c r="R105" s="33"/>
      <c r="S105" s="33"/>
      <c r="T105" s="33"/>
      <c r="U105" s="33"/>
      <c r="V105" s="33"/>
      <c r="W105" s="33"/>
    </row>
    <row r="106" spans="1:23">
      <c r="A106" s="35"/>
      <c r="B106" s="35"/>
      <c r="C106" s="67" t="s">
        <v>82</v>
      </c>
      <c r="D106" s="126" t="s">
        <v>1607</v>
      </c>
      <c r="E106" s="90"/>
      <c r="F106" s="63">
        <f>IF($N$1,SUMIFS(Stations!L:L,Stations!$C:$C,"="&amp;$C106,Stations!$W:$W,"=No"),SUMIFS(Stations!L:L,Stations!$C:$C,"="&amp;$C106))</f>
        <v>44</v>
      </c>
      <c r="G106" s="63">
        <f>IF($N$1,SUMIFS(Stations!M:M,Stations!$C:$C,"="&amp;$C106,Stations!$W:$W,"=No"),SUMIFS(Stations!M:M,Stations!$C:$C,"="&amp;$C106))</f>
        <v>3</v>
      </c>
      <c r="H106" s="63">
        <f>IF($N$1,SUMIFS(Stations!O:O,Stations!$C:$C,"="&amp;$C106,Stations!$W:$W,"=No"),SUMIFS(Stations!O:O,Stations!$C:$C,"="&amp;$C106))</f>
        <v>0</v>
      </c>
      <c r="I106" s="63">
        <f>IF($N$1,SUMIFS(Stations!Q:Q,Stations!$C:$C,"="&amp;$C106,Stations!$W:$W,"=No"),SUMIFS(Stations!Q:Q,Stations!$C:$C,"="&amp;$C106))</f>
        <v>3</v>
      </c>
      <c r="J106" s="63">
        <f>IF($N$1,SUMIFS(Stations!S:S,Stations!$C:$C,"="&amp;$C106,Stations!$W:$W,"=No"),SUMIFS(Stations!S:S,Stations!$C:$C,"="&amp;$C106))</f>
        <v>0</v>
      </c>
      <c r="K106" s="64">
        <f>IF($N$1,SUMIFS(Stations!U:U,Stations!$C:$C,"="&amp;$C106,Stations!$W:$W,"=No"),SUMIFS(Stations!U:U,Stations!$C:$C,"="&amp;$C106))</f>
        <v>0</v>
      </c>
      <c r="L106" s="33"/>
      <c r="M106" s="33"/>
      <c r="N106" s="33"/>
      <c r="O106" s="33"/>
      <c r="P106" s="33"/>
      <c r="Q106" s="33"/>
      <c r="R106" s="33"/>
      <c r="S106" s="33"/>
      <c r="T106" s="33"/>
      <c r="U106" s="33"/>
      <c r="V106" s="33"/>
      <c r="W106" s="33"/>
    </row>
    <row r="107" spans="1:23">
      <c r="A107" s="35"/>
      <c r="B107" s="35"/>
      <c r="C107" s="67" t="s">
        <v>83</v>
      </c>
      <c r="D107" s="126" t="s">
        <v>1608</v>
      </c>
      <c r="E107" s="90"/>
      <c r="F107" s="63">
        <f>IF($N$1,SUMIFS(Stations!L:L,Stations!$C:$C,"="&amp;$C107,Stations!$W:$W,"=No"),SUMIFS(Stations!L:L,Stations!$C:$C,"="&amp;$C107))</f>
        <v>458</v>
      </c>
      <c r="G107" s="63">
        <f>IF($N$1,SUMIFS(Stations!M:M,Stations!$C:$C,"="&amp;$C107,Stations!$W:$W,"=No"),SUMIFS(Stations!M:M,Stations!$C:$C,"="&amp;$C107))</f>
        <v>30</v>
      </c>
      <c r="H107" s="63">
        <f>IF($N$1,SUMIFS(Stations!O:O,Stations!$C:$C,"="&amp;$C107,Stations!$W:$W,"=No"),SUMIFS(Stations!O:O,Stations!$C:$C,"="&amp;$C107))</f>
        <v>0</v>
      </c>
      <c r="I107" s="63">
        <f>IF($N$1,SUMIFS(Stations!Q:Q,Stations!$C:$C,"="&amp;$C107,Stations!$W:$W,"=No"),SUMIFS(Stations!Q:Q,Stations!$C:$C,"="&amp;$C107))</f>
        <v>30</v>
      </c>
      <c r="J107" s="63">
        <f>IF($N$1,SUMIFS(Stations!S:S,Stations!$C:$C,"="&amp;$C107,Stations!$W:$W,"=No"),SUMIFS(Stations!S:S,Stations!$C:$C,"="&amp;$C107))</f>
        <v>9</v>
      </c>
      <c r="K107" s="64">
        <f>IF($N$1,SUMIFS(Stations!U:U,Stations!$C:$C,"="&amp;$C107,Stations!$W:$W,"=No"),SUMIFS(Stations!U:U,Stations!$C:$C,"="&amp;$C107))</f>
        <v>5</v>
      </c>
      <c r="L107" s="33"/>
      <c r="M107" s="33"/>
      <c r="N107" s="33"/>
      <c r="O107" s="33"/>
      <c r="P107" s="33"/>
      <c r="Q107" s="33"/>
      <c r="R107" s="33"/>
      <c r="S107" s="33"/>
      <c r="T107" s="33"/>
      <c r="U107" s="33"/>
      <c r="V107" s="33"/>
      <c r="W107" s="33"/>
    </row>
    <row r="108" spans="1:23">
      <c r="A108" s="35"/>
      <c r="B108" s="35"/>
      <c r="C108" s="67" t="s">
        <v>84</v>
      </c>
      <c r="D108" s="126" t="s">
        <v>1609</v>
      </c>
      <c r="E108" s="90"/>
      <c r="F108" s="63">
        <f>IF($N$1,SUMIFS(Stations!L:L,Stations!$C:$C,"="&amp;$C108,Stations!$W:$W,"=No"),SUMIFS(Stations!L:L,Stations!$C:$C,"="&amp;$C108))</f>
        <v>3379</v>
      </c>
      <c r="G108" s="63">
        <f>IF($N$1,SUMIFS(Stations!M:M,Stations!$C:$C,"="&amp;$C108,Stations!$W:$W,"=No"),SUMIFS(Stations!M:M,Stations!$C:$C,"="&amp;$C108))</f>
        <v>340</v>
      </c>
      <c r="H108" s="63">
        <f>IF($N$1,SUMIFS(Stations!O:O,Stations!$C:$C,"="&amp;$C108,Stations!$W:$W,"=No"),SUMIFS(Stations!O:O,Stations!$C:$C,"="&amp;$C108))</f>
        <v>2</v>
      </c>
      <c r="I108" s="63">
        <f>IF($N$1,SUMIFS(Stations!Q:Q,Stations!$C:$C,"="&amp;$C108,Stations!$W:$W,"=No"),SUMIFS(Stations!Q:Q,Stations!$C:$C,"="&amp;$C108))</f>
        <v>342</v>
      </c>
      <c r="J108" s="63">
        <f>IF($N$1,SUMIFS(Stations!S:S,Stations!$C:$C,"="&amp;$C108,Stations!$W:$W,"=No"),SUMIFS(Stations!S:S,Stations!$C:$C,"="&amp;$C108))</f>
        <v>60</v>
      </c>
      <c r="K108" s="64">
        <f>IF($N$1,SUMIFS(Stations!U:U,Stations!$C:$C,"="&amp;$C108,Stations!$W:$W,"=No"),SUMIFS(Stations!U:U,Stations!$C:$C,"="&amp;$C108))</f>
        <v>16</v>
      </c>
      <c r="L108" s="33"/>
      <c r="M108" s="33"/>
      <c r="N108" s="33"/>
      <c r="O108" s="33"/>
      <c r="P108" s="33"/>
      <c r="Q108" s="33"/>
      <c r="R108" s="33"/>
      <c r="S108" s="33"/>
      <c r="T108" s="33"/>
      <c r="U108" s="33"/>
      <c r="V108" s="33"/>
      <c r="W108" s="33"/>
    </row>
    <row r="109" spans="1:23">
      <c r="A109" s="35"/>
      <c r="B109" s="35"/>
      <c r="C109" s="67" t="s">
        <v>85</v>
      </c>
      <c r="D109" s="126" t="s">
        <v>1610</v>
      </c>
      <c r="E109" s="90"/>
      <c r="F109" s="63">
        <f>IF($N$1,SUMIFS(Stations!L:L,Stations!$C:$C,"="&amp;$C109,Stations!$W:$W,"=No"),SUMIFS(Stations!L:L,Stations!$C:$C,"="&amp;$C109))</f>
        <v>599</v>
      </c>
      <c r="G109" s="63">
        <f>IF($N$1,SUMIFS(Stations!M:M,Stations!$C:$C,"="&amp;$C109,Stations!$W:$W,"=No"),SUMIFS(Stations!M:M,Stations!$C:$C,"="&amp;$C109))</f>
        <v>103</v>
      </c>
      <c r="H109" s="63">
        <f>IF($N$1,SUMIFS(Stations!O:O,Stations!$C:$C,"="&amp;$C109,Stations!$W:$W,"=No"),SUMIFS(Stations!O:O,Stations!$C:$C,"="&amp;$C109))</f>
        <v>0</v>
      </c>
      <c r="I109" s="63">
        <f>IF($N$1,SUMIFS(Stations!Q:Q,Stations!$C:$C,"="&amp;$C109,Stations!$W:$W,"=No"),SUMIFS(Stations!Q:Q,Stations!$C:$C,"="&amp;$C109))</f>
        <v>103</v>
      </c>
      <c r="J109" s="63">
        <f>IF($N$1,SUMIFS(Stations!S:S,Stations!$C:$C,"="&amp;$C109,Stations!$W:$W,"=No"),SUMIFS(Stations!S:S,Stations!$C:$C,"="&amp;$C109))</f>
        <v>12</v>
      </c>
      <c r="K109" s="64">
        <f>IF($N$1,SUMIFS(Stations!U:U,Stations!$C:$C,"="&amp;$C109,Stations!$W:$W,"=No"),SUMIFS(Stations!U:U,Stations!$C:$C,"="&amp;$C109))</f>
        <v>2</v>
      </c>
      <c r="L109" s="33"/>
      <c r="M109" s="33"/>
      <c r="N109" s="33"/>
      <c r="O109" s="33"/>
      <c r="P109" s="33"/>
      <c r="Q109" s="33"/>
      <c r="R109" s="33"/>
      <c r="S109" s="33"/>
      <c r="T109" s="33"/>
      <c r="U109" s="33"/>
      <c r="V109" s="33"/>
      <c r="W109" s="33"/>
    </row>
    <row r="110" spans="1:23">
      <c r="A110" s="35"/>
      <c r="B110" s="35"/>
      <c r="C110" s="67" t="s">
        <v>86</v>
      </c>
      <c r="D110" s="126" t="s">
        <v>1611</v>
      </c>
      <c r="E110" s="90"/>
      <c r="F110" s="63">
        <f>IF($N$1,SUMIFS(Stations!L:L,Stations!$C:$C,"="&amp;$C110,Stations!$W:$W,"=No"),SUMIFS(Stations!L:L,Stations!$C:$C,"="&amp;$C110))</f>
        <v>1299</v>
      </c>
      <c r="G110" s="63">
        <f>IF($N$1,SUMIFS(Stations!M:M,Stations!$C:$C,"="&amp;$C110,Stations!$W:$W,"=No"),SUMIFS(Stations!M:M,Stations!$C:$C,"="&amp;$C110))</f>
        <v>85</v>
      </c>
      <c r="H110" s="63">
        <f>IF($N$1,SUMIFS(Stations!O:O,Stations!$C:$C,"="&amp;$C110,Stations!$W:$W,"=No"),SUMIFS(Stations!O:O,Stations!$C:$C,"="&amp;$C110))</f>
        <v>0</v>
      </c>
      <c r="I110" s="63">
        <f>IF($N$1,SUMIFS(Stations!Q:Q,Stations!$C:$C,"="&amp;$C110,Stations!$W:$W,"=No"),SUMIFS(Stations!Q:Q,Stations!$C:$C,"="&amp;$C110))</f>
        <v>85</v>
      </c>
      <c r="J110" s="63">
        <f>IF($N$1,SUMIFS(Stations!S:S,Stations!$C:$C,"="&amp;$C110,Stations!$W:$W,"=No"),SUMIFS(Stations!S:S,Stations!$C:$C,"="&amp;$C110))</f>
        <v>17</v>
      </c>
      <c r="K110" s="64">
        <f>IF($N$1,SUMIFS(Stations!U:U,Stations!$C:$C,"="&amp;$C110,Stations!$W:$W,"=No"),SUMIFS(Stations!U:U,Stations!$C:$C,"="&amp;$C110))</f>
        <v>2</v>
      </c>
      <c r="L110" s="33"/>
      <c r="M110" s="33"/>
      <c r="N110" s="33"/>
      <c r="O110" s="33"/>
      <c r="P110" s="33"/>
      <c r="Q110" s="33"/>
      <c r="R110" s="33"/>
      <c r="S110" s="33"/>
      <c r="T110" s="33"/>
      <c r="U110" s="33"/>
      <c r="V110" s="33"/>
      <c r="W110" s="33"/>
    </row>
    <row r="111" spans="1:23">
      <c r="A111" s="35"/>
      <c r="B111" s="35"/>
      <c r="C111" s="67" t="s">
        <v>529</v>
      </c>
      <c r="D111" s="126" t="s">
        <v>1612</v>
      </c>
      <c r="E111" s="90"/>
      <c r="F111" s="63">
        <f>IF($N$1,SUMIFS(Stations!L:L,Stations!$C:$C,"="&amp;$C111,Stations!$W:$W,"=No"),SUMIFS(Stations!L:L,Stations!$C:$C,"="&amp;$C111))</f>
        <v>16</v>
      </c>
      <c r="G111" s="63">
        <f>IF($N$1,SUMIFS(Stations!M:M,Stations!$C:$C,"="&amp;$C111,Stations!$W:$W,"=No"),SUMIFS(Stations!M:M,Stations!$C:$C,"="&amp;$C111))</f>
        <v>0</v>
      </c>
      <c r="H111" s="63">
        <f>IF($N$1,SUMIFS(Stations!O:O,Stations!$C:$C,"="&amp;$C111,Stations!$W:$W,"=No"),SUMIFS(Stations!O:O,Stations!$C:$C,"="&amp;$C111))</f>
        <v>0</v>
      </c>
      <c r="I111" s="63">
        <f>IF($N$1,SUMIFS(Stations!Q:Q,Stations!$C:$C,"="&amp;$C111,Stations!$W:$W,"=No"),SUMIFS(Stations!Q:Q,Stations!$C:$C,"="&amp;$C111))</f>
        <v>0</v>
      </c>
      <c r="J111" s="63">
        <f>IF($N$1,SUMIFS(Stations!S:S,Stations!$C:$C,"="&amp;$C111,Stations!$W:$W,"=No"),SUMIFS(Stations!S:S,Stations!$C:$C,"="&amp;$C111))</f>
        <v>1</v>
      </c>
      <c r="K111" s="64">
        <f>IF($N$1,SUMIFS(Stations!U:U,Stations!$C:$C,"="&amp;$C111,Stations!$W:$W,"=No"),SUMIFS(Stations!U:U,Stations!$C:$C,"="&amp;$C111))</f>
        <v>0</v>
      </c>
      <c r="L111" s="33"/>
      <c r="M111" s="33"/>
      <c r="N111" s="33"/>
      <c r="O111" s="33"/>
      <c r="P111" s="33"/>
      <c r="Q111" s="33"/>
      <c r="R111" s="33"/>
      <c r="S111" s="33"/>
      <c r="T111" s="33"/>
      <c r="U111" s="33"/>
      <c r="V111" s="33"/>
      <c r="W111" s="33"/>
    </row>
    <row r="112" spans="1:23">
      <c r="A112" s="35"/>
      <c r="B112" s="35"/>
      <c r="C112" s="67" t="s">
        <v>87</v>
      </c>
      <c r="D112" s="126" t="s">
        <v>1613</v>
      </c>
      <c r="E112" s="90"/>
      <c r="F112" s="63">
        <f>IF($N$1,SUMIFS(Stations!L:L,Stations!$C:$C,"="&amp;$C112,Stations!$W:$W,"=No"),SUMIFS(Stations!L:L,Stations!$C:$C,"="&amp;$C112))</f>
        <v>54</v>
      </c>
      <c r="G112" s="63">
        <f>IF($N$1,SUMIFS(Stations!M:M,Stations!$C:$C,"="&amp;$C112,Stations!$W:$W,"=No"),SUMIFS(Stations!M:M,Stations!$C:$C,"="&amp;$C112))</f>
        <v>2</v>
      </c>
      <c r="H112" s="63">
        <f>IF($N$1,SUMIFS(Stations!O:O,Stations!$C:$C,"="&amp;$C112,Stations!$W:$W,"=No"),SUMIFS(Stations!O:O,Stations!$C:$C,"="&amp;$C112))</f>
        <v>0</v>
      </c>
      <c r="I112" s="63">
        <f>IF($N$1,SUMIFS(Stations!Q:Q,Stations!$C:$C,"="&amp;$C112,Stations!$W:$W,"=No"),SUMIFS(Stations!Q:Q,Stations!$C:$C,"="&amp;$C112))</f>
        <v>2</v>
      </c>
      <c r="J112" s="63">
        <f>IF($N$1,SUMIFS(Stations!S:S,Stations!$C:$C,"="&amp;$C112,Stations!$W:$W,"=No"),SUMIFS(Stations!S:S,Stations!$C:$C,"="&amp;$C112))</f>
        <v>0</v>
      </c>
      <c r="K112" s="64">
        <f>IF($N$1,SUMIFS(Stations!U:U,Stations!$C:$C,"="&amp;$C112,Stations!$W:$W,"=No"),SUMIFS(Stations!U:U,Stations!$C:$C,"="&amp;$C112))</f>
        <v>0</v>
      </c>
      <c r="L112" s="33"/>
      <c r="M112" s="33"/>
      <c r="N112" s="33"/>
      <c r="O112" s="33"/>
      <c r="P112" s="33"/>
      <c r="Q112" s="33"/>
      <c r="R112" s="33"/>
      <c r="S112" s="33"/>
      <c r="T112" s="33"/>
      <c r="U112" s="33"/>
      <c r="V112" s="33"/>
      <c r="W112" s="33"/>
    </row>
    <row r="113" spans="1:23">
      <c r="A113" s="35"/>
      <c r="B113" s="35"/>
      <c r="C113" s="67" t="s">
        <v>88</v>
      </c>
      <c r="D113" s="126" t="s">
        <v>229</v>
      </c>
      <c r="E113" s="90"/>
      <c r="F113" s="63">
        <f>IF($N$1,SUMIFS(Stations!L:L,Stations!$C:$C,"="&amp;$C113,Stations!$W:$W,"=No"),SUMIFS(Stations!L:L,Stations!$C:$C,"="&amp;$C113))</f>
        <v>2511</v>
      </c>
      <c r="G113" s="63">
        <f>IF($N$1,SUMIFS(Stations!M:M,Stations!$C:$C,"="&amp;$C113,Stations!$W:$W,"=No"),SUMIFS(Stations!M:M,Stations!$C:$C,"="&amp;$C113))</f>
        <v>194</v>
      </c>
      <c r="H113" s="63">
        <f>IF($N$1,SUMIFS(Stations!O:O,Stations!$C:$C,"="&amp;$C113,Stations!$W:$W,"=No"),SUMIFS(Stations!O:O,Stations!$C:$C,"="&amp;$C113))</f>
        <v>6</v>
      </c>
      <c r="I113" s="63">
        <f>IF($N$1,SUMIFS(Stations!Q:Q,Stations!$C:$C,"="&amp;$C113,Stations!$W:$W,"=No"),SUMIFS(Stations!Q:Q,Stations!$C:$C,"="&amp;$C113))</f>
        <v>200</v>
      </c>
      <c r="J113" s="63">
        <f>IF($N$1,SUMIFS(Stations!S:S,Stations!$C:$C,"="&amp;$C113,Stations!$W:$W,"=No"),SUMIFS(Stations!S:S,Stations!$C:$C,"="&amp;$C113))</f>
        <v>128</v>
      </c>
      <c r="K113" s="64">
        <f>IF($N$1,SUMIFS(Stations!U:U,Stations!$C:$C,"="&amp;$C113,Stations!$W:$W,"=No"),SUMIFS(Stations!U:U,Stations!$C:$C,"="&amp;$C113))</f>
        <v>115</v>
      </c>
      <c r="L113" s="33"/>
      <c r="M113" s="33"/>
      <c r="N113" s="33"/>
      <c r="O113" s="33"/>
      <c r="P113" s="33"/>
      <c r="Q113" s="33"/>
      <c r="R113" s="33"/>
      <c r="S113" s="33"/>
      <c r="T113" s="33"/>
      <c r="U113" s="33"/>
      <c r="V113" s="33"/>
      <c r="W113" s="33"/>
    </row>
    <row r="114" spans="1:23">
      <c r="A114" s="35"/>
      <c r="B114" s="35"/>
      <c r="C114" s="67" t="s">
        <v>92</v>
      </c>
      <c r="D114" s="126" t="s">
        <v>1614</v>
      </c>
      <c r="E114" s="90"/>
      <c r="F114" s="63">
        <f>IF($N$1,SUMIFS(Stations!L:L,Stations!$C:$C,"="&amp;$C114,Stations!$W:$W,"=No"),SUMIFS(Stations!L:L,Stations!$C:$C,"="&amp;$C114))</f>
        <v>821</v>
      </c>
      <c r="G114" s="63">
        <f>IF($N$1,SUMIFS(Stations!M:M,Stations!$C:$C,"="&amp;$C114,Stations!$W:$W,"=No"),SUMIFS(Stations!M:M,Stations!$C:$C,"="&amp;$C114))</f>
        <v>16</v>
      </c>
      <c r="H114" s="63">
        <f>IF($N$1,SUMIFS(Stations!O:O,Stations!$C:$C,"="&amp;$C114,Stations!$W:$W,"=No"),SUMIFS(Stations!O:O,Stations!$C:$C,"="&amp;$C114))</f>
        <v>0</v>
      </c>
      <c r="I114" s="63">
        <f>IF($N$1,SUMIFS(Stations!Q:Q,Stations!$C:$C,"="&amp;$C114,Stations!$W:$W,"=No"),SUMIFS(Stations!Q:Q,Stations!$C:$C,"="&amp;$C114))</f>
        <v>16</v>
      </c>
      <c r="J114" s="63">
        <f>IF($N$1,SUMIFS(Stations!S:S,Stations!$C:$C,"="&amp;$C114,Stations!$W:$W,"=No"),SUMIFS(Stations!S:S,Stations!$C:$C,"="&amp;$C114))</f>
        <v>2</v>
      </c>
      <c r="K114" s="64">
        <f>IF($N$1,SUMIFS(Stations!U:U,Stations!$C:$C,"="&amp;$C114,Stations!$W:$W,"=No"),SUMIFS(Stations!U:U,Stations!$C:$C,"="&amp;$C114))</f>
        <v>0</v>
      </c>
      <c r="L114" s="33"/>
      <c r="M114" s="33"/>
      <c r="N114" s="33"/>
      <c r="O114" s="33"/>
      <c r="P114" s="33"/>
      <c r="Q114" s="33"/>
      <c r="R114" s="33"/>
      <c r="S114" s="33"/>
      <c r="T114" s="33"/>
      <c r="U114" s="33"/>
      <c r="V114" s="33"/>
      <c r="W114" s="33"/>
    </row>
    <row r="115" spans="1:23">
      <c r="A115" s="35"/>
      <c r="B115" s="35"/>
      <c r="C115" s="67" t="s">
        <v>95</v>
      </c>
      <c r="D115" s="126" t="s">
        <v>1615</v>
      </c>
      <c r="E115" s="90"/>
      <c r="F115" s="63">
        <f>IF($N$1,SUMIFS(Stations!L:L,Stations!$C:$C,"="&amp;$C115,Stations!$W:$W,"=No"),SUMIFS(Stations!L:L,Stations!$C:$C,"="&amp;$C115))</f>
        <v>201</v>
      </c>
      <c r="G115" s="63">
        <f>IF($N$1,SUMIFS(Stations!M:M,Stations!$C:$C,"="&amp;$C115,Stations!$W:$W,"=No"),SUMIFS(Stations!M:M,Stations!$C:$C,"="&amp;$C115))</f>
        <v>16</v>
      </c>
      <c r="H115" s="63">
        <f>IF($N$1,SUMIFS(Stations!O:O,Stations!$C:$C,"="&amp;$C115,Stations!$W:$W,"=No"),SUMIFS(Stations!O:O,Stations!$C:$C,"="&amp;$C115))</f>
        <v>0</v>
      </c>
      <c r="I115" s="63">
        <f>IF($N$1,SUMIFS(Stations!Q:Q,Stations!$C:$C,"="&amp;$C115,Stations!$W:$W,"=No"),SUMIFS(Stations!Q:Q,Stations!$C:$C,"="&amp;$C115))</f>
        <v>16</v>
      </c>
      <c r="J115" s="63">
        <f>IF($N$1,SUMIFS(Stations!S:S,Stations!$C:$C,"="&amp;$C115,Stations!$W:$W,"=No"),SUMIFS(Stations!S:S,Stations!$C:$C,"="&amp;$C115))</f>
        <v>12</v>
      </c>
      <c r="K115" s="64">
        <f>IF($N$1,SUMIFS(Stations!U:U,Stations!$C:$C,"="&amp;$C115,Stations!$W:$W,"=No"),SUMIFS(Stations!U:U,Stations!$C:$C,"="&amp;$C115))</f>
        <v>0</v>
      </c>
      <c r="L115" s="33"/>
      <c r="M115" s="33"/>
      <c r="N115" s="33"/>
      <c r="O115" s="33"/>
      <c r="P115" s="33"/>
      <c r="Q115" s="33"/>
      <c r="R115" s="33"/>
      <c r="S115" s="33"/>
      <c r="T115" s="33"/>
      <c r="U115" s="33"/>
      <c r="V115" s="33"/>
      <c r="W115" s="33"/>
    </row>
    <row r="116" spans="1:23" ht="13.5" thickBot="1">
      <c r="A116" s="35"/>
      <c r="B116" s="35"/>
      <c r="C116" s="91" t="s">
        <v>366</v>
      </c>
      <c r="D116" s="150" t="s">
        <v>1616</v>
      </c>
      <c r="E116" s="151"/>
      <c r="F116" s="114">
        <f>IF($N$1,SUMIFS(Stations!L:L,Stations!$C:$C,"="&amp;$C116,Stations!$W:$W,"=No"),SUMIFS(Stations!L:L,Stations!$C:$C,"="&amp;$C116))</f>
        <v>14</v>
      </c>
      <c r="G116" s="114">
        <f>IF($N$1,SUMIFS(Stations!M:M,Stations!$C:$C,"="&amp;$C116,Stations!$W:$W,"=No"),SUMIFS(Stations!M:M,Stations!$C:$C,"="&amp;$C116))</f>
        <v>0</v>
      </c>
      <c r="H116" s="114">
        <f>IF($N$1,SUMIFS(Stations!O:O,Stations!$C:$C,"="&amp;$C116,Stations!$W:$W,"=No"),SUMIFS(Stations!O:O,Stations!$C:$C,"="&amp;$C116))</f>
        <v>0</v>
      </c>
      <c r="I116" s="114">
        <f>IF($N$1,SUMIFS(Stations!Q:Q,Stations!$C:$C,"="&amp;$C116,Stations!$W:$W,"=No"),SUMIFS(Stations!Q:Q,Stations!$C:$C,"="&amp;$C116))</f>
        <v>0</v>
      </c>
      <c r="J116" s="114">
        <f>IF($N$1,SUMIFS(Stations!S:S,Stations!$C:$C,"="&amp;$C116,Stations!$W:$W,"=No"),SUMIFS(Stations!S:S,Stations!$C:$C,"="&amp;$C116))</f>
        <v>0</v>
      </c>
      <c r="K116" s="115">
        <f>IF($N$1,SUMIFS(Stations!U:U,Stations!$C:$C,"="&amp;$C116,Stations!$W:$W,"=No"),SUMIFS(Stations!U:U,Stations!$C:$C,"="&amp;$C116))</f>
        <v>0</v>
      </c>
      <c r="L116" s="33"/>
      <c r="M116" s="33"/>
      <c r="N116" s="33"/>
      <c r="O116" s="33"/>
      <c r="P116" s="33"/>
      <c r="Q116" s="33"/>
      <c r="R116" s="33"/>
      <c r="S116" s="33"/>
      <c r="T116" s="33"/>
      <c r="U116" s="33"/>
      <c r="V116" s="33"/>
      <c r="W116" s="33"/>
    </row>
    <row r="117" spans="1:23" ht="13.5" thickTop="1">
      <c r="A117" s="59"/>
      <c r="B117" s="59"/>
      <c r="C117" s="59"/>
      <c r="D117" s="59"/>
      <c r="E117" s="59"/>
      <c r="F117" s="59"/>
      <c r="G117" s="59"/>
      <c r="H117" s="59"/>
      <c r="I117" s="59"/>
      <c r="J117" s="59"/>
      <c r="K117" s="59"/>
      <c r="L117" s="60"/>
      <c r="M117" s="60"/>
      <c r="N117" s="60"/>
      <c r="O117" s="60"/>
      <c r="P117" s="60"/>
      <c r="Q117" s="60"/>
      <c r="R117" s="60"/>
      <c r="S117" s="60"/>
      <c r="T117" s="60"/>
      <c r="U117" s="60"/>
      <c r="V117" s="60"/>
      <c r="W117" s="60"/>
    </row>
    <row r="118" spans="1:23">
      <c r="A118" s="60"/>
      <c r="B118" s="60"/>
      <c r="C118" s="60"/>
      <c r="D118" s="60"/>
      <c r="E118" s="60"/>
      <c r="F118" s="60"/>
      <c r="G118" s="60"/>
      <c r="H118" s="60"/>
      <c r="I118" s="60"/>
      <c r="J118" s="60"/>
      <c r="K118" s="60"/>
      <c r="L118" s="60"/>
      <c r="M118" s="60"/>
      <c r="N118" s="60"/>
      <c r="O118" s="60"/>
      <c r="P118" s="60"/>
      <c r="Q118" s="60"/>
      <c r="R118" s="60"/>
      <c r="S118" s="60"/>
      <c r="T118" s="60"/>
      <c r="U118" s="60"/>
      <c r="V118" s="60"/>
      <c r="W118" s="60"/>
    </row>
    <row r="119" spans="1:23">
      <c r="A119" s="60"/>
      <c r="B119" s="60"/>
      <c r="C119" s="60"/>
      <c r="D119" s="60"/>
      <c r="E119" s="60"/>
      <c r="F119" s="60"/>
      <c r="G119" s="60"/>
      <c r="H119" s="60"/>
      <c r="I119" s="60"/>
      <c r="J119" s="60"/>
      <c r="K119" s="60"/>
      <c r="L119" s="60"/>
      <c r="M119" s="60"/>
      <c r="N119" s="60"/>
      <c r="O119" s="60"/>
      <c r="P119" s="60"/>
      <c r="Q119" s="60"/>
      <c r="R119" s="60"/>
      <c r="S119" s="60"/>
      <c r="T119" s="60"/>
      <c r="U119" s="60"/>
      <c r="V119" s="60"/>
      <c r="W119" s="60"/>
    </row>
    <row r="120" spans="1:23">
      <c r="A120" s="60"/>
      <c r="B120" s="60"/>
      <c r="C120" s="60"/>
      <c r="D120" s="60"/>
      <c r="E120" s="60"/>
      <c r="F120" s="60"/>
      <c r="G120" s="60"/>
      <c r="H120" s="60"/>
      <c r="I120" s="60"/>
      <c r="J120" s="60"/>
      <c r="K120" s="60"/>
      <c r="L120" s="60"/>
      <c r="M120" s="60"/>
      <c r="N120" s="60"/>
      <c r="O120" s="60"/>
      <c r="P120" s="60"/>
      <c r="Q120" s="60"/>
      <c r="R120" s="60"/>
      <c r="S120" s="60"/>
      <c r="T120" s="60"/>
      <c r="U120" s="60"/>
      <c r="V120" s="60"/>
      <c r="W120" s="60"/>
    </row>
    <row r="121" spans="1:23">
      <c r="A121" s="60"/>
      <c r="B121" s="60"/>
      <c r="C121" s="60"/>
      <c r="D121" s="60"/>
      <c r="E121" s="60"/>
      <c r="F121" s="60"/>
      <c r="G121" s="60"/>
      <c r="H121" s="60"/>
      <c r="I121" s="60"/>
      <c r="J121" s="60"/>
      <c r="K121" s="60"/>
      <c r="L121" s="60"/>
      <c r="M121" s="60"/>
      <c r="N121" s="60"/>
      <c r="O121" s="60"/>
      <c r="P121" s="60"/>
      <c r="Q121" s="60"/>
      <c r="R121" s="60"/>
      <c r="S121" s="60"/>
      <c r="T121" s="60"/>
      <c r="U121" s="60"/>
      <c r="V121" s="60"/>
      <c r="W121" s="60"/>
    </row>
    <row r="122" spans="1:23">
      <c r="A122" s="60"/>
      <c r="B122" s="60"/>
      <c r="C122" s="60"/>
      <c r="D122" s="60"/>
      <c r="E122" s="60"/>
      <c r="F122" s="60"/>
      <c r="G122" s="60"/>
      <c r="H122" s="60"/>
      <c r="I122" s="60"/>
      <c r="J122" s="60"/>
      <c r="K122" s="60"/>
      <c r="L122" s="60"/>
      <c r="M122" s="60"/>
      <c r="N122" s="60"/>
      <c r="O122" s="60"/>
      <c r="P122" s="60"/>
      <c r="Q122" s="60"/>
      <c r="R122" s="60"/>
      <c r="S122" s="60"/>
      <c r="T122" s="60"/>
      <c r="U122" s="60"/>
      <c r="V122" s="60"/>
      <c r="W122" s="60"/>
    </row>
    <row r="123" spans="1:23">
      <c r="A123" s="60"/>
      <c r="B123" s="60"/>
      <c r="C123" s="60"/>
      <c r="D123" s="60"/>
      <c r="E123" s="60"/>
      <c r="F123" s="60"/>
      <c r="G123" s="60"/>
      <c r="H123" s="60"/>
      <c r="I123" s="60"/>
      <c r="J123" s="60"/>
      <c r="K123" s="60"/>
      <c r="L123" s="60"/>
      <c r="M123" s="60"/>
      <c r="N123" s="60"/>
      <c r="O123" s="60"/>
      <c r="P123" s="60"/>
      <c r="Q123" s="60"/>
      <c r="R123" s="60"/>
      <c r="S123" s="60"/>
      <c r="T123" s="60"/>
      <c r="U123" s="60"/>
      <c r="V123" s="60"/>
      <c r="W123" s="60"/>
    </row>
    <row r="124" spans="1:23">
      <c r="A124" s="60"/>
      <c r="B124" s="60"/>
      <c r="C124" s="60"/>
      <c r="D124" s="60"/>
      <c r="E124" s="60"/>
      <c r="F124" s="60"/>
      <c r="G124" s="60"/>
      <c r="H124" s="60"/>
      <c r="I124" s="60"/>
      <c r="J124" s="60"/>
      <c r="K124" s="60"/>
      <c r="L124" s="60"/>
      <c r="M124" s="60"/>
      <c r="N124" s="60"/>
      <c r="O124" s="60"/>
      <c r="P124" s="60"/>
      <c r="Q124" s="60"/>
      <c r="R124" s="60"/>
      <c r="S124" s="60"/>
      <c r="T124" s="60"/>
      <c r="U124" s="60"/>
      <c r="V124" s="60"/>
      <c r="W124" s="60"/>
    </row>
    <row r="125" spans="1:23">
      <c r="A125" s="60"/>
      <c r="B125" s="60"/>
      <c r="C125" s="60"/>
      <c r="D125" s="60"/>
      <c r="E125" s="60"/>
      <c r="F125" s="60"/>
      <c r="G125" s="60"/>
      <c r="H125" s="60"/>
      <c r="I125" s="60"/>
      <c r="J125" s="60"/>
      <c r="K125" s="60"/>
      <c r="L125" s="60"/>
      <c r="M125" s="60"/>
      <c r="N125" s="60"/>
      <c r="O125" s="60"/>
      <c r="P125" s="60"/>
      <c r="Q125" s="60"/>
      <c r="R125" s="60"/>
      <c r="S125" s="60"/>
      <c r="T125" s="60"/>
      <c r="U125" s="60"/>
      <c r="V125" s="60"/>
      <c r="W125" s="60"/>
    </row>
    <row r="126" spans="1:23">
      <c r="A126" s="60"/>
      <c r="B126" s="60"/>
      <c r="C126" s="60"/>
      <c r="D126" s="60"/>
      <c r="E126" s="60"/>
      <c r="F126" s="60"/>
      <c r="G126" s="60"/>
      <c r="H126" s="60"/>
      <c r="I126" s="60"/>
      <c r="J126" s="60"/>
      <c r="K126" s="60"/>
      <c r="L126" s="60"/>
      <c r="M126" s="60"/>
      <c r="N126" s="60"/>
      <c r="O126" s="60"/>
      <c r="P126" s="60"/>
      <c r="Q126" s="60"/>
      <c r="R126" s="60"/>
      <c r="S126" s="60"/>
      <c r="T126" s="60"/>
      <c r="U126" s="60"/>
      <c r="V126" s="60"/>
      <c r="W126" s="60"/>
    </row>
    <row r="127" spans="1:23">
      <c r="A127" s="60"/>
      <c r="B127" s="60"/>
      <c r="C127" s="60"/>
      <c r="D127" s="60"/>
      <c r="E127" s="60"/>
      <c r="F127" s="60"/>
      <c r="G127" s="60"/>
      <c r="H127" s="60"/>
      <c r="I127" s="60"/>
      <c r="J127" s="60"/>
      <c r="K127" s="60"/>
      <c r="L127" s="60"/>
      <c r="M127" s="60"/>
      <c r="N127" s="60"/>
      <c r="O127" s="60"/>
      <c r="P127" s="60"/>
      <c r="Q127" s="60"/>
      <c r="R127" s="60"/>
      <c r="S127" s="60"/>
      <c r="T127" s="60"/>
      <c r="U127" s="60"/>
      <c r="V127" s="60"/>
      <c r="W127" s="60"/>
    </row>
    <row r="128" spans="1:23">
      <c r="A128" s="60"/>
      <c r="B128" s="60"/>
      <c r="C128" s="60"/>
      <c r="D128" s="60"/>
      <c r="E128" s="60"/>
      <c r="F128" s="60"/>
      <c r="G128" s="60"/>
      <c r="H128" s="60"/>
      <c r="I128" s="60"/>
      <c r="J128" s="60"/>
      <c r="K128" s="60"/>
      <c r="L128" s="60"/>
      <c r="M128" s="60"/>
      <c r="N128" s="60"/>
      <c r="O128" s="60"/>
      <c r="P128" s="60"/>
      <c r="Q128" s="60"/>
      <c r="R128" s="60"/>
      <c r="S128" s="60"/>
      <c r="T128" s="60"/>
      <c r="U128" s="60"/>
      <c r="V128" s="60"/>
      <c r="W128" s="60"/>
    </row>
    <row r="129" spans="1:23">
      <c r="A129" s="60"/>
      <c r="B129" s="60"/>
      <c r="C129" s="60"/>
      <c r="D129" s="60"/>
      <c r="E129" s="60"/>
      <c r="F129" s="60"/>
      <c r="G129" s="60"/>
      <c r="H129" s="60"/>
      <c r="I129" s="60"/>
      <c r="J129" s="60"/>
      <c r="K129" s="60"/>
      <c r="L129" s="60"/>
      <c r="M129" s="60"/>
      <c r="N129" s="60"/>
      <c r="O129" s="60"/>
      <c r="P129" s="60"/>
      <c r="Q129" s="60"/>
      <c r="R129" s="60"/>
      <c r="S129" s="60"/>
      <c r="T129" s="60"/>
      <c r="U129" s="60"/>
      <c r="V129" s="60"/>
      <c r="W129" s="60"/>
    </row>
    <row r="130" spans="1:23">
      <c r="A130" s="60"/>
      <c r="B130" s="60"/>
      <c r="C130" s="60"/>
      <c r="D130" s="60"/>
      <c r="E130" s="60"/>
      <c r="F130" s="60"/>
      <c r="G130" s="60"/>
      <c r="H130" s="60"/>
      <c r="I130" s="60"/>
      <c r="J130" s="60"/>
      <c r="K130" s="60"/>
      <c r="L130" s="60"/>
      <c r="M130" s="60"/>
      <c r="N130" s="60"/>
      <c r="O130" s="60"/>
      <c r="P130" s="60"/>
      <c r="Q130" s="60"/>
      <c r="R130" s="60"/>
      <c r="S130" s="60"/>
      <c r="T130" s="60"/>
      <c r="U130" s="60"/>
      <c r="V130" s="60"/>
      <c r="W130" s="60"/>
    </row>
    <row r="131" spans="1:23">
      <c r="A131" s="60"/>
      <c r="B131" s="60"/>
      <c r="C131" s="60"/>
      <c r="D131" s="60"/>
      <c r="E131" s="60"/>
      <c r="F131" s="60"/>
      <c r="G131" s="60"/>
      <c r="H131" s="60"/>
      <c r="I131" s="60"/>
      <c r="J131" s="60"/>
      <c r="K131" s="60"/>
      <c r="L131" s="60"/>
      <c r="M131" s="60"/>
      <c r="N131" s="60"/>
      <c r="O131" s="60"/>
      <c r="P131" s="60"/>
      <c r="Q131" s="60"/>
      <c r="R131" s="60"/>
      <c r="S131" s="60"/>
      <c r="T131" s="60"/>
      <c r="U131" s="60"/>
      <c r="V131" s="60"/>
      <c r="W131" s="60"/>
    </row>
    <row r="132" spans="1:23">
      <c r="A132" s="60"/>
      <c r="B132" s="60"/>
      <c r="C132" s="60"/>
      <c r="D132" s="60"/>
      <c r="E132" s="60"/>
      <c r="F132" s="60"/>
      <c r="G132" s="60"/>
      <c r="H132" s="60"/>
      <c r="I132" s="60"/>
      <c r="J132" s="60"/>
      <c r="K132" s="60"/>
      <c r="L132" s="60"/>
      <c r="M132" s="60"/>
      <c r="N132" s="60"/>
      <c r="O132" s="60"/>
      <c r="P132" s="60"/>
      <c r="Q132" s="60"/>
      <c r="R132" s="60"/>
      <c r="S132" s="60"/>
      <c r="T132" s="60"/>
      <c r="U132" s="60"/>
      <c r="V132" s="60"/>
      <c r="W132" s="60"/>
    </row>
    <row r="133" spans="1:23">
      <c r="A133" s="60"/>
      <c r="B133" s="60"/>
      <c r="C133" s="60"/>
      <c r="D133" s="60"/>
      <c r="E133" s="60"/>
      <c r="F133" s="60"/>
      <c r="G133" s="60"/>
      <c r="H133" s="60"/>
      <c r="I133" s="60"/>
      <c r="J133" s="60"/>
      <c r="K133" s="60"/>
      <c r="L133" s="60"/>
      <c r="M133" s="60"/>
      <c r="N133" s="60"/>
      <c r="O133" s="60"/>
      <c r="P133" s="60"/>
      <c r="Q133" s="60"/>
      <c r="R133" s="60"/>
      <c r="S133" s="60"/>
      <c r="T133" s="60"/>
      <c r="U133" s="60"/>
      <c r="V133" s="60"/>
      <c r="W133" s="60"/>
    </row>
    <row r="134" spans="1:23">
      <c r="A134" s="60"/>
      <c r="B134" s="60"/>
      <c r="C134" s="60"/>
      <c r="D134" s="60"/>
      <c r="E134" s="60"/>
      <c r="F134" s="60"/>
      <c r="G134" s="60"/>
      <c r="H134" s="60"/>
      <c r="I134" s="60"/>
      <c r="J134" s="60"/>
      <c r="K134" s="60"/>
      <c r="L134" s="60"/>
      <c r="M134" s="60"/>
      <c r="N134" s="60"/>
      <c r="O134" s="60"/>
      <c r="P134" s="60"/>
      <c r="Q134" s="60"/>
      <c r="R134" s="60"/>
      <c r="S134" s="60"/>
      <c r="T134" s="60"/>
      <c r="U134" s="60"/>
      <c r="V134" s="60"/>
      <c r="W134" s="60"/>
    </row>
    <row r="135" spans="1:23">
      <c r="A135" s="60"/>
      <c r="B135" s="60"/>
      <c r="C135" s="60"/>
      <c r="D135" s="60"/>
      <c r="E135" s="60"/>
      <c r="F135" s="60"/>
      <c r="G135" s="60"/>
      <c r="H135" s="60"/>
      <c r="I135" s="60"/>
      <c r="J135" s="60"/>
      <c r="K135" s="60"/>
      <c r="L135" s="60"/>
      <c r="M135" s="60"/>
      <c r="N135" s="60"/>
      <c r="O135" s="60"/>
      <c r="P135" s="60"/>
      <c r="Q135" s="60"/>
      <c r="R135" s="60"/>
      <c r="S135" s="60"/>
      <c r="T135" s="60"/>
      <c r="U135" s="60"/>
      <c r="V135" s="60"/>
      <c r="W135" s="60"/>
    </row>
    <row r="136" spans="1:23">
      <c r="A136" s="60"/>
      <c r="B136" s="60"/>
      <c r="C136" s="60"/>
      <c r="D136" s="60"/>
      <c r="E136" s="60"/>
      <c r="F136" s="60"/>
      <c r="G136" s="60"/>
      <c r="H136" s="60"/>
      <c r="I136" s="60"/>
      <c r="J136" s="60"/>
      <c r="K136" s="60"/>
      <c r="L136" s="60"/>
      <c r="M136" s="60"/>
      <c r="N136" s="60"/>
      <c r="O136" s="60"/>
      <c r="P136" s="60"/>
      <c r="Q136" s="60"/>
      <c r="R136" s="60"/>
      <c r="S136" s="60"/>
      <c r="T136" s="60"/>
      <c r="U136" s="60"/>
      <c r="V136" s="60"/>
      <c r="W136" s="60"/>
    </row>
    <row r="137" spans="1:23">
      <c r="A137" s="60"/>
      <c r="B137" s="60"/>
      <c r="C137" s="60"/>
      <c r="D137" s="60"/>
      <c r="E137" s="60"/>
      <c r="F137" s="60"/>
      <c r="G137" s="60"/>
      <c r="H137" s="60"/>
      <c r="I137" s="60"/>
      <c r="J137" s="60"/>
      <c r="K137" s="60"/>
      <c r="L137" s="60"/>
      <c r="M137" s="60"/>
      <c r="N137" s="60"/>
      <c r="O137" s="60"/>
      <c r="P137" s="60"/>
      <c r="Q137" s="60"/>
      <c r="R137" s="60"/>
      <c r="S137" s="60"/>
      <c r="T137" s="60"/>
      <c r="U137" s="60"/>
      <c r="V137" s="60"/>
      <c r="W137" s="60"/>
    </row>
    <row r="138" spans="1:23">
      <c r="A138" s="60"/>
      <c r="B138" s="60"/>
      <c r="C138" s="60"/>
      <c r="D138" s="60"/>
      <c r="E138" s="60"/>
      <c r="F138" s="60"/>
      <c r="G138" s="60"/>
      <c r="H138" s="60"/>
      <c r="I138" s="60"/>
      <c r="J138" s="60"/>
      <c r="K138" s="60"/>
      <c r="L138" s="60"/>
      <c r="M138" s="60"/>
      <c r="N138" s="60"/>
      <c r="O138" s="60"/>
      <c r="P138" s="60"/>
      <c r="Q138" s="60"/>
      <c r="R138" s="60"/>
      <c r="S138" s="60"/>
      <c r="T138" s="60"/>
      <c r="U138" s="60"/>
      <c r="V138" s="60"/>
      <c r="W138" s="60"/>
    </row>
    <row r="139" spans="1:23">
      <c r="A139" s="60"/>
      <c r="B139" s="60"/>
      <c r="C139" s="60"/>
      <c r="D139" s="60"/>
      <c r="E139" s="60"/>
      <c r="F139" s="60"/>
      <c r="G139" s="60"/>
      <c r="H139" s="60"/>
      <c r="I139" s="60"/>
      <c r="J139" s="60"/>
      <c r="K139" s="60"/>
      <c r="L139" s="60"/>
      <c r="M139" s="60"/>
      <c r="N139" s="60"/>
      <c r="O139" s="60"/>
      <c r="P139" s="60"/>
      <c r="Q139" s="60"/>
      <c r="R139" s="60"/>
      <c r="S139" s="60"/>
      <c r="T139" s="60"/>
      <c r="U139" s="60"/>
      <c r="V139" s="60"/>
      <c r="W139" s="60"/>
    </row>
    <row r="140" spans="1:23">
      <c r="A140" s="60"/>
      <c r="B140" s="60"/>
      <c r="C140" s="60"/>
      <c r="D140" s="60"/>
      <c r="E140" s="60"/>
      <c r="F140" s="60"/>
      <c r="G140" s="60"/>
      <c r="H140" s="60"/>
      <c r="I140" s="60"/>
      <c r="J140" s="60"/>
      <c r="K140" s="60"/>
      <c r="L140" s="60"/>
      <c r="M140" s="60"/>
      <c r="N140" s="60"/>
      <c r="O140" s="60"/>
      <c r="P140" s="60"/>
      <c r="Q140" s="60"/>
      <c r="R140" s="60"/>
      <c r="S140" s="60"/>
      <c r="T140" s="60"/>
      <c r="U140" s="60"/>
      <c r="V140" s="60"/>
      <c r="W140" s="60"/>
    </row>
  </sheetData>
  <sheetProtection formatCells="0" formatColumns="0" formatRows="0"/>
  <pageMargins left="0.7" right="0.7" top="0.75" bottom="0.75" header="0.3" footer="0.3"/>
  <pageSetup orientation="portrait" r:id="rId1"/>
  <ignoredErrors>
    <ignoredError sqref="E7:K15 E48:K56"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Button1_Click">
                <anchor moveWithCells="1" sizeWithCells="1">
                  <from>
                    <xdr:col>0</xdr:col>
                    <xdr:colOff>9525</xdr:colOff>
                    <xdr:row>15</xdr:row>
                    <xdr:rowOff>9525</xdr:rowOff>
                  </from>
                  <to>
                    <xdr:col>4</xdr:col>
                    <xdr:colOff>0</xdr:colOff>
                    <xdr:row>16</xdr:row>
                    <xdr:rowOff>142875</xdr:rowOff>
                  </to>
                </anchor>
              </controlPr>
            </control>
          </mc:Choice>
        </mc:AlternateContent>
        <mc:AlternateContent xmlns:mc="http://schemas.openxmlformats.org/markup-compatibility/2006">
          <mc:Choice Requires="x14">
            <control shapeId="2050" r:id="rId5" name="Button 2">
              <controlPr defaultSize="0" print="0" autoFill="0" autoPict="0" macro="[0]!ThisWorkbook.Button2_Click">
                <anchor moveWithCells="1" sizeWithCells="1">
                  <from>
                    <xdr:col>0</xdr:col>
                    <xdr:colOff>28575</xdr:colOff>
                    <xdr:row>56</xdr:row>
                    <xdr:rowOff>9525</xdr:rowOff>
                  </from>
                  <to>
                    <xdr:col>4</xdr:col>
                    <xdr:colOff>0</xdr:colOff>
                    <xdr:row>57</xdr:row>
                    <xdr:rowOff>123825</xdr:rowOff>
                  </to>
                </anchor>
              </controlPr>
            </control>
          </mc:Choice>
        </mc:AlternateContent>
        <mc:AlternateContent xmlns:mc="http://schemas.openxmlformats.org/markup-compatibility/2006">
          <mc:Choice Requires="x14">
            <control shapeId="2051" r:id="rId6" name="Drop Down 3">
              <controlPr defaultSize="0" autoLine="0" autoPict="0" altText="This drop-down menu includes or excludes &quot;questionable&quot; data from the calculated totals.">
                <anchor moveWithCells="1">
                  <from>
                    <xdr:col>1</xdr:col>
                    <xdr:colOff>76200</xdr:colOff>
                    <xdr:row>1</xdr:row>
                    <xdr:rowOff>104775</xdr:rowOff>
                  </from>
                  <to>
                    <xdr:col>3</xdr:col>
                    <xdr:colOff>381000</xdr:colOff>
                    <xdr:row>1</xdr:row>
                    <xdr:rowOff>419100</xdr:rowOff>
                  </to>
                </anchor>
              </controlPr>
            </control>
          </mc:Choice>
        </mc:AlternateContent>
      </controls>
    </mc:Choice>
  </mc:AlternateContent>
  <tableParts count="5">
    <tablePart r:id="rId7"/>
    <tablePart r:id="rId8"/>
    <tablePart r:id="rId9"/>
    <tablePart r:id="rId10"/>
    <tablePart r:id="rId11"/>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TvkPqkDv/5f1W/pBqANW40QyYerbQNGlpZu07IbXNsc=</DigestValue>
    </Reference>
    <Reference Type="http://www.w3.org/2000/09/xmldsig#Object" URI="#idOfficeObject">
      <DigestMethod Algorithm="http://www.w3.org/2001/04/xmlenc#sha256"/>
      <DigestValue>VIdiehXupuKx/w6L1y/7cA2uvZFJhJinBm9vHLvKMSc=</DigestValue>
    </Reference>
    <Reference Type="http://uri.etsi.org/01903#SignedProperties" URI="#idSignedProperties">
      <Transforms>
        <Transform Algorithm="http://www.w3.org/TR/2001/REC-xml-c14n-20010315"/>
      </Transforms>
      <DigestMethod Algorithm="http://www.w3.org/2001/04/xmlenc#sha256"/>
      <DigestValue>MOEl2sI0EjvnUb4WFaGTxCJeW8j4AylEhZQWtW+ELc8=</DigestValue>
    </Reference>
  </SignedInfo>
  <SignatureValue>SaVWzsOa7jf3RGmvofwrgUEfHevRIvOq1Zfvrf5z2TN4jix2NIQrnQiBmhaQODIQepBXwMtDFNkz
cM8QGxptQwvvi/JQMpDP6zh+moMv4h8F3jzhlofAz+gdts1+z40cj/2CFDh745t7fPZ+qtsjEp0N
7O8ohp0L82d0oovVKESrTYHYuuy1MOxF5tQR7pM+/LvrnTdE8rJTuLjZNqgQUNanxUr4ojgd3ecq
0HpNysr8IBwApGe0qSRXcCidtXQ1lneYN3e3L+7nYIkqcRZxT+kPYxLcf4SjHCvyFOJ6E6EpQ8l/
qvm5RKBQPkrZdanef7TbbzXpY0HIT2elVpnTKw==</SignatureValue>
  <KeyInfo>
    <X509Data>
      <X509Certificate>MIIFpDCCBIygAwIBAgIQcHR8szNcKPofPXl2Vt0nDjANBgkqhkiG9w0BAQsFADCBjDELMAkGA1UEBhMCVVMxGDAWBgNVBAoTD1UuUy4gR292ZXJubWVudDEqMCgGA1UECxMhVS5TLiBEZXBhcnRtZW50IG9mIFRyYW5zcG9ydGF0aW9uMTcwNQYDVQQDEy5VLlMuIERlcGFydG1lbnQgb2YgVHJhbnNwb3J0YXRpb24gQWdlbmN5IENBIEc0MB4XDTE4MDQwOTAwMDAwMFoXDTIxMDQwODIzNTk1OVowcDELMAkGA1UEBhMCVVMxGDAWBgNVBAoTD1UuUy4gR292ZXJubWVudDEZMBcGA1UECxMQRE9UIEhlYWRxdWFydGVyczEOMAwGA1UECxMFRlRBSFExHDAaBgNVBAMTE01VUlRBWkEgS0FNQUwgTkFRVkkwggEiMA0GCSqGSIb3DQEBAQUAA4IBDwAwggEKAoIBAQC9cQrbuq20vFhdX/gCb8Ml8WZZNl3hWtOoY8y7hU0ZPQFEqHPScsyLWQvE7VI7/1UwyolCf20G2FzGMK7pZRQYSIO0izzMhYA7yRj3jGySx88Wg5ElWGM5CqozwvwzKd5cMPDe38cPEaTu1aMaOElTKOAvVSagw7SFJ3NvpLj36iyqezKoZAQT8DavF6e+WYtTaLFpUySCpV1TsjrnVPH3Nj36DWcB1Zg6282T4KXqV222pt0O+JNqMsCzdzEO/G98DF+hXtJo5eRgfrOZSLJePTN+AneGV7RWy6g1XQmFVKjD5R4E4uzfWbDB6fnEFdcetU+hwpuNKeZIysQJ5fq1AgMBAAGjggIbMIICFzCBjQYDVR0RBIGFMIGCoCcGCGCGSAFlAwYGoBsEGdNnWtghDC1ahJPNoWhYNahJPIQwgEIYQ/ygKAYKKwYBBAGCNxQCA6AaDBhtdXJ0YXphLm5hcXZpQGFkLmRvdC5nb3aGLXVybjp1dWlkOmEwZTZlOWY5LTUzZjUtNDkzZi04ZDZlLTVkMmI3YzZhM2VjZTAJBgNVHRMEAjAAMGEGA1UdHwRaMFgwVqBUoFKGUGh0dHA6Ly9vbnNpdGVjcmwudmVyaXNpZ24uY29tL1VTRGVwYXJ0bWVudG9mVHJhbnNwb3J0YXRpb25GQUFQSVZHNC9MYXRlc3RDUkwuY3JsMA4GA1UdDwEB/wQEAwIHgDAdBgNVHQ4EFgQUPofMe4mq5eiDGJmkgwsx7el3aVYwHwYDVR0jBBgwFoAUZ8MPvj6aFy5aLInwah/WPhvLDlUwJQYDVR0lBB4wHAYKKwYBBAGCNxQCAgYIKwYBBQUHAwIGBFUdJQAwEAYJYIZIAWUDBgkBBAMBAQAwFwYDVR0gBBAwDjAMBgpghkgBZQMCAQMNMHUGCCsGAQUFBwEBBGkwZzAnBggrBgEFBQcwAYYbaHR0cDovL3NzcC1vY3NwLnN5bWF1dGguY29tMDwGCCsGAQUFBzAChjBodHRwOi8vc3NwLWFpYS5zeW1hdXRoLmNvbS9TU1AvRG9UX0FnZW5jeV9HNC5wN2MwDQYJKoZIhvcNAQELBQADggEBAM8d8rJ/bYnp3azgTZvfw/Gqz8dX3zIxHVhakaTrCOYZj4bthq8rq0/+KQUSkf6ocf7hFSZ9PixSr7IhEj0WQjkD1hF70rkYILUIfW9NHSp6SH3kyF2xZM5IjTcz/KZeZr5HETa0ZmXoa3TzwRMddL3lTVI960HZx5DozfDXKEZxNkT1xIkLrUfZmOGn2od1R4anCHMoqXUN7QEZ3gBcNacCyZlyU6FCE4TbrC6wHtiP2fShUJ/ZNonSNjKRQltwKRYjjorEWcipIyrbhr04NxGpHeT/fOpMSdsYfZY2u4JceFsnsrxMj3PnRbTvVe0JZQIEWo4jkt3weycSrpWooeU=</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Transform>
          <Transform Algorithm="http://www.w3.org/TR/2001/REC-xml-c14n-20010315"/>
        </Transforms>
        <DigestMethod Algorithm="http://www.w3.org/2001/04/xmlenc#sha256"/>
        <DigestValue>AASzrXydRaqk3kC8ZpfLRRmt4SxV/DLbbGlYm9/LpJI=</DigestValue>
      </Reference>
      <Reference URI="/xl/calcChain.xml?ContentType=application/vnd.openxmlformats-officedocument.spreadsheetml.calcChain+xml">
        <DigestMethod Algorithm="http://www.w3.org/2001/04/xmlenc#sha256"/>
        <DigestValue>sX651ZaXNlst5vHV/8+OyxulgGkeVI9mCmOc8ZSkOWg=</DigestValue>
      </Reference>
      <Reference URI="/xl/ctrlProps/ctrlProp1.xml?ContentType=application/vnd.ms-excel.controlproperties+xml">
        <DigestMethod Algorithm="http://www.w3.org/2001/04/xmlenc#sha256"/>
        <DigestValue>NUN3x4HSkye2ngV3FMVOrDPWeYD40h+3OhpsIGTaNaE=</DigestValue>
      </Reference>
      <Reference URI="/xl/ctrlProps/ctrlProp2.xml?ContentType=application/vnd.ms-excel.controlproperties+xml">
        <DigestMethod Algorithm="http://www.w3.org/2001/04/xmlenc#sha256"/>
        <DigestValue>ja5kXhyS6HRWe8lZUVDpuU4AIqMmjpUgJpQdBO30ayE=</DigestValue>
      </Reference>
      <Reference URI="/xl/ctrlProps/ctrlProp3.xml?ContentType=application/vnd.ms-excel.controlproperties+xml">
        <DigestMethod Algorithm="http://www.w3.org/2001/04/xmlenc#sha256"/>
        <DigestValue>fBwN8z30nmv6rEI+4dJlxiNm1ZJ5sTZW0h/0aNMjImU=</DigestValue>
      </Reference>
      <Reference URI="/xl/ctrlProps/ctrlProp4.xml?ContentType=application/vnd.ms-excel.controlproperties+xml">
        <DigestMethod Algorithm="http://www.w3.org/2001/04/xmlenc#sha256"/>
        <DigestValue>fBwN8z30nmv6rEI+4dJlxiNm1ZJ5sTZW0h/0aNMjImU=</DigestValue>
      </Reference>
      <Reference URI="/xl/ctrlProps/ctrlProp5.xml?ContentType=application/vnd.ms-excel.controlproperties+xml">
        <DigestMethod Algorithm="http://www.w3.org/2001/04/xmlenc#sha256"/>
        <DigestValue>4DStc3BsZMvpgfZKsKPHD70i6okgfev0m4M4TWEXh+M=</DigestValue>
      </Reference>
      <Reference URI="/xl/drawings/drawing1.xml?ContentType=application/vnd.openxmlformats-officedocument.drawing+xml">
        <DigestMethod Algorithm="http://www.w3.org/2001/04/xmlenc#sha256"/>
        <DigestValue>LQDsYqw98RvpxU/SbNpr0FMFRUUJuHeH6IG+7tGH8d4=</DigestValue>
      </Reference>
      <Reference URI="/xl/drawings/drawing2.xml?ContentType=application/vnd.openxmlformats-officedocument.drawing+xml">
        <DigestMethod Algorithm="http://www.w3.org/2001/04/xmlenc#sha256"/>
        <DigestValue>z3QFkYkghHfwg0eBLVZATDudZGHioxNN+zEhym5NdKs=</DigestValue>
      </Reference>
      <Reference URI="/xl/drawings/drawing3.xml?ContentType=application/vnd.openxmlformats-officedocument.drawing+xml">
        <DigestMethod Algorithm="http://www.w3.org/2001/04/xmlenc#sha256"/>
        <DigestValue>eLWC7SZJR/DL4EdcWwbG/qsiAcUv8XVz7QHdEdmoOl8=</DigestValue>
      </Reference>
      <Reference URI="/xl/drawings/drawing4.xml?ContentType=application/vnd.openxmlformats-officedocument.drawing+xml">
        <DigestMethod Algorithm="http://www.w3.org/2001/04/xmlenc#sha256"/>
        <DigestValue>2ECZwbVqk+kX/NnW+DJgXLl1ktdMBJ8TxL7wXg2qAco=</DigestValue>
      </Reference>
      <Reference URI="/xl/drawings/vmlDrawing1.vml?ContentType=application/vnd.openxmlformats-officedocument.vmlDrawing">
        <DigestMethod Algorithm="http://www.w3.org/2001/04/xmlenc#sha256"/>
        <DigestValue>YPxT/m+bbjCfFwuUyALiPFHm4PIwqivme7Tj6AsxK+o=</DigestValue>
      </Reference>
      <Reference URI="/xl/drawings/vmlDrawing2.vml?ContentType=application/vnd.openxmlformats-officedocument.vmlDrawing">
        <DigestMethod Algorithm="http://www.w3.org/2001/04/xmlenc#sha256"/>
        <DigestValue>OYG/wgfdG+niY+k8gx5EOyWjrTUmg6GkE0TsaSTLwl4=</DigestValue>
      </Reference>
      <Reference URI="/xl/drawings/vmlDrawing3.vml?ContentType=application/vnd.openxmlformats-officedocument.vmlDrawing">
        <DigestMethod Algorithm="http://www.w3.org/2001/04/xmlenc#sha256"/>
        <DigestValue>h66sI74mx5POdMcHEZIoOcJ4OWuXfT8J3a4gitThdOI=</DigestValue>
      </Reference>
      <Reference URI="/xl/printerSettings/printerSettings1.bin?ContentType=application/vnd.openxmlformats-officedocument.spreadsheetml.printerSettings">
        <DigestMethod Algorithm="http://www.w3.org/2001/04/xmlenc#sha256"/>
        <DigestValue>RIzhhI8LvC6w3so9CwBke3m0BHGydMwEAx+s6gD484Q=</DigestValue>
      </Reference>
      <Reference URI="/xl/sharedStrings.xml?ContentType=application/vnd.openxmlformats-officedocument.spreadsheetml.sharedStrings+xml">
        <DigestMethod Algorithm="http://www.w3.org/2001/04/xmlenc#sha256"/>
        <DigestValue>A+uxNK+Yn1dyOW8aGSKLzKeimweFzMwPq1F+ERZnfzM=</DigestValue>
      </Reference>
      <Reference URI="/xl/styles.xml?ContentType=application/vnd.openxmlformats-officedocument.spreadsheetml.styles+xml">
        <DigestMethod Algorithm="http://www.w3.org/2001/04/xmlenc#sha256"/>
        <DigestValue>d1lBPNBKGmCHCRwqe6+CxwsnP03LKavZ8r564o1itfQ=</DigestValue>
      </Reference>
      <Reference URI="/xl/tables/table1.xml?ContentType=application/vnd.openxmlformats-officedocument.spreadsheetml.table+xml">
        <DigestMethod Algorithm="http://www.w3.org/2001/04/xmlenc#sha256"/>
        <DigestValue>I0H3+LWQzWKM1Pq8vnlFquqo5ya9/M3znvM58DEFI78=</DigestValue>
      </Reference>
      <Reference URI="/xl/tables/table2.xml?ContentType=application/vnd.openxmlformats-officedocument.spreadsheetml.table+xml">
        <DigestMethod Algorithm="http://www.w3.org/2001/04/xmlenc#sha256"/>
        <DigestValue>HzVA9Elowo/pVKHaoTh/I4fxwxzsdpuX+PJ2PLRiD7c=</DigestValue>
      </Reference>
      <Reference URI="/xl/tables/table3.xml?ContentType=application/vnd.openxmlformats-officedocument.spreadsheetml.table+xml">
        <DigestMethod Algorithm="http://www.w3.org/2001/04/xmlenc#sha256"/>
        <DigestValue>9ZBckyuAmPbdHffZbmbE4tOOH0jMIFIH46ry105sdsA=</DigestValue>
      </Reference>
      <Reference URI="/xl/tables/table4.xml?ContentType=application/vnd.openxmlformats-officedocument.spreadsheetml.table+xml">
        <DigestMethod Algorithm="http://www.w3.org/2001/04/xmlenc#sha256"/>
        <DigestValue>/LfOS82dhwT6zFrWTNiqGEf9tqRgYlgrJ/Dcpebg5y4=</DigestValue>
      </Reference>
      <Reference URI="/xl/tables/table5.xml?ContentType=application/vnd.openxmlformats-officedocument.spreadsheetml.table+xml">
        <DigestMethod Algorithm="http://www.w3.org/2001/04/xmlenc#sha256"/>
        <DigestValue>6y3hvoWiqD4xJLPGgqcjWx+xscr+YVnzQ4ntkvdWgIs=</DigestValue>
      </Reference>
      <Reference URI="/xl/theme/theme1.xml?ContentType=application/vnd.openxmlformats-officedocument.theme+xml">
        <DigestMethod Algorithm="http://www.w3.org/2001/04/xmlenc#sha256"/>
        <DigestValue>LFLlG+C/RXZo2T+DsB79RjRvnZsr6845i2XQOdrPRMs=</DigestValue>
      </Reference>
      <Reference URI="/xl/vbaProject.bin?ContentType=application/vnd.ms-office.vbaProject">
        <DigestMethod Algorithm="http://www.w3.org/2001/04/xmlenc#sha256"/>
        <DigestValue>9mZcBTYIjFH0BBkPcNfA6oriLaNzQhH5onbvWxJ44Nw=</DigestValue>
      </Reference>
      <Reference URI="/xl/workbook.xml?ContentType=application/vnd.ms-excel.sheet.macroEnabled.main+xml">
        <DigestMethod Algorithm="http://www.w3.org/2001/04/xmlenc#sha256"/>
        <DigestValue>VxnEzH3IQ7O7fgCRY/1nUj+tWDZlKMvcziEGVh17HDA=</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VS6cjElZYHUSI0xVs5ZeO6Kr46/xnngs9Ccps9sw9Go=</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7MoJF7BqEt7dSlNOKZxNaXn8k2yi4zjf9up0Yuu1k6E=</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5"/>
            <mdssi:RelationshipReference xmlns:mdssi="http://schemas.openxmlformats.org/package/2006/digital-signature" SourceId="rId10"/>
            <mdssi:RelationshipReference xmlns:mdssi="http://schemas.openxmlformats.org/package/2006/digital-signature" SourceId="rId4"/>
          </Transform>
          <Transform Algorithm="http://www.w3.org/TR/2001/REC-xml-c14n-20010315"/>
        </Transforms>
        <DigestMethod Algorithm="http://www.w3.org/2001/04/xmlenc#sha256"/>
        <DigestValue>Rmlwk7CYfDXSnpxCVguuwVL5EyCMDE8UQn/prOKrZ5I=</DigestValue>
      </Reference>
      <Reference URI="/xl/worksheets/sheet1.xml?ContentType=application/vnd.openxmlformats-officedocument.spreadsheetml.worksheet+xml">
        <DigestMethod Algorithm="http://www.w3.org/2001/04/xmlenc#sha256"/>
        <DigestValue>9FyRygMBgyLGrk4Fl9WQCNQSb021ew1vwmU8WoDqJCg=</DigestValue>
      </Reference>
      <Reference URI="/xl/worksheets/sheet2.xml?ContentType=application/vnd.openxmlformats-officedocument.spreadsheetml.worksheet+xml">
        <DigestMethod Algorithm="http://www.w3.org/2001/04/xmlenc#sha256"/>
        <DigestValue>qYf1XNFqtLVRokaBxSZL3mnadb6Mj0Yf0v4GOyh4W8A=</DigestValue>
      </Reference>
      <Reference URI="/xl/worksheets/sheet3.xml?ContentType=application/vnd.openxmlformats-officedocument.spreadsheetml.worksheet+xml">
        <DigestMethod Algorithm="http://www.w3.org/2001/04/xmlenc#sha256"/>
        <DigestValue>aOFDUnvORQLCN+tnvZwK/TYdF5BPMLdz3CIE//fZ2W0=</DigestValue>
      </Reference>
      <Reference URI="/xl/worksheets/sheet4.xml?ContentType=application/vnd.openxmlformats-officedocument.spreadsheetml.worksheet+xml">
        <DigestMethod Algorithm="http://www.w3.org/2001/04/xmlenc#sha256"/>
        <DigestValue>RKXdlJn0+SL+AYQsPajidljOhPb/xkN1bpBvSyUtXXQ=</DigestValue>
      </Reference>
      <Reference URI="/xl/worksheets/sheet5.xml?ContentType=application/vnd.openxmlformats-officedocument.spreadsheetml.worksheet+xml">
        <DigestMethod Algorithm="http://www.w3.org/2001/04/xmlenc#sha256"/>
        <DigestValue>QB7rfI02PW/5TYWSE213wtEhhaMo1dJLThH0VYiFUDE=</DigestValue>
      </Reference>
    </Manifest>
    <SignatureProperties>
      <SignatureProperty Id="idSignatureTime" Target="#idPackageSignature">
        <mdssi:SignatureTime xmlns:mdssi="http://schemas.openxmlformats.org/package/2006/digital-signature">
          <mdssi:Format>YYYY-MM-DDThh:mm:ssTZD</mdssi:Format>
          <mdssi:Value>2018-10-01T17:24:57Z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10.0</WindowsVersion>
          <OfficeVersion>16.0</OfficeVersion>
          <ApplicationVersion>16.0</ApplicationVersion>
          <Monitors>3</Monitors>
          <HorizontalResolution>1680</HorizontalResolution>
          <VerticalResolution>1050</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2018-10-01T17:24:57Z</xd:SigningTime>
          <xd:SigningCertificate>
            <xd:Cert>
              <xd:CertDigest>
                <DigestMethod Algorithm="http://www.w3.org/2001/04/xmlenc#sha256"/>
                <DigestValue>m8s0pFf15TsB2VPltLGsswUycWGRqmcXefGCgREsulA=</DigestValue>
              </xd:CertDigest>
              <xd:IssuerSerial>
                <X509IssuerName>CN=U.S. Department of Transportation Agency CA G4, OU=U.S. Department of Transportation, O=U.S. Government, C=US</X509IssuerName>
                <X509SerialNumber>149478371180027710815474493569273505550</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http://uri.etsi.org/01903/v1.2.2#ProofOfApproval</xd:Identifier>
              <xd:Description>Approved this document</xd:Description>
            </xd:CommitmentTypeId>
            <xd:AllSignedDataObjects/>
          </xd:CommitmentTypeIndication>
        </xd:SignedDataObject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FODCCBCCgAwIBAgICJY4wDQYJKoZIhvcNAQELBQAwWTELMAkGA1UEBhMCVVMxGDAWBgNVBAoTD1UuUy4gR292ZXJubWVudDENMAsGA1UECxMERlBLSTEhMB8GA1UEAxMYRmVkZXJhbCBDb21tb24gUG9saWN5IENBMB4XDTE0MTExMjE1NDAxMFoXDTI0MTExMjE1Mzk1O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IJMIICBTAPBgNVHRMBAf8EBTADAQH/MHkGA1UdIARyMHAwDAYKYIZIAWUDAgEDBjAMBgpghkgBZQMCAQMHMAwGCmCGSAFlAwIBAwgwDAYKYIZIAWUDAgEDJDAMBgpghkgBZQMCAQMNMAwGCmCGSAFlAwIBAxEwDAYKYIZIAWUDAgEDJzAMBgpghkgBZQMCAQMQMFoGCCsGAQUFBwELBE4wTDBKBggrBgEFBQcwBYY+aHR0cDovL3NzcC1zaWEuc3ltYXV0aC5jb20vU1NQL0NlcnRzX2lzc3VlZF9ieV9TWU1DU1NQQ0FHNC5wN2MwTwYIKwYBBQUHAQEEQzBBMD8GCCsGAQUFBzAChjNodHRwOi8vaHR0cC5mcGtpLmdvdi9mY3BjYS9jYUNlcnRzSXNzdWVkVG9mY3BjYS5wN2MwDAYDVR0kBAUwA4EBADAKBgNVHTYEAwIBADApBgNVHREEIjAgpB4wHDEaMBgGA1UEAxMRU3ltYW50ZWNQS0ktMS03NjIwDgYDVR0PAQH/BAQDAgEGMB8GA1UdIwQYMBaAFK0MenVc5fOYxHmYDqwo/Zf05wL8MDUGA1UdHwQuMCwwKqAooCaGJGh0dHA6Ly9odHRwLmZwa2kuZ292L2ZjcGNhL2ZjcGNhLmNybDAdBgNVHQ4EFgQU/8w00dtK4eHCC9Lb64B8cwx1X2YwDQYJKoZIhvcNAQELBQADggEBAG+ns1p7tmvXUpkQp+V1OcOAVoZwtCGs3GMRZMuAgTMOeW+jRs5BxXH70vM1xbCZMOFY6FYlaBiyqXpZuXAhV2CXmVuF57vaSJAr7b9coq4xkiyndA98rYoUryc3jdFMMXDCgK1lZnnGZI0bOkGUjHg6oErTuYoSdkV0D5a+QOwy5QizlQr3ZWbT1knko6ciV1kxXc0yA9JJSLpT/4SkfY1Lq6iX9jTw303g7e6cTAbx4nJmfWyrI/Crt4ma/M70wtQyIamCQHP2ovwiHKi3Zleub/uoVmWN5HH/SE2HZgMyHvDURKUPlQ3l9pzqLkpJO+ApcCgXj1Z7n2/sbLKhrPs=</xd:EncapsulatedX509Certificate>
            <xd:EncapsulatedX509Certificate>MIIEYDCCA0igAwIBAgICATAwDQYJKoZIhvcNAQELBQAwWTELMAkGA1UEBhMCVVMxGDAWBgNVBAoTD1UuUy4gR292ZXJubWVudDENMAsGA1UECxMERlBLSTEhMB8GA1UEAxMYRmVkZXJhbCBDb21tb24gUG9saWN5IENBMB4XDTEwMTIwMTE2NDUyN1oXDTMwMTIwMTE2NDUyN1owWTELMAkGA1UEBhMCVVMxGDAWBgNVBAoTD1UuUy4gR292ZXJubWVudDENMAsGA1UECxMERlBLSTEhMB8GA1UEAxMYRmVkZXJhbCBDb21tb24gUG9saWN5IENBMIIBIjANBgkqhkiG9w0BAQEFAAOCAQ8AMIIBCgKCAQEA2HX7NRY0WkG/Wq9cMAQUHK14RLXqJup1YcfNNnn4fNi9KVFmWSHjeavUeL6wLbCh1bI1FiPQzB6+Duir3MPJ1hLXp3JoGDG4FyKyPn66CG3G/dFYLGmgA/Aqo/Y/ISU937cyxY4nsyOl4FKzXZbpsLjFxZ+7xaBugkC7xScFNknWJidpDDSPzyd6KgqjQV+NHQOGgxXgVcHFmCye7Bpy3EjBPvmE0oSCwRvDdDa3ucc2Mnr4MrbQNq4iGDGMUHMhnv6DOzCIJOPpwX7e7ZjHH5IQip9bYi+dpLzVhW86/clTpyBLqtsgqyFOHQ1O5piF5asRR12dP8QjwOMUBm7+nQIDAQABo4IBMDCCASwwDwYDVR0TAQH/BAUwAwEB/zCB6QYIKwYBBQUHAQsEgdwwgdkwPwYIKwYBBQUHMAWGM2h0dHA6Ly9odHRwLmZwa2kuZ292L2ZjcGNhL2NhQ2VydHNJc3N1ZWRCeWZjcGNhLnA3YzCBlQYIKwYBBQUHMAWGgYhsZGFwOi8vbGRhcC5mcGtpLmdvdi9jbj1GZWRlcmFsJTIwQ29tbW9uJTIwUG9saWN5JTIwQ0Esb3U9RlBLSSxvPVUuUy4lMjBHb3Zlcm5tZW50LGM9VVM/Y0FDZXJ0aWZpY2F0ZTtiaW5hcnksY3Jvc3NDZXJ0aWZpY2F0ZVBhaXI7YmluYXJ5MA4GA1UdDwEB/wQEAwIBBjAdBgNVHQ4EFgQUrQx6dVzl85jEeZgOrCj9l/TnAvwwDQYJKoZIhvcNAQELBQADggEBAI9z2uF/gLGH9uwsz9GEYx728Yi3mvIRte9UrYpuGDco71wb5O9Qt2wmGCMiTR0mRyDpCZzicGJxqxHPkYnos/UqoEfAFMtOQsHdDA4b8Idb7OV316rgVNdF9IU+7LQd3nyKf1tNnJaK0KIyn9psMQz4pO9+c+iR3Ah6cFqgr2KBWfgAdKLI3VTKQVZHvenAT+0g3eOlCd+uKML80cgX2BLHb94u6b2akfI8WpQukSKAiaGMWMyDeiYZdQKlDn0KJnNR6obLB6jI/WNaNZvSr79PMUjBhHDbNXuaGQ/lj/RqDG8z2esccKIN47lQA2EC/0rskqTcLe4qNJMHtyznGI8=</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817D3A329724A479313C886C2FB1746" ma:contentTypeVersion="5" ma:contentTypeDescription="Create a new document." ma:contentTypeScope="" ma:versionID="8c13318dec33146602ecc9d5c5965fae">
  <xsd:schema xmlns:xsd="http://www.w3.org/2001/XMLSchema" xmlns:xs="http://www.w3.org/2001/XMLSchema" xmlns:p="http://schemas.microsoft.com/office/2006/metadata/properties" xmlns:ns2="e9378d88-8176-4f71-9851-64a93c091a10" xmlns:ns3="b7325b2c-accd-4278-8079-34cb29d0c829" targetNamespace="http://schemas.microsoft.com/office/2006/metadata/properties" ma:root="true" ma:fieldsID="35d1a991dafa1fc3f193ad3ca28128db" ns2:_="" ns3:_="">
    <xsd:import namespace="e9378d88-8176-4f71-9851-64a93c091a10"/>
    <xsd:import namespace="b7325b2c-accd-4278-8079-34cb29d0c82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Sequenc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378d88-8176-4f71-9851-64a93c091a1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7325b2c-accd-4278-8079-34cb29d0c82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Sequence" ma:index="12" nillable="true" ma:displayName="Sequence" ma:decimals="0" ma:indexed="true" ma:internalName="Sequence" ma:percentage="FALSE">
      <xsd:simpleType>
        <xsd:restriction base="dms:Number"/>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equence xmlns="b7325b2c-accd-4278-8079-34cb29d0c829" xsi:nil="true"/>
  </documentManagement>
</p:properties>
</file>

<file path=customXml/itemProps1.xml><?xml version="1.0" encoding="utf-8"?>
<ds:datastoreItem xmlns:ds="http://schemas.openxmlformats.org/officeDocument/2006/customXml" ds:itemID="{F8025DCF-EADE-47E8-ABF6-426C1DB68373}"/>
</file>

<file path=customXml/itemProps2.xml><?xml version="1.0" encoding="utf-8"?>
<ds:datastoreItem xmlns:ds="http://schemas.openxmlformats.org/officeDocument/2006/customXml" ds:itemID="{72A97BD8-89B6-4B1C-8D0C-3C04EE8D02E6}"/>
</file>

<file path=customXml/itemProps3.xml><?xml version="1.0" encoding="utf-8"?>
<ds:datastoreItem xmlns:ds="http://schemas.openxmlformats.org/officeDocument/2006/customXml" ds:itemID="{CCD3350C-9A1B-4CD0-9404-9D302C7FD04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 Me</vt:lpstr>
      <vt:lpstr>Data Dictionary</vt:lpstr>
      <vt:lpstr>Stations</vt:lpstr>
      <vt:lpstr>Agency Totals</vt:lpstr>
      <vt:lpstr>Summary Tables</vt:lpstr>
      <vt:lpstr>TitleRegion1.f2.k3.5</vt:lpstr>
      <vt:lpstr>TitleRegion2.e6.k15.5</vt:lpstr>
      <vt:lpstr>TitleRegion3.c20.k44.5</vt:lpstr>
      <vt:lpstr>TitleRegion4.e47.k56.5</vt:lpstr>
      <vt:lpstr>TitleRegion5.d60.k116.5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Todd Schrecongost</cp:lastModifiedBy>
  <dcterms:created xsi:type="dcterms:W3CDTF">2014-09-29T15:33:00Z</dcterms:created>
  <dcterms:modified xsi:type="dcterms:W3CDTF">2018-09-27T19:17:20Z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daa4ff67-75ce-417c-871f-7b099d8647a4</vt:lpwstr>
  </property>
  <property fmtid="{D5CDD505-2E9C-101B-9397-08002B2CF9AE}" pid="3" name="ContentTypeId">
    <vt:lpwstr>0x0101002817D3A329724A479313C886C2FB1746</vt:lpwstr>
  </property>
</Properties>
</file>